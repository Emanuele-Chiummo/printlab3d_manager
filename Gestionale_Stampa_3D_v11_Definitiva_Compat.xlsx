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/>
  <mc:AlternateContent xmlns:mc="http://schemas.openxmlformats.org/markup-compatibility/2006">
    <mc:Choice Requires="x15">
      <x15ac:absPath xmlns:x15ac="http://schemas.microsoft.com/office/spreadsheetml/2010/11/ac" url="/Users/emanuelechiummo/Library/CloudStorage/Nextcloud-echiummo@nextcloud.emanuelechiummo.com/"/>
    </mc:Choice>
  </mc:AlternateContent>
  <xr:revisionPtr revIDLastSave="0" documentId="13_ncr:1_{99EF401F-3BE2-7347-AC82-E3E222BD7AB1}" xr6:coauthVersionLast="47" xr6:coauthVersionMax="47" xr10:uidLastSave="{00000000-0000-0000-0000-000000000000}"/>
  <bookViews>
    <workbookView xWindow="0" yWindow="660" windowWidth="29040" windowHeight="15720" activeTab="2" xr2:uid="{00000000-000D-0000-FFFF-FFFF00000000}"/>
  </bookViews>
  <sheets>
    <sheet name="DASHBOARD" sheetId="1" r:id="rId1"/>
    <sheet name="SETTINGS" sheetId="2" r:id="rId2"/>
    <sheet name="FILAMENTI_DB" sheetId="3" r:id="rId3"/>
    <sheet name="STAMPANTI_DB" sheetId="4" r:id="rId4"/>
    <sheet name="PREVENTIVO" sheetId="5" r:id="rId5"/>
    <sheet name="STORICO_STAMPE" sheetId="6" r:id="rId6"/>
    <sheet name="SCARTI" sheetId="7" r:id="rId7"/>
  </sheets>
  <definedNames>
    <definedName name="_xlnm._FilterDatabase" localSheetId="5" hidden="1">STORICO_STAMPE!$A$4:$AC$4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6" i="6" l="1"/>
  <c r="R7" i="6"/>
  <c r="R8" i="6"/>
  <c r="R9" i="6"/>
  <c r="R10" i="6"/>
  <c r="R11" i="6"/>
  <c r="R12" i="6"/>
  <c r="B12" i="6"/>
  <c r="B9" i="6"/>
  <c r="B10" i="6"/>
  <c r="B11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V33" i="6"/>
  <c r="V34" i="6"/>
  <c r="V35" i="6"/>
  <c r="V36" i="6"/>
  <c r="V37" i="6"/>
  <c r="V38" i="6"/>
  <c r="V39" i="6"/>
  <c r="V40" i="6"/>
  <c r="V41" i="6"/>
  <c r="V42" i="6"/>
  <c r="V43" i="6"/>
  <c r="V44" i="6"/>
  <c r="V45" i="6"/>
  <c r="V46" i="6"/>
  <c r="V47" i="6"/>
  <c r="V48" i="6"/>
  <c r="V49" i="6"/>
  <c r="V50" i="6"/>
  <c r="V51" i="6"/>
  <c r="V52" i="6"/>
  <c r="V53" i="6"/>
  <c r="V54" i="6"/>
  <c r="V55" i="6"/>
  <c r="V56" i="6"/>
  <c r="V57" i="6"/>
  <c r="V58" i="6"/>
  <c r="V59" i="6"/>
  <c r="V60" i="6"/>
  <c r="V61" i="6"/>
  <c r="V62" i="6"/>
  <c r="V63" i="6"/>
  <c r="V64" i="6"/>
  <c r="V65" i="6"/>
  <c r="V66" i="6"/>
  <c r="V67" i="6"/>
  <c r="V68" i="6"/>
  <c r="V69" i="6"/>
  <c r="V70" i="6"/>
  <c r="V71" i="6"/>
  <c r="V72" i="6"/>
  <c r="V73" i="6"/>
  <c r="V74" i="6"/>
  <c r="V75" i="6"/>
  <c r="V76" i="6"/>
  <c r="V77" i="6"/>
  <c r="V78" i="6"/>
  <c r="V79" i="6"/>
  <c r="V80" i="6"/>
  <c r="V81" i="6"/>
  <c r="V82" i="6"/>
  <c r="V83" i="6"/>
  <c r="V84" i="6"/>
  <c r="V85" i="6"/>
  <c r="V86" i="6"/>
  <c r="V87" i="6"/>
  <c r="V88" i="6"/>
  <c r="V89" i="6"/>
  <c r="V90" i="6"/>
  <c r="V91" i="6"/>
  <c r="V92" i="6"/>
  <c r="V93" i="6"/>
  <c r="V94" i="6"/>
  <c r="V95" i="6"/>
  <c r="V96" i="6"/>
  <c r="V97" i="6"/>
  <c r="V98" i="6"/>
  <c r="V99" i="6"/>
  <c r="V100" i="6"/>
  <c r="V101" i="6"/>
  <c r="V102" i="6"/>
  <c r="V103" i="6"/>
  <c r="V104" i="6"/>
  <c r="V105" i="6"/>
  <c r="V106" i="6"/>
  <c r="V107" i="6"/>
  <c r="V108" i="6"/>
  <c r="V109" i="6"/>
  <c r="V110" i="6"/>
  <c r="V111" i="6"/>
  <c r="V112" i="6"/>
  <c r="V113" i="6"/>
  <c r="V114" i="6"/>
  <c r="V115" i="6"/>
  <c r="V116" i="6"/>
  <c r="V117" i="6"/>
  <c r="V118" i="6"/>
  <c r="V119" i="6"/>
  <c r="V120" i="6"/>
  <c r="V121" i="6"/>
  <c r="V122" i="6"/>
  <c r="V123" i="6"/>
  <c r="V124" i="6"/>
  <c r="V125" i="6"/>
  <c r="V126" i="6"/>
  <c r="V127" i="6"/>
  <c r="V128" i="6"/>
  <c r="V129" i="6"/>
  <c r="V130" i="6"/>
  <c r="V131" i="6"/>
  <c r="V132" i="6"/>
  <c r="V133" i="6"/>
  <c r="V134" i="6"/>
  <c r="V135" i="6"/>
  <c r="V136" i="6"/>
  <c r="V137" i="6"/>
  <c r="V138" i="6"/>
  <c r="V139" i="6"/>
  <c r="V140" i="6"/>
  <c r="V141" i="6"/>
  <c r="V142" i="6"/>
  <c r="V143" i="6"/>
  <c r="V144" i="6"/>
  <c r="V145" i="6"/>
  <c r="V146" i="6"/>
  <c r="V147" i="6"/>
  <c r="V148" i="6"/>
  <c r="V149" i="6"/>
  <c r="V150" i="6"/>
  <c r="V151" i="6"/>
  <c r="V152" i="6"/>
  <c r="V153" i="6"/>
  <c r="V154" i="6"/>
  <c r="V155" i="6"/>
  <c r="V156" i="6"/>
  <c r="V157" i="6"/>
  <c r="V158" i="6"/>
  <c r="V159" i="6"/>
  <c r="V160" i="6"/>
  <c r="V161" i="6"/>
  <c r="V162" i="6"/>
  <c r="V163" i="6"/>
  <c r="V164" i="6"/>
  <c r="V165" i="6"/>
  <c r="V166" i="6"/>
  <c r="V167" i="6"/>
  <c r="V168" i="6"/>
  <c r="V169" i="6"/>
  <c r="V170" i="6"/>
  <c r="V171" i="6"/>
  <c r="V172" i="6"/>
  <c r="V173" i="6"/>
  <c r="V174" i="6"/>
  <c r="V175" i="6"/>
  <c r="V176" i="6"/>
  <c r="V177" i="6"/>
  <c r="V178" i="6"/>
  <c r="V179" i="6"/>
  <c r="V180" i="6"/>
  <c r="V181" i="6"/>
  <c r="V182" i="6"/>
  <c r="V183" i="6"/>
  <c r="V184" i="6"/>
  <c r="V185" i="6"/>
  <c r="V186" i="6"/>
  <c r="V187" i="6"/>
  <c r="V188" i="6"/>
  <c r="V189" i="6"/>
  <c r="V190" i="6"/>
  <c r="V191" i="6"/>
  <c r="V192" i="6"/>
  <c r="V193" i="6"/>
  <c r="V194" i="6"/>
  <c r="V195" i="6"/>
  <c r="V196" i="6"/>
  <c r="V197" i="6"/>
  <c r="V198" i="6"/>
  <c r="V199" i="6"/>
  <c r="V200" i="6"/>
  <c r="V201" i="6"/>
  <c r="V202" i="6"/>
  <c r="V203" i="6"/>
  <c r="V204" i="6"/>
  <c r="V205" i="6"/>
  <c r="V206" i="6"/>
  <c r="V207" i="6"/>
  <c r="V208" i="6"/>
  <c r="V209" i="6"/>
  <c r="V210" i="6"/>
  <c r="V211" i="6"/>
  <c r="V212" i="6"/>
  <c r="V213" i="6"/>
  <c r="V214" i="6"/>
  <c r="V215" i="6"/>
  <c r="V216" i="6"/>
  <c r="V217" i="6"/>
  <c r="V218" i="6"/>
  <c r="V219" i="6"/>
  <c r="V220" i="6"/>
  <c r="V221" i="6"/>
  <c r="V222" i="6"/>
  <c r="V223" i="6"/>
  <c r="V224" i="6"/>
  <c r="V225" i="6"/>
  <c r="V226" i="6"/>
  <c r="V227" i="6"/>
  <c r="V228" i="6"/>
  <c r="V229" i="6"/>
  <c r="V230" i="6"/>
  <c r="V231" i="6"/>
  <c r="V232" i="6"/>
  <c r="V233" i="6"/>
  <c r="V234" i="6"/>
  <c r="V235" i="6"/>
  <c r="V236" i="6"/>
  <c r="V237" i="6"/>
  <c r="V238" i="6"/>
  <c r="V239" i="6"/>
  <c r="V240" i="6"/>
  <c r="V241" i="6"/>
  <c r="V242" i="6"/>
  <c r="V243" i="6"/>
  <c r="V244" i="6"/>
  <c r="V245" i="6"/>
  <c r="V246" i="6"/>
  <c r="V247" i="6"/>
  <c r="V248" i="6"/>
  <c r="V249" i="6"/>
  <c r="V250" i="6"/>
  <c r="V251" i="6"/>
  <c r="V252" i="6"/>
  <c r="V253" i="6"/>
  <c r="V254" i="6"/>
  <c r="V255" i="6"/>
  <c r="V256" i="6"/>
  <c r="V257" i="6"/>
  <c r="V258" i="6"/>
  <c r="V259" i="6"/>
  <c r="V260" i="6"/>
  <c r="V261" i="6"/>
  <c r="V262" i="6"/>
  <c r="V263" i="6"/>
  <c r="V264" i="6"/>
  <c r="V265" i="6"/>
  <c r="V266" i="6"/>
  <c r="V267" i="6"/>
  <c r="V268" i="6"/>
  <c r="V269" i="6"/>
  <c r="V270" i="6"/>
  <c r="V271" i="6"/>
  <c r="V272" i="6"/>
  <c r="V273" i="6"/>
  <c r="V274" i="6"/>
  <c r="V275" i="6"/>
  <c r="V276" i="6"/>
  <c r="V277" i="6"/>
  <c r="V278" i="6"/>
  <c r="V279" i="6"/>
  <c r="V280" i="6"/>
  <c r="V281" i="6"/>
  <c r="V282" i="6"/>
  <c r="V283" i="6"/>
  <c r="V284" i="6"/>
  <c r="V285" i="6"/>
  <c r="V286" i="6"/>
  <c r="V287" i="6"/>
  <c r="V288" i="6"/>
  <c r="V289" i="6"/>
  <c r="V290" i="6"/>
  <c r="V291" i="6"/>
  <c r="V292" i="6"/>
  <c r="V293" i="6"/>
  <c r="V294" i="6"/>
  <c r="V295" i="6"/>
  <c r="V296" i="6"/>
  <c r="V297" i="6"/>
  <c r="V298" i="6"/>
  <c r="V299" i="6"/>
  <c r="V300" i="6"/>
  <c r="V301" i="6"/>
  <c r="V302" i="6"/>
  <c r="V303" i="6"/>
  <c r="V304" i="6"/>
  <c r="V305" i="6"/>
  <c r="V306" i="6"/>
  <c r="V307" i="6"/>
  <c r="V308" i="6"/>
  <c r="V309" i="6"/>
  <c r="V310" i="6"/>
  <c r="V311" i="6"/>
  <c r="V312" i="6"/>
  <c r="V313" i="6"/>
  <c r="V314" i="6"/>
  <c r="V315" i="6"/>
  <c r="V316" i="6"/>
  <c r="V317" i="6"/>
  <c r="V318" i="6"/>
  <c r="V319" i="6"/>
  <c r="V320" i="6"/>
  <c r="V321" i="6"/>
  <c r="V322" i="6"/>
  <c r="V323" i="6"/>
  <c r="V324" i="6"/>
  <c r="V325" i="6"/>
  <c r="V326" i="6"/>
  <c r="V327" i="6"/>
  <c r="V328" i="6"/>
  <c r="V329" i="6"/>
  <c r="V330" i="6"/>
  <c r="V331" i="6"/>
  <c r="V332" i="6"/>
  <c r="V333" i="6"/>
  <c r="V334" i="6"/>
  <c r="V335" i="6"/>
  <c r="V336" i="6"/>
  <c r="V337" i="6"/>
  <c r="V338" i="6"/>
  <c r="V339" i="6"/>
  <c r="V340" i="6"/>
  <c r="V341" i="6"/>
  <c r="V342" i="6"/>
  <c r="V343" i="6"/>
  <c r="V344" i="6"/>
  <c r="V345" i="6"/>
  <c r="V346" i="6"/>
  <c r="V347" i="6"/>
  <c r="V348" i="6"/>
  <c r="V349" i="6"/>
  <c r="V350" i="6"/>
  <c r="V351" i="6"/>
  <c r="V352" i="6"/>
  <c r="V353" i="6"/>
  <c r="V354" i="6"/>
  <c r="V355" i="6"/>
  <c r="V356" i="6"/>
  <c r="V357" i="6"/>
  <c r="V358" i="6"/>
  <c r="V359" i="6"/>
  <c r="V360" i="6"/>
  <c r="V361" i="6"/>
  <c r="V362" i="6"/>
  <c r="V363" i="6"/>
  <c r="V364" i="6"/>
  <c r="V365" i="6"/>
  <c r="V366" i="6"/>
  <c r="V367" i="6"/>
  <c r="V368" i="6"/>
  <c r="V369" i="6"/>
  <c r="V370" i="6"/>
  <c r="V371" i="6"/>
  <c r="V372" i="6"/>
  <c r="V373" i="6"/>
  <c r="V374" i="6"/>
  <c r="V375" i="6"/>
  <c r="V376" i="6"/>
  <c r="V377" i="6"/>
  <c r="V378" i="6"/>
  <c r="V379" i="6"/>
  <c r="V380" i="6"/>
  <c r="V381" i="6"/>
  <c r="V382" i="6"/>
  <c r="V383" i="6"/>
  <c r="V384" i="6"/>
  <c r="V385" i="6"/>
  <c r="V386" i="6"/>
  <c r="V387" i="6"/>
  <c r="V388" i="6"/>
  <c r="V389" i="6"/>
  <c r="V390" i="6"/>
  <c r="V391" i="6"/>
  <c r="V392" i="6"/>
  <c r="V393" i="6"/>
  <c r="V394" i="6"/>
  <c r="V395" i="6"/>
  <c r="V396" i="6"/>
  <c r="V397" i="6"/>
  <c r="V398" i="6"/>
  <c r="V399" i="6"/>
  <c r="V400" i="6"/>
  <c r="V401" i="6"/>
  <c r="V402" i="6"/>
  <c r="V403" i="6"/>
  <c r="V404" i="6"/>
  <c r="V405" i="6"/>
  <c r="V406" i="6"/>
  <c r="V407" i="6"/>
  <c r="V408" i="6"/>
  <c r="V409" i="6"/>
  <c r="V410" i="6"/>
  <c r="V411" i="6"/>
  <c r="V412" i="6"/>
  <c r="V413" i="6"/>
  <c r="V414" i="6"/>
  <c r="V415" i="6"/>
  <c r="V416" i="6"/>
  <c r="V417" i="6"/>
  <c r="V418" i="6"/>
  <c r="V419" i="6"/>
  <c r="V420" i="6"/>
  <c r="V421" i="6"/>
  <c r="V422" i="6"/>
  <c r="V423" i="6"/>
  <c r="V424" i="6"/>
  <c r="V425" i="6"/>
  <c r="V426" i="6"/>
  <c r="V427" i="6"/>
  <c r="V428" i="6"/>
  <c r="V429" i="6"/>
  <c r="V430" i="6"/>
  <c r="V431" i="6"/>
  <c r="V432" i="6"/>
  <c r="V433" i="6"/>
  <c r="V434" i="6"/>
  <c r="V435" i="6"/>
  <c r="V436" i="6"/>
  <c r="V437" i="6"/>
  <c r="V438" i="6"/>
  <c r="V439" i="6"/>
  <c r="V440" i="6"/>
  <c r="V441" i="6"/>
  <c r="V442" i="6"/>
  <c r="V443" i="6"/>
  <c r="V444" i="6"/>
  <c r="V445" i="6"/>
  <c r="V446" i="6"/>
  <c r="V447" i="6"/>
  <c r="V448" i="6"/>
  <c r="V449" i="6"/>
  <c r="V450" i="6"/>
  <c r="V451" i="6"/>
  <c r="V452" i="6"/>
  <c r="V453" i="6"/>
  <c r="V454" i="6"/>
  <c r="V455" i="6"/>
  <c r="V456" i="6"/>
  <c r="V457" i="6"/>
  <c r="V458" i="6"/>
  <c r="V459" i="6"/>
  <c r="V460" i="6"/>
  <c r="V461" i="6"/>
  <c r="V462" i="6"/>
  <c r="V463" i="6"/>
  <c r="V464" i="6"/>
  <c r="V465" i="6"/>
  <c r="V466" i="6"/>
  <c r="V467" i="6"/>
  <c r="V468" i="6"/>
  <c r="V469" i="6"/>
  <c r="V470" i="6"/>
  <c r="V471" i="6"/>
  <c r="V472" i="6"/>
  <c r="V473" i="6"/>
  <c r="V474" i="6"/>
  <c r="V475" i="6"/>
  <c r="V476" i="6"/>
  <c r="V477" i="6"/>
  <c r="V478" i="6"/>
  <c r="V479" i="6"/>
  <c r="V480" i="6"/>
  <c r="V481" i="6"/>
  <c r="V482" i="6"/>
  <c r="V483" i="6"/>
  <c r="V484" i="6"/>
  <c r="V485" i="6"/>
  <c r="V486" i="6"/>
  <c r="V487" i="6"/>
  <c r="V488" i="6"/>
  <c r="V489" i="6"/>
  <c r="V490" i="6"/>
  <c r="V491" i="6"/>
  <c r="V492" i="6"/>
  <c r="V493" i="6"/>
  <c r="V494" i="6"/>
  <c r="V495" i="6"/>
  <c r="V496" i="6"/>
  <c r="V497" i="6"/>
  <c r="V498" i="6"/>
  <c r="V499" i="6"/>
  <c r="V500" i="6"/>
  <c r="V501" i="6"/>
  <c r="V502" i="6"/>
  <c r="V503" i="6"/>
  <c r="V504" i="6"/>
  <c r="V505" i="6"/>
  <c r="V506" i="6"/>
  <c r="V507" i="6"/>
  <c r="V508" i="6"/>
  <c r="V509" i="6"/>
  <c r="V510" i="6"/>
  <c r="V511" i="6"/>
  <c r="V512" i="6"/>
  <c r="V513" i="6"/>
  <c r="V514" i="6"/>
  <c r="V515" i="6"/>
  <c r="V516" i="6"/>
  <c r="V517" i="6"/>
  <c r="V518" i="6"/>
  <c r="V519" i="6"/>
  <c r="V520" i="6"/>
  <c r="V521" i="6"/>
  <c r="V522" i="6"/>
  <c r="V523" i="6"/>
  <c r="V524" i="6"/>
  <c r="V525" i="6"/>
  <c r="V526" i="6"/>
  <c r="V527" i="6"/>
  <c r="V528" i="6"/>
  <c r="V529" i="6"/>
  <c r="V530" i="6"/>
  <c r="V531" i="6"/>
  <c r="V532" i="6"/>
  <c r="V533" i="6"/>
  <c r="V534" i="6"/>
  <c r="V535" i="6"/>
  <c r="V536" i="6"/>
  <c r="V537" i="6"/>
  <c r="V538" i="6"/>
  <c r="V539" i="6"/>
  <c r="V540" i="6"/>
  <c r="V541" i="6"/>
  <c r="V542" i="6"/>
  <c r="V543" i="6"/>
  <c r="V544" i="6"/>
  <c r="V545" i="6"/>
  <c r="V546" i="6"/>
  <c r="V547" i="6"/>
  <c r="V548" i="6"/>
  <c r="V549" i="6"/>
  <c r="V550" i="6"/>
  <c r="V551" i="6"/>
  <c r="V552" i="6"/>
  <c r="V553" i="6"/>
  <c r="V554" i="6"/>
  <c r="V555" i="6"/>
  <c r="V556" i="6"/>
  <c r="V557" i="6"/>
  <c r="V558" i="6"/>
  <c r="V559" i="6"/>
  <c r="V560" i="6"/>
  <c r="V561" i="6"/>
  <c r="V562" i="6"/>
  <c r="V563" i="6"/>
  <c r="V564" i="6"/>
  <c r="V565" i="6"/>
  <c r="V566" i="6"/>
  <c r="V567" i="6"/>
  <c r="V568" i="6"/>
  <c r="V569" i="6"/>
  <c r="V570" i="6"/>
  <c r="V571" i="6"/>
  <c r="V572" i="6"/>
  <c r="V573" i="6"/>
  <c r="V574" i="6"/>
  <c r="V575" i="6"/>
  <c r="V576" i="6"/>
  <c r="V577" i="6"/>
  <c r="V578" i="6"/>
  <c r="V579" i="6"/>
  <c r="V580" i="6"/>
  <c r="V581" i="6"/>
  <c r="V582" i="6"/>
  <c r="V583" i="6"/>
  <c r="V584" i="6"/>
  <c r="V585" i="6"/>
  <c r="V586" i="6"/>
  <c r="V587" i="6"/>
  <c r="V588" i="6"/>
  <c r="V589" i="6"/>
  <c r="V590" i="6"/>
  <c r="V591" i="6"/>
  <c r="V592" i="6"/>
  <c r="V593" i="6"/>
  <c r="V594" i="6"/>
  <c r="V595" i="6"/>
  <c r="V596" i="6"/>
  <c r="V597" i="6"/>
  <c r="V598" i="6"/>
  <c r="V599" i="6"/>
  <c r="V600" i="6"/>
  <c r="V601" i="6"/>
  <c r="V602" i="6"/>
  <c r="V603" i="6"/>
  <c r="V604" i="6"/>
  <c r="V605" i="6"/>
  <c r="V606" i="6"/>
  <c r="V607" i="6"/>
  <c r="V608" i="6"/>
  <c r="V609" i="6"/>
  <c r="V610" i="6"/>
  <c r="V611" i="6"/>
  <c r="V612" i="6"/>
  <c r="V613" i="6"/>
  <c r="V614" i="6"/>
  <c r="V615" i="6"/>
  <c r="V616" i="6"/>
  <c r="V617" i="6"/>
  <c r="V618" i="6"/>
  <c r="V619" i="6"/>
  <c r="V620" i="6"/>
  <c r="V621" i="6"/>
  <c r="V622" i="6"/>
  <c r="V623" i="6"/>
  <c r="V624" i="6"/>
  <c r="V625" i="6"/>
  <c r="V626" i="6"/>
  <c r="V627" i="6"/>
  <c r="V628" i="6"/>
  <c r="V629" i="6"/>
  <c r="V630" i="6"/>
  <c r="V631" i="6"/>
  <c r="V632" i="6"/>
  <c r="V633" i="6"/>
  <c r="V634" i="6"/>
  <c r="V635" i="6"/>
  <c r="V636" i="6"/>
  <c r="V637" i="6"/>
  <c r="V638" i="6"/>
  <c r="V639" i="6"/>
  <c r="V640" i="6"/>
  <c r="V641" i="6"/>
  <c r="V642" i="6"/>
  <c r="V643" i="6"/>
  <c r="V644" i="6"/>
  <c r="V645" i="6"/>
  <c r="V646" i="6"/>
  <c r="V647" i="6"/>
  <c r="V648" i="6"/>
  <c r="V649" i="6"/>
  <c r="V650" i="6"/>
  <c r="V651" i="6"/>
  <c r="V652" i="6"/>
  <c r="V653" i="6"/>
  <c r="V654" i="6"/>
  <c r="V655" i="6"/>
  <c r="V656" i="6"/>
  <c r="V657" i="6"/>
  <c r="V658" i="6"/>
  <c r="V659" i="6"/>
  <c r="V660" i="6"/>
  <c r="V661" i="6"/>
  <c r="V662" i="6"/>
  <c r="V663" i="6"/>
  <c r="V664" i="6"/>
  <c r="V665" i="6"/>
  <c r="V666" i="6"/>
  <c r="V667" i="6"/>
  <c r="V668" i="6"/>
  <c r="V669" i="6"/>
  <c r="V670" i="6"/>
  <c r="V671" i="6"/>
  <c r="V672" i="6"/>
  <c r="V673" i="6"/>
  <c r="V674" i="6"/>
  <c r="V675" i="6"/>
  <c r="V676" i="6"/>
  <c r="V677" i="6"/>
  <c r="V678" i="6"/>
  <c r="V679" i="6"/>
  <c r="V680" i="6"/>
  <c r="V681" i="6"/>
  <c r="V682" i="6"/>
  <c r="V683" i="6"/>
  <c r="V684" i="6"/>
  <c r="V685" i="6"/>
  <c r="V686" i="6"/>
  <c r="V687" i="6"/>
  <c r="V688" i="6"/>
  <c r="V689" i="6"/>
  <c r="V690" i="6"/>
  <c r="V691" i="6"/>
  <c r="V692" i="6"/>
  <c r="V693" i="6"/>
  <c r="V694" i="6"/>
  <c r="V695" i="6"/>
  <c r="V696" i="6"/>
  <c r="V697" i="6"/>
  <c r="V698" i="6"/>
  <c r="V699" i="6"/>
  <c r="V700" i="6"/>
  <c r="V701" i="6"/>
  <c r="V702" i="6"/>
  <c r="V703" i="6"/>
  <c r="V704" i="6"/>
  <c r="V705" i="6"/>
  <c r="V706" i="6"/>
  <c r="V707" i="6"/>
  <c r="V708" i="6"/>
  <c r="V709" i="6"/>
  <c r="V710" i="6"/>
  <c r="V711" i="6"/>
  <c r="V712" i="6"/>
  <c r="V713" i="6"/>
  <c r="V714" i="6"/>
  <c r="V715" i="6"/>
  <c r="V716" i="6"/>
  <c r="V717" i="6"/>
  <c r="V718" i="6"/>
  <c r="V719" i="6"/>
  <c r="V720" i="6"/>
  <c r="V721" i="6"/>
  <c r="V722" i="6"/>
  <c r="V723" i="6"/>
  <c r="V724" i="6"/>
  <c r="V725" i="6"/>
  <c r="V726" i="6"/>
  <c r="V727" i="6"/>
  <c r="V728" i="6"/>
  <c r="V729" i="6"/>
  <c r="V730" i="6"/>
  <c r="V731" i="6"/>
  <c r="V732" i="6"/>
  <c r="V733" i="6"/>
  <c r="V734" i="6"/>
  <c r="V735" i="6"/>
  <c r="V736" i="6"/>
  <c r="V737" i="6"/>
  <c r="V738" i="6"/>
  <c r="V739" i="6"/>
  <c r="V740" i="6"/>
  <c r="V741" i="6"/>
  <c r="V742" i="6"/>
  <c r="V743" i="6"/>
  <c r="V744" i="6"/>
  <c r="V745" i="6"/>
  <c r="V746" i="6"/>
  <c r="V747" i="6"/>
  <c r="V748" i="6"/>
  <c r="V749" i="6"/>
  <c r="V750" i="6"/>
  <c r="V751" i="6"/>
  <c r="V752" i="6"/>
  <c r="V753" i="6"/>
  <c r="V754" i="6"/>
  <c r="V755" i="6"/>
  <c r="V756" i="6"/>
  <c r="V757" i="6"/>
  <c r="V758" i="6"/>
  <c r="V759" i="6"/>
  <c r="V760" i="6"/>
  <c r="V761" i="6"/>
  <c r="V762" i="6"/>
  <c r="V763" i="6"/>
  <c r="V764" i="6"/>
  <c r="V765" i="6"/>
  <c r="V766" i="6"/>
  <c r="V767" i="6"/>
  <c r="V768" i="6"/>
  <c r="V769" i="6"/>
  <c r="V770" i="6"/>
  <c r="V771" i="6"/>
  <c r="V772" i="6"/>
  <c r="V773" i="6"/>
  <c r="V774" i="6"/>
  <c r="V775" i="6"/>
  <c r="V776" i="6"/>
  <c r="V777" i="6"/>
  <c r="V778" i="6"/>
  <c r="V779" i="6"/>
  <c r="V780" i="6"/>
  <c r="V781" i="6"/>
  <c r="V782" i="6"/>
  <c r="V783" i="6"/>
  <c r="V784" i="6"/>
  <c r="V785" i="6"/>
  <c r="V786" i="6"/>
  <c r="V787" i="6"/>
  <c r="V788" i="6"/>
  <c r="V789" i="6"/>
  <c r="V790" i="6"/>
  <c r="V791" i="6"/>
  <c r="V792" i="6"/>
  <c r="V793" i="6"/>
  <c r="V794" i="6"/>
  <c r="V795" i="6"/>
  <c r="V796" i="6"/>
  <c r="V797" i="6"/>
  <c r="V798" i="6"/>
  <c r="V799" i="6"/>
  <c r="V800" i="6"/>
  <c r="V801" i="6"/>
  <c r="V802" i="6"/>
  <c r="V803" i="6"/>
  <c r="V804" i="6"/>
  <c r="V805" i="6"/>
  <c r="V806" i="6"/>
  <c r="V807" i="6"/>
  <c r="V808" i="6"/>
  <c r="V809" i="6"/>
  <c r="V810" i="6"/>
  <c r="V811" i="6"/>
  <c r="V812" i="6"/>
  <c r="V813" i="6"/>
  <c r="V814" i="6"/>
  <c r="V815" i="6"/>
  <c r="V816" i="6"/>
  <c r="V817" i="6"/>
  <c r="V818" i="6"/>
  <c r="V819" i="6"/>
  <c r="V820" i="6"/>
  <c r="V821" i="6"/>
  <c r="V822" i="6"/>
  <c r="V823" i="6"/>
  <c r="V824" i="6"/>
  <c r="V825" i="6"/>
  <c r="V826" i="6"/>
  <c r="V827" i="6"/>
  <c r="V828" i="6"/>
  <c r="V829" i="6"/>
  <c r="V830" i="6"/>
  <c r="V831" i="6"/>
  <c r="V832" i="6"/>
  <c r="V833" i="6"/>
  <c r="V834" i="6"/>
  <c r="V835" i="6"/>
  <c r="V836" i="6"/>
  <c r="V837" i="6"/>
  <c r="V838" i="6"/>
  <c r="V839" i="6"/>
  <c r="V840" i="6"/>
  <c r="V841" i="6"/>
  <c r="V842" i="6"/>
  <c r="V843" i="6"/>
  <c r="V844" i="6"/>
  <c r="V845" i="6"/>
  <c r="V846" i="6"/>
  <c r="V847" i="6"/>
  <c r="V848" i="6"/>
  <c r="V849" i="6"/>
  <c r="V850" i="6"/>
  <c r="V851" i="6"/>
  <c r="V852" i="6"/>
  <c r="V853" i="6"/>
  <c r="V854" i="6"/>
  <c r="V855" i="6"/>
  <c r="V856" i="6"/>
  <c r="V857" i="6"/>
  <c r="V858" i="6"/>
  <c r="V859" i="6"/>
  <c r="V860" i="6"/>
  <c r="V861" i="6"/>
  <c r="V862" i="6"/>
  <c r="V863" i="6"/>
  <c r="V864" i="6"/>
  <c r="V865" i="6"/>
  <c r="V866" i="6"/>
  <c r="V867" i="6"/>
  <c r="V868" i="6"/>
  <c r="V869" i="6"/>
  <c r="V870" i="6"/>
  <c r="V871" i="6"/>
  <c r="V872" i="6"/>
  <c r="V873" i="6"/>
  <c r="V874" i="6"/>
  <c r="V875" i="6"/>
  <c r="V876" i="6"/>
  <c r="V877" i="6"/>
  <c r="V878" i="6"/>
  <c r="V879" i="6"/>
  <c r="V880" i="6"/>
  <c r="V881" i="6"/>
  <c r="V882" i="6"/>
  <c r="V883" i="6"/>
  <c r="V884" i="6"/>
  <c r="V885" i="6"/>
  <c r="V886" i="6"/>
  <c r="V887" i="6"/>
  <c r="V888" i="6"/>
  <c r="V889" i="6"/>
  <c r="V890" i="6"/>
  <c r="V891" i="6"/>
  <c r="V892" i="6"/>
  <c r="V893" i="6"/>
  <c r="V894" i="6"/>
  <c r="V895" i="6"/>
  <c r="V896" i="6"/>
  <c r="V897" i="6"/>
  <c r="V898" i="6"/>
  <c r="V899" i="6"/>
  <c r="V900" i="6"/>
  <c r="V901" i="6"/>
  <c r="V902" i="6"/>
  <c r="V903" i="6"/>
  <c r="V904" i="6"/>
  <c r="V905" i="6"/>
  <c r="V906" i="6"/>
  <c r="V907" i="6"/>
  <c r="V908" i="6"/>
  <c r="V909" i="6"/>
  <c r="V910" i="6"/>
  <c r="V911" i="6"/>
  <c r="V912" i="6"/>
  <c r="V913" i="6"/>
  <c r="V914" i="6"/>
  <c r="V915" i="6"/>
  <c r="V916" i="6"/>
  <c r="V917" i="6"/>
  <c r="V918" i="6"/>
  <c r="V919" i="6"/>
  <c r="V920" i="6"/>
  <c r="V921" i="6"/>
  <c r="V922" i="6"/>
  <c r="V923" i="6"/>
  <c r="V924" i="6"/>
  <c r="V925" i="6"/>
  <c r="V926" i="6"/>
  <c r="V927" i="6"/>
  <c r="V928" i="6"/>
  <c r="V929" i="6"/>
  <c r="V930" i="6"/>
  <c r="V931" i="6"/>
  <c r="V932" i="6"/>
  <c r="V933" i="6"/>
  <c r="V934" i="6"/>
  <c r="V935" i="6"/>
  <c r="V936" i="6"/>
  <c r="V937" i="6"/>
  <c r="V938" i="6"/>
  <c r="V939" i="6"/>
  <c r="V940" i="6"/>
  <c r="V941" i="6"/>
  <c r="V942" i="6"/>
  <c r="V943" i="6"/>
  <c r="V944" i="6"/>
  <c r="V945" i="6"/>
  <c r="V946" i="6"/>
  <c r="V947" i="6"/>
  <c r="V948" i="6"/>
  <c r="V949" i="6"/>
  <c r="V950" i="6"/>
  <c r="V951" i="6"/>
  <c r="V952" i="6"/>
  <c r="V953" i="6"/>
  <c r="V954" i="6"/>
  <c r="V955" i="6"/>
  <c r="V956" i="6"/>
  <c r="V957" i="6"/>
  <c r="V958" i="6"/>
  <c r="V959" i="6"/>
  <c r="V960" i="6"/>
  <c r="V961" i="6"/>
  <c r="V962" i="6"/>
  <c r="V963" i="6"/>
  <c r="V964" i="6"/>
  <c r="V965" i="6"/>
  <c r="V966" i="6"/>
  <c r="V967" i="6"/>
  <c r="V968" i="6"/>
  <c r="V969" i="6"/>
  <c r="V970" i="6"/>
  <c r="V971" i="6"/>
  <c r="V972" i="6"/>
  <c r="V973" i="6"/>
  <c r="V974" i="6"/>
  <c r="V975" i="6"/>
  <c r="V976" i="6"/>
  <c r="V977" i="6"/>
  <c r="V978" i="6"/>
  <c r="V979" i="6"/>
  <c r="V980" i="6"/>
  <c r="V981" i="6"/>
  <c r="V982" i="6"/>
  <c r="V983" i="6"/>
  <c r="V984" i="6"/>
  <c r="V985" i="6"/>
  <c r="V986" i="6"/>
  <c r="V987" i="6"/>
  <c r="V988" i="6"/>
  <c r="V989" i="6"/>
  <c r="V990" i="6"/>
  <c r="V991" i="6"/>
  <c r="V992" i="6"/>
  <c r="V993" i="6"/>
  <c r="V994" i="6"/>
  <c r="V995" i="6"/>
  <c r="V996" i="6"/>
  <c r="V997" i="6"/>
  <c r="V998" i="6"/>
  <c r="V999" i="6"/>
  <c r="N8" i="6"/>
  <c r="B8" i="6"/>
  <c r="B7" i="6"/>
  <c r="V7" i="6"/>
  <c r="B6" i="6"/>
  <c r="B5" i="6"/>
  <c r="K10" i="3"/>
  <c r="J8" i="3"/>
  <c r="M8" i="3"/>
  <c r="J9" i="3"/>
  <c r="M9" i="3"/>
  <c r="J10" i="3"/>
  <c r="M10" i="3"/>
  <c r="J6" i="3"/>
  <c r="M6" i="3"/>
  <c r="J7" i="3"/>
  <c r="M7" i="3"/>
  <c r="M1000" i="7"/>
  <c r="M999" i="7"/>
  <c r="M998" i="7"/>
  <c r="M997" i="7"/>
  <c r="M996" i="7"/>
  <c r="M995" i="7"/>
  <c r="M994" i="7"/>
  <c r="M993" i="7"/>
  <c r="M992" i="7"/>
  <c r="M991" i="7"/>
  <c r="M990" i="7"/>
  <c r="M989" i="7"/>
  <c r="M988" i="7"/>
  <c r="M987" i="7"/>
  <c r="M986" i="7"/>
  <c r="M985" i="7"/>
  <c r="M984" i="7"/>
  <c r="M983" i="7"/>
  <c r="M982" i="7"/>
  <c r="M981" i="7"/>
  <c r="M980" i="7"/>
  <c r="M979" i="7"/>
  <c r="M978" i="7"/>
  <c r="M977" i="7"/>
  <c r="M976" i="7"/>
  <c r="M975" i="7"/>
  <c r="M974" i="7"/>
  <c r="M973" i="7"/>
  <c r="M972" i="7"/>
  <c r="M971" i="7"/>
  <c r="M970" i="7"/>
  <c r="M969" i="7"/>
  <c r="M968" i="7"/>
  <c r="M967" i="7"/>
  <c r="M966" i="7"/>
  <c r="M965" i="7"/>
  <c r="M964" i="7"/>
  <c r="M963" i="7"/>
  <c r="M962" i="7"/>
  <c r="M961" i="7"/>
  <c r="M960" i="7"/>
  <c r="M959" i="7"/>
  <c r="M958" i="7"/>
  <c r="M957" i="7"/>
  <c r="M956" i="7"/>
  <c r="M955" i="7"/>
  <c r="M954" i="7"/>
  <c r="M953" i="7"/>
  <c r="M952" i="7"/>
  <c r="M951" i="7"/>
  <c r="M950" i="7"/>
  <c r="M949" i="7"/>
  <c r="M948" i="7"/>
  <c r="M947" i="7"/>
  <c r="M946" i="7"/>
  <c r="M945" i="7"/>
  <c r="M944" i="7"/>
  <c r="M943" i="7"/>
  <c r="M942" i="7"/>
  <c r="M941" i="7"/>
  <c r="M940" i="7"/>
  <c r="M939" i="7"/>
  <c r="M938" i="7"/>
  <c r="M937" i="7"/>
  <c r="M936" i="7"/>
  <c r="M935" i="7"/>
  <c r="M934" i="7"/>
  <c r="M933" i="7"/>
  <c r="M932" i="7"/>
  <c r="M931" i="7"/>
  <c r="M930" i="7"/>
  <c r="M929" i="7"/>
  <c r="M928" i="7"/>
  <c r="M927" i="7"/>
  <c r="M926" i="7"/>
  <c r="M925" i="7"/>
  <c r="M924" i="7"/>
  <c r="M923" i="7"/>
  <c r="M922" i="7"/>
  <c r="M921" i="7"/>
  <c r="M920" i="7"/>
  <c r="M919" i="7"/>
  <c r="M918" i="7"/>
  <c r="M917" i="7"/>
  <c r="M916" i="7"/>
  <c r="M915" i="7"/>
  <c r="M914" i="7"/>
  <c r="M913" i="7"/>
  <c r="M912" i="7"/>
  <c r="M911" i="7"/>
  <c r="M910" i="7"/>
  <c r="M909" i="7"/>
  <c r="M908" i="7"/>
  <c r="M907" i="7"/>
  <c r="M906" i="7"/>
  <c r="M905" i="7"/>
  <c r="M904" i="7"/>
  <c r="M903" i="7"/>
  <c r="M902" i="7"/>
  <c r="M901" i="7"/>
  <c r="M900" i="7"/>
  <c r="M899" i="7"/>
  <c r="M898" i="7"/>
  <c r="M897" i="7"/>
  <c r="M896" i="7"/>
  <c r="M895" i="7"/>
  <c r="M894" i="7"/>
  <c r="M893" i="7"/>
  <c r="M892" i="7"/>
  <c r="M891" i="7"/>
  <c r="M890" i="7"/>
  <c r="M889" i="7"/>
  <c r="M888" i="7"/>
  <c r="M887" i="7"/>
  <c r="M886" i="7"/>
  <c r="M885" i="7"/>
  <c r="M884" i="7"/>
  <c r="M883" i="7"/>
  <c r="M882" i="7"/>
  <c r="M881" i="7"/>
  <c r="M880" i="7"/>
  <c r="M879" i="7"/>
  <c r="M878" i="7"/>
  <c r="M877" i="7"/>
  <c r="M876" i="7"/>
  <c r="M875" i="7"/>
  <c r="M874" i="7"/>
  <c r="M873" i="7"/>
  <c r="M872" i="7"/>
  <c r="M871" i="7"/>
  <c r="M870" i="7"/>
  <c r="M869" i="7"/>
  <c r="M868" i="7"/>
  <c r="M867" i="7"/>
  <c r="M866" i="7"/>
  <c r="M865" i="7"/>
  <c r="M864" i="7"/>
  <c r="M863" i="7"/>
  <c r="M862" i="7"/>
  <c r="M861" i="7"/>
  <c r="M860" i="7"/>
  <c r="M859" i="7"/>
  <c r="M858" i="7"/>
  <c r="M857" i="7"/>
  <c r="M856" i="7"/>
  <c r="M855" i="7"/>
  <c r="M854" i="7"/>
  <c r="M853" i="7"/>
  <c r="M852" i="7"/>
  <c r="M851" i="7"/>
  <c r="M850" i="7"/>
  <c r="M849" i="7"/>
  <c r="M848" i="7"/>
  <c r="M847" i="7"/>
  <c r="M846" i="7"/>
  <c r="M845" i="7"/>
  <c r="M844" i="7"/>
  <c r="M843" i="7"/>
  <c r="M842" i="7"/>
  <c r="M841" i="7"/>
  <c r="M840" i="7"/>
  <c r="M839" i="7"/>
  <c r="M838" i="7"/>
  <c r="M837" i="7"/>
  <c r="M836" i="7"/>
  <c r="M835" i="7"/>
  <c r="M834" i="7"/>
  <c r="M833" i="7"/>
  <c r="M832" i="7"/>
  <c r="M831" i="7"/>
  <c r="M830" i="7"/>
  <c r="M829" i="7"/>
  <c r="M828" i="7"/>
  <c r="M827" i="7"/>
  <c r="M826" i="7"/>
  <c r="M825" i="7"/>
  <c r="M824" i="7"/>
  <c r="M823" i="7"/>
  <c r="M822" i="7"/>
  <c r="M821" i="7"/>
  <c r="M820" i="7"/>
  <c r="M819" i="7"/>
  <c r="M818" i="7"/>
  <c r="M817" i="7"/>
  <c r="M816" i="7"/>
  <c r="M815" i="7"/>
  <c r="M814" i="7"/>
  <c r="M813" i="7"/>
  <c r="M812" i="7"/>
  <c r="M811" i="7"/>
  <c r="M810" i="7"/>
  <c r="M809" i="7"/>
  <c r="M808" i="7"/>
  <c r="M807" i="7"/>
  <c r="M806" i="7"/>
  <c r="M805" i="7"/>
  <c r="M804" i="7"/>
  <c r="M803" i="7"/>
  <c r="M802" i="7"/>
  <c r="M801" i="7"/>
  <c r="M800" i="7"/>
  <c r="M799" i="7"/>
  <c r="M798" i="7"/>
  <c r="M797" i="7"/>
  <c r="M796" i="7"/>
  <c r="M795" i="7"/>
  <c r="M794" i="7"/>
  <c r="M793" i="7"/>
  <c r="M792" i="7"/>
  <c r="M791" i="7"/>
  <c r="M790" i="7"/>
  <c r="M789" i="7"/>
  <c r="M788" i="7"/>
  <c r="M787" i="7"/>
  <c r="M786" i="7"/>
  <c r="M785" i="7"/>
  <c r="M784" i="7"/>
  <c r="M783" i="7"/>
  <c r="M782" i="7"/>
  <c r="M781" i="7"/>
  <c r="M780" i="7"/>
  <c r="M779" i="7"/>
  <c r="M778" i="7"/>
  <c r="M777" i="7"/>
  <c r="M776" i="7"/>
  <c r="M775" i="7"/>
  <c r="M774" i="7"/>
  <c r="M773" i="7"/>
  <c r="M772" i="7"/>
  <c r="M771" i="7"/>
  <c r="M770" i="7"/>
  <c r="M769" i="7"/>
  <c r="M768" i="7"/>
  <c r="M767" i="7"/>
  <c r="M766" i="7"/>
  <c r="M765" i="7"/>
  <c r="M764" i="7"/>
  <c r="M763" i="7"/>
  <c r="M762" i="7"/>
  <c r="M761" i="7"/>
  <c r="M760" i="7"/>
  <c r="M759" i="7"/>
  <c r="M758" i="7"/>
  <c r="M757" i="7"/>
  <c r="M756" i="7"/>
  <c r="M755" i="7"/>
  <c r="M754" i="7"/>
  <c r="M753" i="7"/>
  <c r="M752" i="7"/>
  <c r="M751" i="7"/>
  <c r="M750" i="7"/>
  <c r="M749" i="7"/>
  <c r="M748" i="7"/>
  <c r="M747" i="7"/>
  <c r="M746" i="7"/>
  <c r="M745" i="7"/>
  <c r="M744" i="7"/>
  <c r="M743" i="7"/>
  <c r="M742" i="7"/>
  <c r="M741" i="7"/>
  <c r="M740" i="7"/>
  <c r="M739" i="7"/>
  <c r="M738" i="7"/>
  <c r="M737" i="7"/>
  <c r="M736" i="7"/>
  <c r="M735" i="7"/>
  <c r="M734" i="7"/>
  <c r="M733" i="7"/>
  <c r="M732" i="7"/>
  <c r="M731" i="7"/>
  <c r="M730" i="7"/>
  <c r="M729" i="7"/>
  <c r="M728" i="7"/>
  <c r="M727" i="7"/>
  <c r="M726" i="7"/>
  <c r="M725" i="7"/>
  <c r="M724" i="7"/>
  <c r="M723" i="7"/>
  <c r="M722" i="7"/>
  <c r="M721" i="7"/>
  <c r="M720" i="7"/>
  <c r="M719" i="7"/>
  <c r="M718" i="7"/>
  <c r="M717" i="7"/>
  <c r="M716" i="7"/>
  <c r="M715" i="7"/>
  <c r="M714" i="7"/>
  <c r="M713" i="7"/>
  <c r="M712" i="7"/>
  <c r="M711" i="7"/>
  <c r="M710" i="7"/>
  <c r="M709" i="7"/>
  <c r="M708" i="7"/>
  <c r="M707" i="7"/>
  <c r="M706" i="7"/>
  <c r="M705" i="7"/>
  <c r="M704" i="7"/>
  <c r="M703" i="7"/>
  <c r="M702" i="7"/>
  <c r="M701" i="7"/>
  <c r="M700" i="7"/>
  <c r="M699" i="7"/>
  <c r="M698" i="7"/>
  <c r="M697" i="7"/>
  <c r="M696" i="7"/>
  <c r="M695" i="7"/>
  <c r="M694" i="7"/>
  <c r="M693" i="7"/>
  <c r="M692" i="7"/>
  <c r="M691" i="7"/>
  <c r="M690" i="7"/>
  <c r="M689" i="7"/>
  <c r="M688" i="7"/>
  <c r="M687" i="7"/>
  <c r="M686" i="7"/>
  <c r="M685" i="7"/>
  <c r="M684" i="7"/>
  <c r="M683" i="7"/>
  <c r="M682" i="7"/>
  <c r="M681" i="7"/>
  <c r="M680" i="7"/>
  <c r="M679" i="7"/>
  <c r="M678" i="7"/>
  <c r="M677" i="7"/>
  <c r="M676" i="7"/>
  <c r="M675" i="7"/>
  <c r="M674" i="7"/>
  <c r="M673" i="7"/>
  <c r="M672" i="7"/>
  <c r="M671" i="7"/>
  <c r="M670" i="7"/>
  <c r="M669" i="7"/>
  <c r="M668" i="7"/>
  <c r="M667" i="7"/>
  <c r="M666" i="7"/>
  <c r="M665" i="7"/>
  <c r="M664" i="7"/>
  <c r="M663" i="7"/>
  <c r="M662" i="7"/>
  <c r="M661" i="7"/>
  <c r="M660" i="7"/>
  <c r="M659" i="7"/>
  <c r="M658" i="7"/>
  <c r="M657" i="7"/>
  <c r="M656" i="7"/>
  <c r="M655" i="7"/>
  <c r="M654" i="7"/>
  <c r="M653" i="7"/>
  <c r="M652" i="7"/>
  <c r="M651" i="7"/>
  <c r="M650" i="7"/>
  <c r="M649" i="7"/>
  <c r="M648" i="7"/>
  <c r="M647" i="7"/>
  <c r="M646" i="7"/>
  <c r="M645" i="7"/>
  <c r="M644" i="7"/>
  <c r="M643" i="7"/>
  <c r="M642" i="7"/>
  <c r="M641" i="7"/>
  <c r="M640" i="7"/>
  <c r="M639" i="7"/>
  <c r="M638" i="7"/>
  <c r="M637" i="7"/>
  <c r="M636" i="7"/>
  <c r="M635" i="7"/>
  <c r="M634" i="7"/>
  <c r="M633" i="7"/>
  <c r="M632" i="7"/>
  <c r="M631" i="7"/>
  <c r="M630" i="7"/>
  <c r="M629" i="7"/>
  <c r="M628" i="7"/>
  <c r="M627" i="7"/>
  <c r="M626" i="7"/>
  <c r="M625" i="7"/>
  <c r="M624" i="7"/>
  <c r="M623" i="7"/>
  <c r="M622" i="7"/>
  <c r="M621" i="7"/>
  <c r="M620" i="7"/>
  <c r="M619" i="7"/>
  <c r="M618" i="7"/>
  <c r="M617" i="7"/>
  <c r="M616" i="7"/>
  <c r="M615" i="7"/>
  <c r="M614" i="7"/>
  <c r="M613" i="7"/>
  <c r="M612" i="7"/>
  <c r="M611" i="7"/>
  <c r="M610" i="7"/>
  <c r="M609" i="7"/>
  <c r="M608" i="7"/>
  <c r="M607" i="7"/>
  <c r="M606" i="7"/>
  <c r="M605" i="7"/>
  <c r="M604" i="7"/>
  <c r="M603" i="7"/>
  <c r="M602" i="7"/>
  <c r="M601" i="7"/>
  <c r="M600" i="7"/>
  <c r="M599" i="7"/>
  <c r="M598" i="7"/>
  <c r="M597" i="7"/>
  <c r="M596" i="7"/>
  <c r="M595" i="7"/>
  <c r="M594" i="7"/>
  <c r="M593" i="7"/>
  <c r="M592" i="7"/>
  <c r="M591" i="7"/>
  <c r="M590" i="7"/>
  <c r="M589" i="7"/>
  <c r="M588" i="7"/>
  <c r="M587" i="7"/>
  <c r="M586" i="7"/>
  <c r="M585" i="7"/>
  <c r="M584" i="7"/>
  <c r="M583" i="7"/>
  <c r="M582" i="7"/>
  <c r="M581" i="7"/>
  <c r="M580" i="7"/>
  <c r="M579" i="7"/>
  <c r="M578" i="7"/>
  <c r="M577" i="7"/>
  <c r="M576" i="7"/>
  <c r="M575" i="7"/>
  <c r="M574" i="7"/>
  <c r="M573" i="7"/>
  <c r="M572" i="7"/>
  <c r="M571" i="7"/>
  <c r="M570" i="7"/>
  <c r="M569" i="7"/>
  <c r="M568" i="7"/>
  <c r="M567" i="7"/>
  <c r="M566" i="7"/>
  <c r="M565" i="7"/>
  <c r="M564" i="7"/>
  <c r="M563" i="7"/>
  <c r="M562" i="7"/>
  <c r="M561" i="7"/>
  <c r="M560" i="7"/>
  <c r="M559" i="7"/>
  <c r="M558" i="7"/>
  <c r="M557" i="7"/>
  <c r="M556" i="7"/>
  <c r="M555" i="7"/>
  <c r="M554" i="7"/>
  <c r="M553" i="7"/>
  <c r="M552" i="7"/>
  <c r="M551" i="7"/>
  <c r="M550" i="7"/>
  <c r="M549" i="7"/>
  <c r="M548" i="7"/>
  <c r="M547" i="7"/>
  <c r="M546" i="7"/>
  <c r="M545" i="7"/>
  <c r="M544" i="7"/>
  <c r="M543" i="7"/>
  <c r="M542" i="7"/>
  <c r="M541" i="7"/>
  <c r="M540" i="7"/>
  <c r="M539" i="7"/>
  <c r="M538" i="7"/>
  <c r="M537" i="7"/>
  <c r="M536" i="7"/>
  <c r="M535" i="7"/>
  <c r="M534" i="7"/>
  <c r="M533" i="7"/>
  <c r="M532" i="7"/>
  <c r="M531" i="7"/>
  <c r="M530" i="7"/>
  <c r="M529" i="7"/>
  <c r="M528" i="7"/>
  <c r="M527" i="7"/>
  <c r="M526" i="7"/>
  <c r="M525" i="7"/>
  <c r="M524" i="7"/>
  <c r="M523" i="7"/>
  <c r="M522" i="7"/>
  <c r="M521" i="7"/>
  <c r="M520" i="7"/>
  <c r="M519" i="7"/>
  <c r="M518" i="7"/>
  <c r="M517" i="7"/>
  <c r="M516" i="7"/>
  <c r="M515" i="7"/>
  <c r="M514" i="7"/>
  <c r="M513" i="7"/>
  <c r="M512" i="7"/>
  <c r="M511" i="7"/>
  <c r="M510" i="7"/>
  <c r="M509" i="7"/>
  <c r="M508" i="7"/>
  <c r="M507" i="7"/>
  <c r="M506" i="7"/>
  <c r="M505" i="7"/>
  <c r="M504" i="7"/>
  <c r="H504" i="7"/>
  <c r="M503" i="7"/>
  <c r="H503" i="7"/>
  <c r="M502" i="7"/>
  <c r="H502" i="7"/>
  <c r="M501" i="7"/>
  <c r="H501" i="7"/>
  <c r="M500" i="7"/>
  <c r="H500" i="7"/>
  <c r="M499" i="7"/>
  <c r="H499" i="7"/>
  <c r="M498" i="7"/>
  <c r="H498" i="7"/>
  <c r="M497" i="7"/>
  <c r="H497" i="7"/>
  <c r="M496" i="7"/>
  <c r="H496" i="7"/>
  <c r="M495" i="7"/>
  <c r="H495" i="7"/>
  <c r="M494" i="7"/>
  <c r="H494" i="7"/>
  <c r="M493" i="7"/>
  <c r="H493" i="7"/>
  <c r="M492" i="7"/>
  <c r="H492" i="7"/>
  <c r="M491" i="7"/>
  <c r="H491" i="7"/>
  <c r="M490" i="7"/>
  <c r="H490" i="7"/>
  <c r="M489" i="7"/>
  <c r="H489" i="7"/>
  <c r="M488" i="7"/>
  <c r="H488" i="7"/>
  <c r="M487" i="7"/>
  <c r="H487" i="7"/>
  <c r="M486" i="7"/>
  <c r="H486" i="7"/>
  <c r="M485" i="7"/>
  <c r="H485" i="7"/>
  <c r="M484" i="7"/>
  <c r="H484" i="7"/>
  <c r="M483" i="7"/>
  <c r="H483" i="7"/>
  <c r="M482" i="7"/>
  <c r="H482" i="7"/>
  <c r="M481" i="7"/>
  <c r="H481" i="7"/>
  <c r="M480" i="7"/>
  <c r="H480" i="7"/>
  <c r="M479" i="7"/>
  <c r="H479" i="7"/>
  <c r="M478" i="7"/>
  <c r="H478" i="7"/>
  <c r="M477" i="7"/>
  <c r="H477" i="7"/>
  <c r="M476" i="7"/>
  <c r="H476" i="7"/>
  <c r="M475" i="7"/>
  <c r="H475" i="7"/>
  <c r="M474" i="7"/>
  <c r="H474" i="7"/>
  <c r="M473" i="7"/>
  <c r="H473" i="7"/>
  <c r="M472" i="7"/>
  <c r="H472" i="7"/>
  <c r="M471" i="7"/>
  <c r="H471" i="7"/>
  <c r="M470" i="7"/>
  <c r="H470" i="7"/>
  <c r="M469" i="7"/>
  <c r="H469" i="7"/>
  <c r="M468" i="7"/>
  <c r="H468" i="7"/>
  <c r="M467" i="7"/>
  <c r="H467" i="7"/>
  <c r="M466" i="7"/>
  <c r="H466" i="7"/>
  <c r="M465" i="7"/>
  <c r="H465" i="7"/>
  <c r="M464" i="7"/>
  <c r="H464" i="7"/>
  <c r="M463" i="7"/>
  <c r="H463" i="7"/>
  <c r="M462" i="7"/>
  <c r="H462" i="7"/>
  <c r="M461" i="7"/>
  <c r="H461" i="7"/>
  <c r="M460" i="7"/>
  <c r="H460" i="7"/>
  <c r="M459" i="7"/>
  <c r="H459" i="7"/>
  <c r="M458" i="7"/>
  <c r="H458" i="7"/>
  <c r="M457" i="7"/>
  <c r="H457" i="7"/>
  <c r="M456" i="7"/>
  <c r="H456" i="7"/>
  <c r="M455" i="7"/>
  <c r="H455" i="7"/>
  <c r="M454" i="7"/>
  <c r="H454" i="7"/>
  <c r="M453" i="7"/>
  <c r="H453" i="7"/>
  <c r="M452" i="7"/>
  <c r="H452" i="7"/>
  <c r="M451" i="7"/>
  <c r="H451" i="7"/>
  <c r="M450" i="7"/>
  <c r="H450" i="7"/>
  <c r="M449" i="7"/>
  <c r="H449" i="7"/>
  <c r="M448" i="7"/>
  <c r="H448" i="7"/>
  <c r="M447" i="7"/>
  <c r="H447" i="7"/>
  <c r="M446" i="7"/>
  <c r="H446" i="7"/>
  <c r="M445" i="7"/>
  <c r="H445" i="7"/>
  <c r="M444" i="7"/>
  <c r="H444" i="7"/>
  <c r="M443" i="7"/>
  <c r="H443" i="7"/>
  <c r="M442" i="7"/>
  <c r="H442" i="7"/>
  <c r="M441" i="7"/>
  <c r="H441" i="7"/>
  <c r="M440" i="7"/>
  <c r="H440" i="7"/>
  <c r="M439" i="7"/>
  <c r="H439" i="7"/>
  <c r="M438" i="7"/>
  <c r="H438" i="7"/>
  <c r="M437" i="7"/>
  <c r="H437" i="7"/>
  <c r="M436" i="7"/>
  <c r="H436" i="7"/>
  <c r="M435" i="7"/>
  <c r="H435" i="7"/>
  <c r="M434" i="7"/>
  <c r="H434" i="7"/>
  <c r="M433" i="7"/>
  <c r="H433" i="7"/>
  <c r="M432" i="7"/>
  <c r="H432" i="7"/>
  <c r="M431" i="7"/>
  <c r="H431" i="7"/>
  <c r="M430" i="7"/>
  <c r="H430" i="7"/>
  <c r="M429" i="7"/>
  <c r="H429" i="7"/>
  <c r="M428" i="7"/>
  <c r="H428" i="7"/>
  <c r="M427" i="7"/>
  <c r="H427" i="7"/>
  <c r="M426" i="7"/>
  <c r="H426" i="7"/>
  <c r="M425" i="7"/>
  <c r="H425" i="7"/>
  <c r="M424" i="7"/>
  <c r="H424" i="7"/>
  <c r="M423" i="7"/>
  <c r="H423" i="7"/>
  <c r="M422" i="7"/>
  <c r="H422" i="7"/>
  <c r="M421" i="7"/>
  <c r="H421" i="7"/>
  <c r="M420" i="7"/>
  <c r="H420" i="7"/>
  <c r="M419" i="7"/>
  <c r="H419" i="7"/>
  <c r="M418" i="7"/>
  <c r="H418" i="7"/>
  <c r="M417" i="7"/>
  <c r="H417" i="7"/>
  <c r="M416" i="7"/>
  <c r="H416" i="7"/>
  <c r="M415" i="7"/>
  <c r="H415" i="7"/>
  <c r="M414" i="7"/>
  <c r="H414" i="7"/>
  <c r="M413" i="7"/>
  <c r="H413" i="7"/>
  <c r="M412" i="7"/>
  <c r="H412" i="7"/>
  <c r="M411" i="7"/>
  <c r="H411" i="7"/>
  <c r="M410" i="7"/>
  <c r="H410" i="7"/>
  <c r="M409" i="7"/>
  <c r="H409" i="7"/>
  <c r="M408" i="7"/>
  <c r="H408" i="7"/>
  <c r="M407" i="7"/>
  <c r="H407" i="7"/>
  <c r="M406" i="7"/>
  <c r="H406" i="7"/>
  <c r="M405" i="7"/>
  <c r="H405" i="7"/>
  <c r="M404" i="7"/>
  <c r="H404" i="7"/>
  <c r="M403" i="7"/>
  <c r="H403" i="7"/>
  <c r="M402" i="7"/>
  <c r="H402" i="7"/>
  <c r="M401" i="7"/>
  <c r="H401" i="7"/>
  <c r="M400" i="7"/>
  <c r="H400" i="7"/>
  <c r="M399" i="7"/>
  <c r="H399" i="7"/>
  <c r="M398" i="7"/>
  <c r="H398" i="7"/>
  <c r="M397" i="7"/>
  <c r="H397" i="7"/>
  <c r="M396" i="7"/>
  <c r="H396" i="7"/>
  <c r="M395" i="7"/>
  <c r="H395" i="7"/>
  <c r="M394" i="7"/>
  <c r="H394" i="7"/>
  <c r="M393" i="7"/>
  <c r="H393" i="7"/>
  <c r="M392" i="7"/>
  <c r="H392" i="7"/>
  <c r="M391" i="7"/>
  <c r="H391" i="7"/>
  <c r="M390" i="7"/>
  <c r="H390" i="7"/>
  <c r="M389" i="7"/>
  <c r="H389" i="7"/>
  <c r="M388" i="7"/>
  <c r="H388" i="7"/>
  <c r="M387" i="7"/>
  <c r="H387" i="7"/>
  <c r="M386" i="7"/>
  <c r="H386" i="7"/>
  <c r="M385" i="7"/>
  <c r="H385" i="7"/>
  <c r="M384" i="7"/>
  <c r="H384" i="7"/>
  <c r="M383" i="7"/>
  <c r="H383" i="7"/>
  <c r="M382" i="7"/>
  <c r="H382" i="7"/>
  <c r="M381" i="7"/>
  <c r="H381" i="7"/>
  <c r="M380" i="7"/>
  <c r="H380" i="7"/>
  <c r="M379" i="7"/>
  <c r="H379" i="7"/>
  <c r="M378" i="7"/>
  <c r="H378" i="7"/>
  <c r="M377" i="7"/>
  <c r="H377" i="7"/>
  <c r="M376" i="7"/>
  <c r="H376" i="7"/>
  <c r="M375" i="7"/>
  <c r="H375" i="7"/>
  <c r="M374" i="7"/>
  <c r="H374" i="7"/>
  <c r="M373" i="7"/>
  <c r="H373" i="7"/>
  <c r="M372" i="7"/>
  <c r="H372" i="7"/>
  <c r="M371" i="7"/>
  <c r="H371" i="7"/>
  <c r="M370" i="7"/>
  <c r="H370" i="7"/>
  <c r="M369" i="7"/>
  <c r="H369" i="7"/>
  <c r="M368" i="7"/>
  <c r="H368" i="7"/>
  <c r="M367" i="7"/>
  <c r="H367" i="7"/>
  <c r="M366" i="7"/>
  <c r="H366" i="7"/>
  <c r="M365" i="7"/>
  <c r="H365" i="7"/>
  <c r="M364" i="7"/>
  <c r="H364" i="7"/>
  <c r="M363" i="7"/>
  <c r="H363" i="7"/>
  <c r="M362" i="7"/>
  <c r="H362" i="7"/>
  <c r="M361" i="7"/>
  <c r="H361" i="7"/>
  <c r="M360" i="7"/>
  <c r="H360" i="7"/>
  <c r="M359" i="7"/>
  <c r="H359" i="7"/>
  <c r="M358" i="7"/>
  <c r="H358" i="7"/>
  <c r="M357" i="7"/>
  <c r="H357" i="7"/>
  <c r="M356" i="7"/>
  <c r="H356" i="7"/>
  <c r="M355" i="7"/>
  <c r="H355" i="7"/>
  <c r="M354" i="7"/>
  <c r="H354" i="7"/>
  <c r="M353" i="7"/>
  <c r="H353" i="7"/>
  <c r="M352" i="7"/>
  <c r="H352" i="7"/>
  <c r="M351" i="7"/>
  <c r="H351" i="7"/>
  <c r="M350" i="7"/>
  <c r="H350" i="7"/>
  <c r="M349" i="7"/>
  <c r="H349" i="7"/>
  <c r="M348" i="7"/>
  <c r="H348" i="7"/>
  <c r="M347" i="7"/>
  <c r="H347" i="7"/>
  <c r="M346" i="7"/>
  <c r="H346" i="7"/>
  <c r="M345" i="7"/>
  <c r="H345" i="7"/>
  <c r="M344" i="7"/>
  <c r="H344" i="7"/>
  <c r="M343" i="7"/>
  <c r="H343" i="7"/>
  <c r="M342" i="7"/>
  <c r="H342" i="7"/>
  <c r="M341" i="7"/>
  <c r="H341" i="7"/>
  <c r="M340" i="7"/>
  <c r="H340" i="7"/>
  <c r="M339" i="7"/>
  <c r="H339" i="7"/>
  <c r="M338" i="7"/>
  <c r="H338" i="7"/>
  <c r="M337" i="7"/>
  <c r="H337" i="7"/>
  <c r="M336" i="7"/>
  <c r="H336" i="7"/>
  <c r="M335" i="7"/>
  <c r="H335" i="7"/>
  <c r="M334" i="7"/>
  <c r="H334" i="7"/>
  <c r="M333" i="7"/>
  <c r="H333" i="7"/>
  <c r="M332" i="7"/>
  <c r="H332" i="7"/>
  <c r="M331" i="7"/>
  <c r="H331" i="7"/>
  <c r="M330" i="7"/>
  <c r="H330" i="7"/>
  <c r="M329" i="7"/>
  <c r="H329" i="7"/>
  <c r="M328" i="7"/>
  <c r="H328" i="7"/>
  <c r="M327" i="7"/>
  <c r="H327" i="7"/>
  <c r="M326" i="7"/>
  <c r="H326" i="7"/>
  <c r="M325" i="7"/>
  <c r="H325" i="7"/>
  <c r="M324" i="7"/>
  <c r="H324" i="7"/>
  <c r="M323" i="7"/>
  <c r="H323" i="7"/>
  <c r="M322" i="7"/>
  <c r="H322" i="7"/>
  <c r="M321" i="7"/>
  <c r="H321" i="7"/>
  <c r="M320" i="7"/>
  <c r="H320" i="7"/>
  <c r="M319" i="7"/>
  <c r="H319" i="7"/>
  <c r="M318" i="7"/>
  <c r="H318" i="7"/>
  <c r="M317" i="7"/>
  <c r="H317" i="7"/>
  <c r="M316" i="7"/>
  <c r="H316" i="7"/>
  <c r="M315" i="7"/>
  <c r="H315" i="7"/>
  <c r="M314" i="7"/>
  <c r="H314" i="7"/>
  <c r="M313" i="7"/>
  <c r="H313" i="7"/>
  <c r="M312" i="7"/>
  <c r="H312" i="7"/>
  <c r="M311" i="7"/>
  <c r="H311" i="7"/>
  <c r="M310" i="7"/>
  <c r="H310" i="7"/>
  <c r="M309" i="7"/>
  <c r="H309" i="7"/>
  <c r="M308" i="7"/>
  <c r="H308" i="7"/>
  <c r="M307" i="7"/>
  <c r="H307" i="7"/>
  <c r="M306" i="7"/>
  <c r="H306" i="7"/>
  <c r="M305" i="7"/>
  <c r="H305" i="7"/>
  <c r="M304" i="7"/>
  <c r="H304" i="7"/>
  <c r="M303" i="7"/>
  <c r="H303" i="7"/>
  <c r="M302" i="7"/>
  <c r="H302" i="7"/>
  <c r="M301" i="7"/>
  <c r="H301" i="7"/>
  <c r="M300" i="7"/>
  <c r="H300" i="7"/>
  <c r="M299" i="7"/>
  <c r="H299" i="7"/>
  <c r="M298" i="7"/>
  <c r="H298" i="7"/>
  <c r="M297" i="7"/>
  <c r="H297" i="7"/>
  <c r="M296" i="7"/>
  <c r="H296" i="7"/>
  <c r="M295" i="7"/>
  <c r="H295" i="7"/>
  <c r="M294" i="7"/>
  <c r="H294" i="7"/>
  <c r="M293" i="7"/>
  <c r="H293" i="7"/>
  <c r="M292" i="7"/>
  <c r="H292" i="7"/>
  <c r="M291" i="7"/>
  <c r="H291" i="7"/>
  <c r="M290" i="7"/>
  <c r="H290" i="7"/>
  <c r="M289" i="7"/>
  <c r="H289" i="7"/>
  <c r="M288" i="7"/>
  <c r="H288" i="7"/>
  <c r="M287" i="7"/>
  <c r="H287" i="7"/>
  <c r="M286" i="7"/>
  <c r="H286" i="7"/>
  <c r="M285" i="7"/>
  <c r="H285" i="7"/>
  <c r="M284" i="7"/>
  <c r="H284" i="7"/>
  <c r="M283" i="7"/>
  <c r="H283" i="7"/>
  <c r="M282" i="7"/>
  <c r="H282" i="7"/>
  <c r="M281" i="7"/>
  <c r="H281" i="7"/>
  <c r="M280" i="7"/>
  <c r="H280" i="7"/>
  <c r="M279" i="7"/>
  <c r="H279" i="7"/>
  <c r="M278" i="7"/>
  <c r="H278" i="7"/>
  <c r="M277" i="7"/>
  <c r="H277" i="7"/>
  <c r="M276" i="7"/>
  <c r="H276" i="7"/>
  <c r="M275" i="7"/>
  <c r="H275" i="7"/>
  <c r="M274" i="7"/>
  <c r="H274" i="7"/>
  <c r="M273" i="7"/>
  <c r="H273" i="7"/>
  <c r="M272" i="7"/>
  <c r="H272" i="7"/>
  <c r="M271" i="7"/>
  <c r="H271" i="7"/>
  <c r="M270" i="7"/>
  <c r="H270" i="7"/>
  <c r="M269" i="7"/>
  <c r="H269" i="7"/>
  <c r="M268" i="7"/>
  <c r="H268" i="7"/>
  <c r="M267" i="7"/>
  <c r="H267" i="7"/>
  <c r="M266" i="7"/>
  <c r="H266" i="7"/>
  <c r="M265" i="7"/>
  <c r="H265" i="7"/>
  <c r="M264" i="7"/>
  <c r="H264" i="7"/>
  <c r="M263" i="7"/>
  <c r="H263" i="7"/>
  <c r="M262" i="7"/>
  <c r="H262" i="7"/>
  <c r="M261" i="7"/>
  <c r="H261" i="7"/>
  <c r="M260" i="7"/>
  <c r="H260" i="7"/>
  <c r="M259" i="7"/>
  <c r="H259" i="7"/>
  <c r="M258" i="7"/>
  <c r="H258" i="7"/>
  <c r="M257" i="7"/>
  <c r="H257" i="7"/>
  <c r="M256" i="7"/>
  <c r="H256" i="7"/>
  <c r="M255" i="7"/>
  <c r="H255" i="7"/>
  <c r="M254" i="7"/>
  <c r="H254" i="7"/>
  <c r="M253" i="7"/>
  <c r="H253" i="7"/>
  <c r="M252" i="7"/>
  <c r="H252" i="7"/>
  <c r="M251" i="7"/>
  <c r="H251" i="7"/>
  <c r="M250" i="7"/>
  <c r="H250" i="7"/>
  <c r="M249" i="7"/>
  <c r="H249" i="7"/>
  <c r="M248" i="7"/>
  <c r="H248" i="7"/>
  <c r="M247" i="7"/>
  <c r="H247" i="7"/>
  <c r="M246" i="7"/>
  <c r="H246" i="7"/>
  <c r="M245" i="7"/>
  <c r="H245" i="7"/>
  <c r="M244" i="7"/>
  <c r="H244" i="7"/>
  <c r="M243" i="7"/>
  <c r="H243" i="7"/>
  <c r="M242" i="7"/>
  <c r="H242" i="7"/>
  <c r="M241" i="7"/>
  <c r="H241" i="7"/>
  <c r="M240" i="7"/>
  <c r="H240" i="7"/>
  <c r="M239" i="7"/>
  <c r="H239" i="7"/>
  <c r="M238" i="7"/>
  <c r="H238" i="7"/>
  <c r="M237" i="7"/>
  <c r="H237" i="7"/>
  <c r="M236" i="7"/>
  <c r="H236" i="7"/>
  <c r="M235" i="7"/>
  <c r="H235" i="7"/>
  <c r="M234" i="7"/>
  <c r="H234" i="7"/>
  <c r="M233" i="7"/>
  <c r="H233" i="7"/>
  <c r="M232" i="7"/>
  <c r="H232" i="7"/>
  <c r="M231" i="7"/>
  <c r="H231" i="7"/>
  <c r="M230" i="7"/>
  <c r="H230" i="7"/>
  <c r="M229" i="7"/>
  <c r="H229" i="7"/>
  <c r="M228" i="7"/>
  <c r="H228" i="7"/>
  <c r="M227" i="7"/>
  <c r="H227" i="7"/>
  <c r="M226" i="7"/>
  <c r="H226" i="7"/>
  <c r="M225" i="7"/>
  <c r="H225" i="7"/>
  <c r="M224" i="7"/>
  <c r="H224" i="7"/>
  <c r="M223" i="7"/>
  <c r="H223" i="7"/>
  <c r="M222" i="7"/>
  <c r="H222" i="7"/>
  <c r="M221" i="7"/>
  <c r="H221" i="7"/>
  <c r="M220" i="7"/>
  <c r="H220" i="7"/>
  <c r="M219" i="7"/>
  <c r="H219" i="7"/>
  <c r="M218" i="7"/>
  <c r="H218" i="7"/>
  <c r="M217" i="7"/>
  <c r="H217" i="7"/>
  <c r="M216" i="7"/>
  <c r="H216" i="7"/>
  <c r="M215" i="7"/>
  <c r="H215" i="7"/>
  <c r="M214" i="7"/>
  <c r="H214" i="7"/>
  <c r="M213" i="7"/>
  <c r="H213" i="7"/>
  <c r="M212" i="7"/>
  <c r="H212" i="7"/>
  <c r="M211" i="7"/>
  <c r="H211" i="7"/>
  <c r="M210" i="7"/>
  <c r="H210" i="7"/>
  <c r="M209" i="7"/>
  <c r="H209" i="7"/>
  <c r="M208" i="7"/>
  <c r="H208" i="7"/>
  <c r="M207" i="7"/>
  <c r="H207" i="7"/>
  <c r="M206" i="7"/>
  <c r="H206" i="7"/>
  <c r="M205" i="7"/>
  <c r="H205" i="7"/>
  <c r="M204" i="7"/>
  <c r="H204" i="7"/>
  <c r="M203" i="7"/>
  <c r="H203" i="7"/>
  <c r="M202" i="7"/>
  <c r="H202" i="7"/>
  <c r="M201" i="7"/>
  <c r="H201" i="7"/>
  <c r="M200" i="7"/>
  <c r="H200" i="7"/>
  <c r="M199" i="7"/>
  <c r="H199" i="7"/>
  <c r="M198" i="7"/>
  <c r="H198" i="7"/>
  <c r="M197" i="7"/>
  <c r="H197" i="7"/>
  <c r="M196" i="7"/>
  <c r="H196" i="7"/>
  <c r="M195" i="7"/>
  <c r="H195" i="7"/>
  <c r="M194" i="7"/>
  <c r="H194" i="7"/>
  <c r="M193" i="7"/>
  <c r="H193" i="7"/>
  <c r="M192" i="7"/>
  <c r="H192" i="7"/>
  <c r="M191" i="7"/>
  <c r="H191" i="7"/>
  <c r="M190" i="7"/>
  <c r="H190" i="7"/>
  <c r="M189" i="7"/>
  <c r="H189" i="7"/>
  <c r="M188" i="7"/>
  <c r="H188" i="7"/>
  <c r="M187" i="7"/>
  <c r="H187" i="7"/>
  <c r="M186" i="7"/>
  <c r="H186" i="7"/>
  <c r="M185" i="7"/>
  <c r="H185" i="7"/>
  <c r="M184" i="7"/>
  <c r="H184" i="7"/>
  <c r="M183" i="7"/>
  <c r="H183" i="7"/>
  <c r="M182" i="7"/>
  <c r="H182" i="7"/>
  <c r="M181" i="7"/>
  <c r="H181" i="7"/>
  <c r="M180" i="7"/>
  <c r="H180" i="7"/>
  <c r="M179" i="7"/>
  <c r="H179" i="7"/>
  <c r="M178" i="7"/>
  <c r="H178" i="7"/>
  <c r="M177" i="7"/>
  <c r="H177" i="7"/>
  <c r="M176" i="7"/>
  <c r="H176" i="7"/>
  <c r="M175" i="7"/>
  <c r="H175" i="7"/>
  <c r="M174" i="7"/>
  <c r="H174" i="7"/>
  <c r="M173" i="7"/>
  <c r="H173" i="7"/>
  <c r="M172" i="7"/>
  <c r="H172" i="7"/>
  <c r="M171" i="7"/>
  <c r="H171" i="7"/>
  <c r="M170" i="7"/>
  <c r="H170" i="7"/>
  <c r="M169" i="7"/>
  <c r="H169" i="7"/>
  <c r="M168" i="7"/>
  <c r="H168" i="7"/>
  <c r="M167" i="7"/>
  <c r="H167" i="7"/>
  <c r="M166" i="7"/>
  <c r="H166" i="7"/>
  <c r="M165" i="7"/>
  <c r="H165" i="7"/>
  <c r="M164" i="7"/>
  <c r="H164" i="7"/>
  <c r="M163" i="7"/>
  <c r="H163" i="7"/>
  <c r="M162" i="7"/>
  <c r="H162" i="7"/>
  <c r="M161" i="7"/>
  <c r="H161" i="7"/>
  <c r="M160" i="7"/>
  <c r="H160" i="7"/>
  <c r="M159" i="7"/>
  <c r="H159" i="7"/>
  <c r="M158" i="7"/>
  <c r="H158" i="7"/>
  <c r="M157" i="7"/>
  <c r="H157" i="7"/>
  <c r="M156" i="7"/>
  <c r="H156" i="7"/>
  <c r="M155" i="7"/>
  <c r="H155" i="7"/>
  <c r="M154" i="7"/>
  <c r="H154" i="7"/>
  <c r="M153" i="7"/>
  <c r="H153" i="7"/>
  <c r="M152" i="7"/>
  <c r="H152" i="7"/>
  <c r="M151" i="7"/>
  <c r="H151" i="7"/>
  <c r="M150" i="7"/>
  <c r="H150" i="7"/>
  <c r="M149" i="7"/>
  <c r="H149" i="7"/>
  <c r="M148" i="7"/>
  <c r="H148" i="7"/>
  <c r="M147" i="7"/>
  <c r="H147" i="7"/>
  <c r="M146" i="7"/>
  <c r="H146" i="7"/>
  <c r="M145" i="7"/>
  <c r="H145" i="7"/>
  <c r="M144" i="7"/>
  <c r="H144" i="7"/>
  <c r="M143" i="7"/>
  <c r="H143" i="7"/>
  <c r="M142" i="7"/>
  <c r="H142" i="7"/>
  <c r="M141" i="7"/>
  <c r="H141" i="7"/>
  <c r="M140" i="7"/>
  <c r="H140" i="7"/>
  <c r="M139" i="7"/>
  <c r="H139" i="7"/>
  <c r="M138" i="7"/>
  <c r="H138" i="7"/>
  <c r="M137" i="7"/>
  <c r="H137" i="7"/>
  <c r="M136" i="7"/>
  <c r="H136" i="7"/>
  <c r="M135" i="7"/>
  <c r="H135" i="7"/>
  <c r="M134" i="7"/>
  <c r="H134" i="7"/>
  <c r="M133" i="7"/>
  <c r="H133" i="7"/>
  <c r="M132" i="7"/>
  <c r="H132" i="7"/>
  <c r="M131" i="7"/>
  <c r="H131" i="7"/>
  <c r="M130" i="7"/>
  <c r="H130" i="7"/>
  <c r="M129" i="7"/>
  <c r="H129" i="7"/>
  <c r="M128" i="7"/>
  <c r="H128" i="7"/>
  <c r="M127" i="7"/>
  <c r="H127" i="7"/>
  <c r="M126" i="7"/>
  <c r="H126" i="7"/>
  <c r="M125" i="7"/>
  <c r="H125" i="7"/>
  <c r="M124" i="7"/>
  <c r="H124" i="7"/>
  <c r="M123" i="7"/>
  <c r="H123" i="7"/>
  <c r="M122" i="7"/>
  <c r="H122" i="7"/>
  <c r="M121" i="7"/>
  <c r="H121" i="7"/>
  <c r="M120" i="7"/>
  <c r="H120" i="7"/>
  <c r="M119" i="7"/>
  <c r="H119" i="7"/>
  <c r="M118" i="7"/>
  <c r="H118" i="7"/>
  <c r="M117" i="7"/>
  <c r="H117" i="7"/>
  <c r="M116" i="7"/>
  <c r="H116" i="7"/>
  <c r="M115" i="7"/>
  <c r="H115" i="7"/>
  <c r="M114" i="7"/>
  <c r="H114" i="7"/>
  <c r="M113" i="7"/>
  <c r="H113" i="7"/>
  <c r="M112" i="7"/>
  <c r="H112" i="7"/>
  <c r="M111" i="7"/>
  <c r="H111" i="7"/>
  <c r="M110" i="7"/>
  <c r="H110" i="7"/>
  <c r="M109" i="7"/>
  <c r="H109" i="7"/>
  <c r="M108" i="7"/>
  <c r="H108" i="7"/>
  <c r="M107" i="7"/>
  <c r="H107" i="7"/>
  <c r="M106" i="7"/>
  <c r="H106" i="7"/>
  <c r="M105" i="7"/>
  <c r="H105" i="7"/>
  <c r="M104" i="7"/>
  <c r="H104" i="7"/>
  <c r="M103" i="7"/>
  <c r="H103" i="7"/>
  <c r="M102" i="7"/>
  <c r="H102" i="7"/>
  <c r="M101" i="7"/>
  <c r="H101" i="7"/>
  <c r="M100" i="7"/>
  <c r="H100" i="7"/>
  <c r="M99" i="7"/>
  <c r="H99" i="7"/>
  <c r="M98" i="7"/>
  <c r="H98" i="7"/>
  <c r="M97" i="7"/>
  <c r="H97" i="7"/>
  <c r="M96" i="7"/>
  <c r="H96" i="7"/>
  <c r="M95" i="7"/>
  <c r="H95" i="7"/>
  <c r="M94" i="7"/>
  <c r="H94" i="7"/>
  <c r="M93" i="7"/>
  <c r="H93" i="7"/>
  <c r="M92" i="7"/>
  <c r="H92" i="7"/>
  <c r="M91" i="7"/>
  <c r="H91" i="7"/>
  <c r="M90" i="7"/>
  <c r="H90" i="7"/>
  <c r="M89" i="7"/>
  <c r="H89" i="7"/>
  <c r="M88" i="7"/>
  <c r="H88" i="7"/>
  <c r="M87" i="7"/>
  <c r="H87" i="7"/>
  <c r="M86" i="7"/>
  <c r="H86" i="7"/>
  <c r="M85" i="7"/>
  <c r="H85" i="7"/>
  <c r="M84" i="7"/>
  <c r="H84" i="7"/>
  <c r="M83" i="7"/>
  <c r="H83" i="7"/>
  <c r="M82" i="7"/>
  <c r="H82" i="7"/>
  <c r="M81" i="7"/>
  <c r="H81" i="7"/>
  <c r="M80" i="7"/>
  <c r="H80" i="7"/>
  <c r="M79" i="7"/>
  <c r="H79" i="7"/>
  <c r="M78" i="7"/>
  <c r="H78" i="7"/>
  <c r="M77" i="7"/>
  <c r="H77" i="7"/>
  <c r="M76" i="7"/>
  <c r="H76" i="7"/>
  <c r="M75" i="7"/>
  <c r="H75" i="7"/>
  <c r="M74" i="7"/>
  <c r="H74" i="7"/>
  <c r="M73" i="7"/>
  <c r="H73" i="7"/>
  <c r="M72" i="7"/>
  <c r="H72" i="7"/>
  <c r="M71" i="7"/>
  <c r="H71" i="7"/>
  <c r="M70" i="7"/>
  <c r="H70" i="7"/>
  <c r="M69" i="7"/>
  <c r="H69" i="7"/>
  <c r="M68" i="7"/>
  <c r="H68" i="7"/>
  <c r="M67" i="7"/>
  <c r="H67" i="7"/>
  <c r="M66" i="7"/>
  <c r="H66" i="7"/>
  <c r="M65" i="7"/>
  <c r="H65" i="7"/>
  <c r="M64" i="7"/>
  <c r="H64" i="7"/>
  <c r="M63" i="7"/>
  <c r="H63" i="7"/>
  <c r="M62" i="7"/>
  <c r="H62" i="7"/>
  <c r="M61" i="7"/>
  <c r="H61" i="7"/>
  <c r="M60" i="7"/>
  <c r="H60" i="7"/>
  <c r="M59" i="7"/>
  <c r="H59" i="7"/>
  <c r="M58" i="7"/>
  <c r="H58" i="7"/>
  <c r="M57" i="7"/>
  <c r="H57" i="7"/>
  <c r="M56" i="7"/>
  <c r="H56" i="7"/>
  <c r="M55" i="7"/>
  <c r="H55" i="7"/>
  <c r="M54" i="7"/>
  <c r="H54" i="7"/>
  <c r="M53" i="7"/>
  <c r="H53" i="7"/>
  <c r="M52" i="7"/>
  <c r="H52" i="7"/>
  <c r="M51" i="7"/>
  <c r="H51" i="7"/>
  <c r="M50" i="7"/>
  <c r="H50" i="7"/>
  <c r="M49" i="7"/>
  <c r="H49" i="7"/>
  <c r="M48" i="7"/>
  <c r="H48" i="7"/>
  <c r="M47" i="7"/>
  <c r="H47" i="7"/>
  <c r="M46" i="7"/>
  <c r="H46" i="7"/>
  <c r="M45" i="7"/>
  <c r="H45" i="7"/>
  <c r="M44" i="7"/>
  <c r="H44" i="7"/>
  <c r="M43" i="7"/>
  <c r="H43" i="7"/>
  <c r="M42" i="7"/>
  <c r="H42" i="7"/>
  <c r="M41" i="7"/>
  <c r="H41" i="7"/>
  <c r="M40" i="7"/>
  <c r="H40" i="7"/>
  <c r="M39" i="7"/>
  <c r="H39" i="7"/>
  <c r="M38" i="7"/>
  <c r="H38" i="7"/>
  <c r="M37" i="7"/>
  <c r="H37" i="7"/>
  <c r="M36" i="7"/>
  <c r="H36" i="7"/>
  <c r="M35" i="7"/>
  <c r="H35" i="7"/>
  <c r="M34" i="7"/>
  <c r="H34" i="7"/>
  <c r="M33" i="7"/>
  <c r="H33" i="7"/>
  <c r="M32" i="7"/>
  <c r="H32" i="7"/>
  <c r="M31" i="7"/>
  <c r="H31" i="7"/>
  <c r="M30" i="7"/>
  <c r="H30" i="7"/>
  <c r="M29" i="7"/>
  <c r="H29" i="7"/>
  <c r="M28" i="7"/>
  <c r="H28" i="7"/>
  <c r="M27" i="7"/>
  <c r="H27" i="7"/>
  <c r="M26" i="7"/>
  <c r="H26" i="7"/>
  <c r="M25" i="7"/>
  <c r="H25" i="7"/>
  <c r="M24" i="7"/>
  <c r="H24" i="7"/>
  <c r="M23" i="7"/>
  <c r="H23" i="7"/>
  <c r="M22" i="7"/>
  <c r="H22" i="7"/>
  <c r="M21" i="7"/>
  <c r="H21" i="7"/>
  <c r="M20" i="7"/>
  <c r="H20" i="7"/>
  <c r="M19" i="7"/>
  <c r="H19" i="7"/>
  <c r="M18" i="7"/>
  <c r="H18" i="7"/>
  <c r="M17" i="7"/>
  <c r="H17" i="7"/>
  <c r="M16" i="7"/>
  <c r="H16" i="7"/>
  <c r="M15" i="7"/>
  <c r="H15" i="7"/>
  <c r="M14" i="7"/>
  <c r="H14" i="7"/>
  <c r="M13" i="7"/>
  <c r="H13" i="7"/>
  <c r="M12" i="7"/>
  <c r="H12" i="7"/>
  <c r="M11" i="7"/>
  <c r="H11" i="7"/>
  <c r="M10" i="7"/>
  <c r="H10" i="7"/>
  <c r="M9" i="7"/>
  <c r="H9" i="7"/>
  <c r="M8" i="7"/>
  <c r="H8" i="7"/>
  <c r="M7" i="7"/>
  <c r="H7" i="7"/>
  <c r="M6" i="7"/>
  <c r="H6" i="7"/>
  <c r="Z999" i="6"/>
  <c r="Y999" i="6"/>
  <c r="X999" i="6"/>
  <c r="W999" i="6"/>
  <c r="R999" i="6"/>
  <c r="M999" i="6"/>
  <c r="N999" i="6"/>
  <c r="I999" i="6"/>
  <c r="H999" i="6"/>
  <c r="Z998" i="6"/>
  <c r="Y998" i="6"/>
  <c r="X998" i="6"/>
  <c r="W998" i="6"/>
  <c r="R998" i="6"/>
  <c r="M998" i="6"/>
  <c r="N998" i="6"/>
  <c r="I998" i="6"/>
  <c r="H998" i="6"/>
  <c r="Z997" i="6"/>
  <c r="Y997" i="6"/>
  <c r="X997" i="6"/>
  <c r="W997" i="6"/>
  <c r="R997" i="6"/>
  <c r="M997" i="6"/>
  <c r="N997" i="6"/>
  <c r="I997" i="6"/>
  <c r="H997" i="6"/>
  <c r="Z996" i="6"/>
  <c r="Y996" i="6"/>
  <c r="X996" i="6"/>
  <c r="W996" i="6"/>
  <c r="R996" i="6"/>
  <c r="M996" i="6"/>
  <c r="N996" i="6"/>
  <c r="I996" i="6"/>
  <c r="H996" i="6"/>
  <c r="Z995" i="6"/>
  <c r="Y995" i="6"/>
  <c r="X995" i="6"/>
  <c r="W995" i="6"/>
  <c r="R995" i="6"/>
  <c r="M995" i="6"/>
  <c r="N995" i="6"/>
  <c r="I995" i="6"/>
  <c r="H995" i="6"/>
  <c r="Z994" i="6"/>
  <c r="Y994" i="6"/>
  <c r="X994" i="6"/>
  <c r="W994" i="6"/>
  <c r="R994" i="6"/>
  <c r="M994" i="6"/>
  <c r="N994" i="6"/>
  <c r="I994" i="6"/>
  <c r="H994" i="6"/>
  <c r="Z993" i="6"/>
  <c r="Y993" i="6"/>
  <c r="X993" i="6"/>
  <c r="W993" i="6"/>
  <c r="R993" i="6"/>
  <c r="M993" i="6"/>
  <c r="N993" i="6"/>
  <c r="I993" i="6"/>
  <c r="H993" i="6"/>
  <c r="Z992" i="6"/>
  <c r="Y992" i="6"/>
  <c r="X992" i="6"/>
  <c r="W992" i="6"/>
  <c r="R992" i="6"/>
  <c r="M992" i="6"/>
  <c r="N992" i="6"/>
  <c r="I992" i="6"/>
  <c r="H992" i="6"/>
  <c r="Z991" i="6"/>
  <c r="Y991" i="6"/>
  <c r="X991" i="6"/>
  <c r="W991" i="6"/>
  <c r="R991" i="6"/>
  <c r="M991" i="6"/>
  <c r="N991" i="6"/>
  <c r="I991" i="6"/>
  <c r="H991" i="6"/>
  <c r="Z990" i="6"/>
  <c r="Y990" i="6"/>
  <c r="X990" i="6"/>
  <c r="W990" i="6"/>
  <c r="R990" i="6"/>
  <c r="M990" i="6"/>
  <c r="N990" i="6"/>
  <c r="I990" i="6"/>
  <c r="H990" i="6"/>
  <c r="Z989" i="6"/>
  <c r="Y989" i="6"/>
  <c r="X989" i="6"/>
  <c r="W989" i="6"/>
  <c r="R989" i="6"/>
  <c r="M989" i="6"/>
  <c r="N989" i="6"/>
  <c r="I989" i="6"/>
  <c r="H989" i="6"/>
  <c r="Z988" i="6"/>
  <c r="Y988" i="6"/>
  <c r="X988" i="6"/>
  <c r="W988" i="6"/>
  <c r="R988" i="6"/>
  <c r="M988" i="6"/>
  <c r="N988" i="6"/>
  <c r="I988" i="6"/>
  <c r="H988" i="6"/>
  <c r="Z987" i="6"/>
  <c r="Y987" i="6"/>
  <c r="X987" i="6"/>
  <c r="W987" i="6"/>
  <c r="R987" i="6"/>
  <c r="M987" i="6"/>
  <c r="N987" i="6"/>
  <c r="I987" i="6"/>
  <c r="H987" i="6"/>
  <c r="Z986" i="6"/>
  <c r="Y986" i="6"/>
  <c r="X986" i="6"/>
  <c r="W986" i="6"/>
  <c r="R986" i="6"/>
  <c r="N986" i="6"/>
  <c r="M986" i="6"/>
  <c r="I986" i="6"/>
  <c r="H986" i="6"/>
  <c r="Z985" i="6"/>
  <c r="Y985" i="6"/>
  <c r="X985" i="6"/>
  <c r="W985" i="6"/>
  <c r="R985" i="6"/>
  <c r="N985" i="6"/>
  <c r="M985" i="6"/>
  <c r="I985" i="6"/>
  <c r="H985" i="6"/>
  <c r="Z984" i="6"/>
  <c r="Y984" i="6"/>
  <c r="X984" i="6"/>
  <c r="W984" i="6"/>
  <c r="R984" i="6"/>
  <c r="M984" i="6"/>
  <c r="N984" i="6"/>
  <c r="I984" i="6"/>
  <c r="H984" i="6"/>
  <c r="Z983" i="6"/>
  <c r="Y983" i="6"/>
  <c r="X983" i="6"/>
  <c r="W983" i="6"/>
  <c r="R983" i="6"/>
  <c r="M983" i="6"/>
  <c r="N983" i="6"/>
  <c r="I983" i="6"/>
  <c r="H983" i="6"/>
  <c r="Z982" i="6"/>
  <c r="Y982" i="6"/>
  <c r="X982" i="6"/>
  <c r="W982" i="6"/>
  <c r="R982" i="6"/>
  <c r="M982" i="6"/>
  <c r="N982" i="6"/>
  <c r="I982" i="6"/>
  <c r="H982" i="6"/>
  <c r="Z981" i="6"/>
  <c r="Y981" i="6"/>
  <c r="X981" i="6"/>
  <c r="W981" i="6"/>
  <c r="R981" i="6"/>
  <c r="M981" i="6"/>
  <c r="N981" i="6"/>
  <c r="I981" i="6"/>
  <c r="H981" i="6"/>
  <c r="Z980" i="6"/>
  <c r="Y980" i="6"/>
  <c r="X980" i="6"/>
  <c r="W980" i="6"/>
  <c r="R980" i="6"/>
  <c r="M980" i="6"/>
  <c r="N980" i="6"/>
  <c r="I980" i="6"/>
  <c r="H980" i="6"/>
  <c r="Z979" i="6"/>
  <c r="Y979" i="6"/>
  <c r="X979" i="6"/>
  <c r="W979" i="6"/>
  <c r="R979" i="6"/>
  <c r="M979" i="6"/>
  <c r="N979" i="6"/>
  <c r="I979" i="6"/>
  <c r="H979" i="6"/>
  <c r="Z978" i="6"/>
  <c r="Y978" i="6"/>
  <c r="X978" i="6"/>
  <c r="W978" i="6"/>
  <c r="R978" i="6"/>
  <c r="M978" i="6"/>
  <c r="N978" i="6"/>
  <c r="I978" i="6"/>
  <c r="H978" i="6"/>
  <c r="Z977" i="6"/>
  <c r="Y977" i="6"/>
  <c r="X977" i="6"/>
  <c r="W977" i="6"/>
  <c r="R977" i="6"/>
  <c r="M977" i="6"/>
  <c r="N977" i="6"/>
  <c r="I977" i="6"/>
  <c r="H977" i="6"/>
  <c r="Z976" i="6"/>
  <c r="Y976" i="6"/>
  <c r="X976" i="6"/>
  <c r="W976" i="6"/>
  <c r="R976" i="6"/>
  <c r="N976" i="6"/>
  <c r="M976" i="6"/>
  <c r="I976" i="6"/>
  <c r="H976" i="6"/>
  <c r="Z975" i="6"/>
  <c r="Y975" i="6"/>
  <c r="X975" i="6"/>
  <c r="W975" i="6"/>
  <c r="R975" i="6"/>
  <c r="M975" i="6"/>
  <c r="N975" i="6"/>
  <c r="I975" i="6"/>
  <c r="H975" i="6"/>
  <c r="Z974" i="6"/>
  <c r="Y974" i="6"/>
  <c r="X974" i="6"/>
  <c r="W974" i="6"/>
  <c r="R974" i="6"/>
  <c r="M974" i="6"/>
  <c r="N974" i="6"/>
  <c r="I974" i="6"/>
  <c r="H974" i="6"/>
  <c r="Z973" i="6"/>
  <c r="Y973" i="6"/>
  <c r="X973" i="6"/>
  <c r="W973" i="6"/>
  <c r="R973" i="6"/>
  <c r="M973" i="6"/>
  <c r="N973" i="6"/>
  <c r="I973" i="6"/>
  <c r="H973" i="6"/>
  <c r="Z972" i="6"/>
  <c r="Y972" i="6"/>
  <c r="X972" i="6"/>
  <c r="W972" i="6"/>
  <c r="R972" i="6"/>
  <c r="M972" i="6"/>
  <c r="N972" i="6"/>
  <c r="I972" i="6"/>
  <c r="H972" i="6"/>
  <c r="Z971" i="6"/>
  <c r="Y971" i="6"/>
  <c r="X971" i="6"/>
  <c r="W971" i="6"/>
  <c r="R971" i="6"/>
  <c r="N971" i="6"/>
  <c r="M971" i="6"/>
  <c r="I971" i="6"/>
  <c r="H971" i="6"/>
  <c r="Z970" i="6"/>
  <c r="Y970" i="6"/>
  <c r="X970" i="6"/>
  <c r="W970" i="6"/>
  <c r="R970" i="6"/>
  <c r="N970" i="6"/>
  <c r="M970" i="6"/>
  <c r="I970" i="6"/>
  <c r="H970" i="6"/>
  <c r="Z969" i="6"/>
  <c r="Y969" i="6"/>
  <c r="X969" i="6"/>
  <c r="W969" i="6"/>
  <c r="R969" i="6"/>
  <c r="M969" i="6"/>
  <c r="N969" i="6"/>
  <c r="I969" i="6"/>
  <c r="H969" i="6"/>
  <c r="Z968" i="6"/>
  <c r="Y968" i="6"/>
  <c r="X968" i="6"/>
  <c r="W968" i="6"/>
  <c r="R968" i="6"/>
  <c r="M968" i="6"/>
  <c r="N968" i="6"/>
  <c r="I968" i="6"/>
  <c r="H968" i="6"/>
  <c r="Z967" i="6"/>
  <c r="Y967" i="6"/>
  <c r="X967" i="6"/>
  <c r="W967" i="6"/>
  <c r="R967" i="6"/>
  <c r="N967" i="6"/>
  <c r="M967" i="6"/>
  <c r="I967" i="6"/>
  <c r="H967" i="6"/>
  <c r="Z966" i="6"/>
  <c r="Y966" i="6"/>
  <c r="X966" i="6"/>
  <c r="W966" i="6"/>
  <c r="R966" i="6"/>
  <c r="M966" i="6"/>
  <c r="N966" i="6"/>
  <c r="I966" i="6"/>
  <c r="H966" i="6"/>
  <c r="Z965" i="6"/>
  <c r="Y965" i="6"/>
  <c r="X965" i="6"/>
  <c r="W965" i="6"/>
  <c r="R965" i="6"/>
  <c r="M965" i="6"/>
  <c r="N965" i="6"/>
  <c r="I965" i="6"/>
  <c r="H965" i="6"/>
  <c r="Z964" i="6"/>
  <c r="Y964" i="6"/>
  <c r="X964" i="6"/>
  <c r="W964" i="6"/>
  <c r="R964" i="6"/>
  <c r="M964" i="6"/>
  <c r="N964" i="6"/>
  <c r="I964" i="6"/>
  <c r="H964" i="6"/>
  <c r="Z963" i="6"/>
  <c r="Y963" i="6"/>
  <c r="X963" i="6"/>
  <c r="W963" i="6"/>
  <c r="R963" i="6"/>
  <c r="N963" i="6"/>
  <c r="M963" i="6"/>
  <c r="I963" i="6"/>
  <c r="H963" i="6"/>
  <c r="Z962" i="6"/>
  <c r="Y962" i="6"/>
  <c r="X962" i="6"/>
  <c r="W962" i="6"/>
  <c r="R962" i="6"/>
  <c r="M962" i="6"/>
  <c r="N962" i="6"/>
  <c r="I962" i="6"/>
  <c r="H962" i="6"/>
  <c r="Z961" i="6"/>
  <c r="Y961" i="6"/>
  <c r="X961" i="6"/>
  <c r="W961" i="6"/>
  <c r="R961" i="6"/>
  <c r="M961" i="6"/>
  <c r="N961" i="6"/>
  <c r="I961" i="6"/>
  <c r="H961" i="6"/>
  <c r="Z960" i="6"/>
  <c r="Y960" i="6"/>
  <c r="X960" i="6"/>
  <c r="W960" i="6"/>
  <c r="R960" i="6"/>
  <c r="M960" i="6"/>
  <c r="N960" i="6"/>
  <c r="I960" i="6"/>
  <c r="H960" i="6"/>
  <c r="Z959" i="6"/>
  <c r="Y959" i="6"/>
  <c r="X959" i="6"/>
  <c r="W959" i="6"/>
  <c r="R959" i="6"/>
  <c r="M959" i="6"/>
  <c r="N959" i="6"/>
  <c r="I959" i="6"/>
  <c r="H959" i="6"/>
  <c r="Z958" i="6"/>
  <c r="Y958" i="6"/>
  <c r="X958" i="6"/>
  <c r="W958" i="6"/>
  <c r="R958" i="6"/>
  <c r="M958" i="6"/>
  <c r="N958" i="6"/>
  <c r="I958" i="6"/>
  <c r="H958" i="6"/>
  <c r="Z957" i="6"/>
  <c r="Y957" i="6"/>
  <c r="X957" i="6"/>
  <c r="W957" i="6"/>
  <c r="R957" i="6"/>
  <c r="M957" i="6"/>
  <c r="N957" i="6"/>
  <c r="I957" i="6"/>
  <c r="H957" i="6"/>
  <c r="Z956" i="6"/>
  <c r="Y956" i="6"/>
  <c r="X956" i="6"/>
  <c r="W956" i="6"/>
  <c r="R956" i="6"/>
  <c r="M956" i="6"/>
  <c r="N956" i="6"/>
  <c r="I956" i="6"/>
  <c r="H956" i="6"/>
  <c r="Z955" i="6"/>
  <c r="Y955" i="6"/>
  <c r="X955" i="6"/>
  <c r="W955" i="6"/>
  <c r="R955" i="6"/>
  <c r="M955" i="6"/>
  <c r="N955" i="6"/>
  <c r="I955" i="6"/>
  <c r="H955" i="6"/>
  <c r="Z954" i="6"/>
  <c r="Y954" i="6"/>
  <c r="X954" i="6"/>
  <c r="W954" i="6"/>
  <c r="R954" i="6"/>
  <c r="M954" i="6"/>
  <c r="N954" i="6"/>
  <c r="I954" i="6"/>
  <c r="H954" i="6"/>
  <c r="Z953" i="6"/>
  <c r="Y953" i="6"/>
  <c r="X953" i="6"/>
  <c r="W953" i="6"/>
  <c r="R953" i="6"/>
  <c r="M953" i="6"/>
  <c r="N953" i="6"/>
  <c r="I953" i="6"/>
  <c r="H953" i="6"/>
  <c r="Z952" i="6"/>
  <c r="Y952" i="6"/>
  <c r="X952" i="6"/>
  <c r="W952" i="6"/>
  <c r="R952" i="6"/>
  <c r="M952" i="6"/>
  <c r="N952" i="6"/>
  <c r="I952" i="6"/>
  <c r="H952" i="6"/>
  <c r="Z951" i="6"/>
  <c r="Y951" i="6"/>
  <c r="X951" i="6"/>
  <c r="W951" i="6"/>
  <c r="R951" i="6"/>
  <c r="N951" i="6"/>
  <c r="M951" i="6"/>
  <c r="I951" i="6"/>
  <c r="H951" i="6"/>
  <c r="Z950" i="6"/>
  <c r="Y950" i="6"/>
  <c r="X950" i="6"/>
  <c r="W950" i="6"/>
  <c r="R950" i="6"/>
  <c r="M950" i="6"/>
  <c r="N950" i="6"/>
  <c r="I950" i="6"/>
  <c r="H950" i="6"/>
  <c r="Z949" i="6"/>
  <c r="Y949" i="6"/>
  <c r="X949" i="6"/>
  <c r="W949" i="6"/>
  <c r="R949" i="6"/>
  <c r="M949" i="6"/>
  <c r="N949" i="6"/>
  <c r="I949" i="6"/>
  <c r="H949" i="6"/>
  <c r="Z948" i="6"/>
  <c r="Y948" i="6"/>
  <c r="X948" i="6"/>
  <c r="W948" i="6"/>
  <c r="R948" i="6"/>
  <c r="M948" i="6"/>
  <c r="N948" i="6"/>
  <c r="I948" i="6"/>
  <c r="H948" i="6"/>
  <c r="Z947" i="6"/>
  <c r="Y947" i="6"/>
  <c r="X947" i="6"/>
  <c r="W947" i="6"/>
  <c r="R947" i="6"/>
  <c r="M947" i="6"/>
  <c r="N947" i="6"/>
  <c r="I947" i="6"/>
  <c r="H947" i="6"/>
  <c r="Z946" i="6"/>
  <c r="Y946" i="6"/>
  <c r="X946" i="6"/>
  <c r="W946" i="6"/>
  <c r="R946" i="6"/>
  <c r="M946" i="6"/>
  <c r="N946" i="6"/>
  <c r="I946" i="6"/>
  <c r="H946" i="6"/>
  <c r="Z945" i="6"/>
  <c r="Y945" i="6"/>
  <c r="X945" i="6"/>
  <c r="W945" i="6"/>
  <c r="R945" i="6"/>
  <c r="M945" i="6"/>
  <c r="N945" i="6"/>
  <c r="I945" i="6"/>
  <c r="H945" i="6"/>
  <c r="Z944" i="6"/>
  <c r="Y944" i="6"/>
  <c r="X944" i="6"/>
  <c r="W944" i="6"/>
  <c r="R944" i="6"/>
  <c r="N944" i="6"/>
  <c r="M944" i="6"/>
  <c r="I944" i="6"/>
  <c r="H944" i="6"/>
  <c r="Z943" i="6"/>
  <c r="Y943" i="6"/>
  <c r="X943" i="6"/>
  <c r="W943" i="6"/>
  <c r="R943" i="6"/>
  <c r="M943" i="6"/>
  <c r="N943" i="6"/>
  <c r="I943" i="6"/>
  <c r="H943" i="6"/>
  <c r="Z942" i="6"/>
  <c r="Y942" i="6"/>
  <c r="X942" i="6"/>
  <c r="W942" i="6"/>
  <c r="R942" i="6"/>
  <c r="M942" i="6"/>
  <c r="N942" i="6"/>
  <c r="I942" i="6"/>
  <c r="H942" i="6"/>
  <c r="Z941" i="6"/>
  <c r="Y941" i="6"/>
  <c r="X941" i="6"/>
  <c r="W941" i="6"/>
  <c r="R941" i="6"/>
  <c r="N941" i="6"/>
  <c r="M941" i="6"/>
  <c r="I941" i="6"/>
  <c r="H941" i="6"/>
  <c r="Z940" i="6"/>
  <c r="Y940" i="6"/>
  <c r="X940" i="6"/>
  <c r="W940" i="6"/>
  <c r="R940" i="6"/>
  <c r="M940" i="6"/>
  <c r="N940" i="6"/>
  <c r="I940" i="6"/>
  <c r="H940" i="6"/>
  <c r="Z939" i="6"/>
  <c r="Y939" i="6"/>
  <c r="X939" i="6"/>
  <c r="W939" i="6"/>
  <c r="R939" i="6"/>
  <c r="M939" i="6"/>
  <c r="N939" i="6"/>
  <c r="I939" i="6"/>
  <c r="H939" i="6"/>
  <c r="Z938" i="6"/>
  <c r="Y938" i="6"/>
  <c r="X938" i="6"/>
  <c r="W938" i="6"/>
  <c r="R938" i="6"/>
  <c r="M938" i="6"/>
  <c r="N938" i="6"/>
  <c r="I938" i="6"/>
  <c r="H938" i="6"/>
  <c r="Z937" i="6"/>
  <c r="Y937" i="6"/>
  <c r="X937" i="6"/>
  <c r="W937" i="6"/>
  <c r="R937" i="6"/>
  <c r="M937" i="6"/>
  <c r="N937" i="6"/>
  <c r="I937" i="6"/>
  <c r="H937" i="6"/>
  <c r="Z936" i="6"/>
  <c r="Y936" i="6"/>
  <c r="X936" i="6"/>
  <c r="W936" i="6"/>
  <c r="R936" i="6"/>
  <c r="M936" i="6"/>
  <c r="N936" i="6"/>
  <c r="I936" i="6"/>
  <c r="H936" i="6"/>
  <c r="Z935" i="6"/>
  <c r="Y935" i="6"/>
  <c r="X935" i="6"/>
  <c r="W935" i="6"/>
  <c r="R935" i="6"/>
  <c r="N935" i="6"/>
  <c r="M935" i="6"/>
  <c r="I935" i="6"/>
  <c r="H935" i="6"/>
  <c r="Z934" i="6"/>
  <c r="Y934" i="6"/>
  <c r="X934" i="6"/>
  <c r="W934" i="6"/>
  <c r="R934" i="6"/>
  <c r="N934" i="6"/>
  <c r="M934" i="6"/>
  <c r="I934" i="6"/>
  <c r="H934" i="6"/>
  <c r="Z933" i="6"/>
  <c r="Y933" i="6"/>
  <c r="X933" i="6"/>
  <c r="W933" i="6"/>
  <c r="R933" i="6"/>
  <c r="M933" i="6"/>
  <c r="N933" i="6"/>
  <c r="I933" i="6"/>
  <c r="H933" i="6"/>
  <c r="Z932" i="6"/>
  <c r="Y932" i="6"/>
  <c r="X932" i="6"/>
  <c r="W932" i="6"/>
  <c r="R932" i="6"/>
  <c r="M932" i="6"/>
  <c r="N932" i="6"/>
  <c r="I932" i="6"/>
  <c r="H932" i="6"/>
  <c r="Z931" i="6"/>
  <c r="Y931" i="6"/>
  <c r="X931" i="6"/>
  <c r="W931" i="6"/>
  <c r="R931" i="6"/>
  <c r="M931" i="6"/>
  <c r="N931" i="6"/>
  <c r="I931" i="6"/>
  <c r="H931" i="6"/>
  <c r="Z930" i="6"/>
  <c r="Y930" i="6"/>
  <c r="X930" i="6"/>
  <c r="W930" i="6"/>
  <c r="R930" i="6"/>
  <c r="M930" i="6"/>
  <c r="N930" i="6"/>
  <c r="I930" i="6"/>
  <c r="H930" i="6"/>
  <c r="Z929" i="6"/>
  <c r="Y929" i="6"/>
  <c r="X929" i="6"/>
  <c r="W929" i="6"/>
  <c r="R929" i="6"/>
  <c r="M929" i="6"/>
  <c r="N929" i="6"/>
  <c r="I929" i="6"/>
  <c r="H929" i="6"/>
  <c r="Z928" i="6"/>
  <c r="Y928" i="6"/>
  <c r="X928" i="6"/>
  <c r="W928" i="6"/>
  <c r="R928" i="6"/>
  <c r="M928" i="6"/>
  <c r="N928" i="6"/>
  <c r="I928" i="6"/>
  <c r="H928" i="6"/>
  <c r="Z927" i="6"/>
  <c r="Y927" i="6"/>
  <c r="X927" i="6"/>
  <c r="W927" i="6"/>
  <c r="R927" i="6"/>
  <c r="N927" i="6"/>
  <c r="M927" i="6"/>
  <c r="I927" i="6"/>
  <c r="H927" i="6"/>
  <c r="Z926" i="6"/>
  <c r="Y926" i="6"/>
  <c r="X926" i="6"/>
  <c r="W926" i="6"/>
  <c r="R926" i="6"/>
  <c r="M926" i="6"/>
  <c r="N926" i="6"/>
  <c r="I926" i="6"/>
  <c r="H926" i="6"/>
  <c r="Z925" i="6"/>
  <c r="Y925" i="6"/>
  <c r="X925" i="6"/>
  <c r="W925" i="6"/>
  <c r="R925" i="6"/>
  <c r="M925" i="6"/>
  <c r="N925" i="6"/>
  <c r="I925" i="6"/>
  <c r="H925" i="6"/>
  <c r="Z924" i="6"/>
  <c r="Y924" i="6"/>
  <c r="X924" i="6"/>
  <c r="W924" i="6"/>
  <c r="R924" i="6"/>
  <c r="M924" i="6"/>
  <c r="N924" i="6"/>
  <c r="I924" i="6"/>
  <c r="H924" i="6"/>
  <c r="Z923" i="6"/>
  <c r="Y923" i="6"/>
  <c r="X923" i="6"/>
  <c r="W923" i="6"/>
  <c r="R923" i="6"/>
  <c r="N923" i="6"/>
  <c r="M923" i="6"/>
  <c r="I923" i="6"/>
  <c r="H923" i="6"/>
  <c r="Z922" i="6"/>
  <c r="Y922" i="6"/>
  <c r="X922" i="6"/>
  <c r="W922" i="6"/>
  <c r="R922" i="6"/>
  <c r="M922" i="6"/>
  <c r="N922" i="6"/>
  <c r="I922" i="6"/>
  <c r="H922" i="6"/>
  <c r="Z921" i="6"/>
  <c r="Y921" i="6"/>
  <c r="X921" i="6"/>
  <c r="W921" i="6"/>
  <c r="R921" i="6"/>
  <c r="M921" i="6"/>
  <c r="N921" i="6"/>
  <c r="I921" i="6"/>
  <c r="H921" i="6"/>
  <c r="Z920" i="6"/>
  <c r="Y920" i="6"/>
  <c r="X920" i="6"/>
  <c r="W920" i="6"/>
  <c r="R920" i="6"/>
  <c r="M920" i="6"/>
  <c r="N920" i="6"/>
  <c r="I920" i="6"/>
  <c r="H920" i="6"/>
  <c r="Z919" i="6"/>
  <c r="Y919" i="6"/>
  <c r="X919" i="6"/>
  <c r="W919" i="6"/>
  <c r="R919" i="6"/>
  <c r="M919" i="6"/>
  <c r="N919" i="6"/>
  <c r="I919" i="6"/>
  <c r="H919" i="6"/>
  <c r="Z918" i="6"/>
  <c r="Y918" i="6"/>
  <c r="X918" i="6"/>
  <c r="W918" i="6"/>
  <c r="R918" i="6"/>
  <c r="M918" i="6"/>
  <c r="N918" i="6"/>
  <c r="I918" i="6"/>
  <c r="H918" i="6"/>
  <c r="Z917" i="6"/>
  <c r="Y917" i="6"/>
  <c r="X917" i="6"/>
  <c r="W917" i="6"/>
  <c r="R917" i="6"/>
  <c r="M917" i="6"/>
  <c r="N917" i="6"/>
  <c r="I917" i="6"/>
  <c r="H917" i="6"/>
  <c r="Z916" i="6"/>
  <c r="Y916" i="6"/>
  <c r="X916" i="6"/>
  <c r="W916" i="6"/>
  <c r="R916" i="6"/>
  <c r="M916" i="6"/>
  <c r="N916" i="6"/>
  <c r="I916" i="6"/>
  <c r="H916" i="6"/>
  <c r="Z915" i="6"/>
  <c r="Y915" i="6"/>
  <c r="X915" i="6"/>
  <c r="W915" i="6"/>
  <c r="R915" i="6"/>
  <c r="N915" i="6"/>
  <c r="M915" i="6"/>
  <c r="I915" i="6"/>
  <c r="H915" i="6"/>
  <c r="Z914" i="6"/>
  <c r="Y914" i="6"/>
  <c r="X914" i="6"/>
  <c r="W914" i="6"/>
  <c r="R914" i="6"/>
  <c r="M914" i="6"/>
  <c r="N914" i="6"/>
  <c r="I914" i="6"/>
  <c r="H914" i="6"/>
  <c r="Z913" i="6"/>
  <c r="Y913" i="6"/>
  <c r="X913" i="6"/>
  <c r="W913" i="6"/>
  <c r="R913" i="6"/>
  <c r="M913" i="6"/>
  <c r="N913" i="6"/>
  <c r="I913" i="6"/>
  <c r="H913" i="6"/>
  <c r="Z912" i="6"/>
  <c r="Y912" i="6"/>
  <c r="X912" i="6"/>
  <c r="W912" i="6"/>
  <c r="R912" i="6"/>
  <c r="M912" i="6"/>
  <c r="N912" i="6"/>
  <c r="I912" i="6"/>
  <c r="H912" i="6"/>
  <c r="Z911" i="6"/>
  <c r="Y911" i="6"/>
  <c r="X911" i="6"/>
  <c r="W911" i="6"/>
  <c r="R911" i="6"/>
  <c r="M911" i="6"/>
  <c r="N911" i="6"/>
  <c r="I911" i="6"/>
  <c r="H911" i="6"/>
  <c r="Z910" i="6"/>
  <c r="Y910" i="6"/>
  <c r="X910" i="6"/>
  <c r="W910" i="6"/>
  <c r="R910" i="6"/>
  <c r="M910" i="6"/>
  <c r="N910" i="6"/>
  <c r="I910" i="6"/>
  <c r="H910" i="6"/>
  <c r="Z909" i="6"/>
  <c r="Y909" i="6"/>
  <c r="X909" i="6"/>
  <c r="W909" i="6"/>
  <c r="R909" i="6"/>
  <c r="M909" i="6"/>
  <c r="N909" i="6"/>
  <c r="I909" i="6"/>
  <c r="H909" i="6"/>
  <c r="Z908" i="6"/>
  <c r="Y908" i="6"/>
  <c r="X908" i="6"/>
  <c r="W908" i="6"/>
  <c r="R908" i="6"/>
  <c r="M908" i="6"/>
  <c r="N908" i="6"/>
  <c r="I908" i="6"/>
  <c r="H908" i="6"/>
  <c r="Z907" i="6"/>
  <c r="Y907" i="6"/>
  <c r="X907" i="6"/>
  <c r="W907" i="6"/>
  <c r="R907" i="6"/>
  <c r="M907" i="6"/>
  <c r="N907" i="6"/>
  <c r="I907" i="6"/>
  <c r="H907" i="6"/>
  <c r="Z906" i="6"/>
  <c r="Y906" i="6"/>
  <c r="X906" i="6"/>
  <c r="W906" i="6"/>
  <c r="R906" i="6"/>
  <c r="M906" i="6"/>
  <c r="N906" i="6"/>
  <c r="I906" i="6"/>
  <c r="H906" i="6"/>
  <c r="Z905" i="6"/>
  <c r="Y905" i="6"/>
  <c r="X905" i="6"/>
  <c r="W905" i="6"/>
  <c r="R905" i="6"/>
  <c r="M905" i="6"/>
  <c r="N905" i="6"/>
  <c r="I905" i="6"/>
  <c r="H905" i="6"/>
  <c r="Z904" i="6"/>
  <c r="Y904" i="6"/>
  <c r="X904" i="6"/>
  <c r="W904" i="6"/>
  <c r="R904" i="6"/>
  <c r="M904" i="6"/>
  <c r="N904" i="6"/>
  <c r="I904" i="6"/>
  <c r="H904" i="6"/>
  <c r="Z903" i="6"/>
  <c r="Y903" i="6"/>
  <c r="X903" i="6"/>
  <c r="W903" i="6"/>
  <c r="R903" i="6"/>
  <c r="M903" i="6"/>
  <c r="N903" i="6"/>
  <c r="I903" i="6"/>
  <c r="H903" i="6"/>
  <c r="Z902" i="6"/>
  <c r="Y902" i="6"/>
  <c r="X902" i="6"/>
  <c r="W902" i="6"/>
  <c r="R902" i="6"/>
  <c r="N902" i="6"/>
  <c r="M902" i="6"/>
  <c r="I902" i="6"/>
  <c r="H902" i="6"/>
  <c r="Z901" i="6"/>
  <c r="Y901" i="6"/>
  <c r="X901" i="6"/>
  <c r="W901" i="6"/>
  <c r="R901" i="6"/>
  <c r="M901" i="6"/>
  <c r="N901" i="6"/>
  <c r="I901" i="6"/>
  <c r="H901" i="6"/>
  <c r="Z900" i="6"/>
  <c r="Y900" i="6"/>
  <c r="X900" i="6"/>
  <c r="W900" i="6"/>
  <c r="R900" i="6"/>
  <c r="M900" i="6"/>
  <c r="N900" i="6"/>
  <c r="I900" i="6"/>
  <c r="H900" i="6"/>
  <c r="Z899" i="6"/>
  <c r="Y899" i="6"/>
  <c r="X899" i="6"/>
  <c r="W899" i="6"/>
  <c r="R899" i="6"/>
  <c r="M899" i="6"/>
  <c r="N899" i="6"/>
  <c r="I899" i="6"/>
  <c r="H899" i="6"/>
  <c r="Z898" i="6"/>
  <c r="Y898" i="6"/>
  <c r="X898" i="6"/>
  <c r="W898" i="6"/>
  <c r="R898" i="6"/>
  <c r="M898" i="6"/>
  <c r="N898" i="6"/>
  <c r="I898" i="6"/>
  <c r="H898" i="6"/>
  <c r="Z897" i="6"/>
  <c r="Y897" i="6"/>
  <c r="X897" i="6"/>
  <c r="W897" i="6"/>
  <c r="R897" i="6"/>
  <c r="M897" i="6"/>
  <c r="N897" i="6"/>
  <c r="I897" i="6"/>
  <c r="H897" i="6"/>
  <c r="Z896" i="6"/>
  <c r="Y896" i="6"/>
  <c r="X896" i="6"/>
  <c r="W896" i="6"/>
  <c r="R896" i="6"/>
  <c r="M896" i="6"/>
  <c r="N896" i="6"/>
  <c r="I896" i="6"/>
  <c r="H896" i="6"/>
  <c r="Z895" i="6"/>
  <c r="Y895" i="6"/>
  <c r="X895" i="6"/>
  <c r="W895" i="6"/>
  <c r="R895" i="6"/>
  <c r="N895" i="6"/>
  <c r="M895" i="6"/>
  <c r="I895" i="6"/>
  <c r="H895" i="6"/>
  <c r="Z894" i="6"/>
  <c r="Y894" i="6"/>
  <c r="X894" i="6"/>
  <c r="W894" i="6"/>
  <c r="R894" i="6"/>
  <c r="M894" i="6"/>
  <c r="N894" i="6"/>
  <c r="I894" i="6"/>
  <c r="H894" i="6"/>
  <c r="Z893" i="6"/>
  <c r="Y893" i="6"/>
  <c r="X893" i="6"/>
  <c r="W893" i="6"/>
  <c r="R893" i="6"/>
  <c r="M893" i="6"/>
  <c r="N893" i="6"/>
  <c r="I893" i="6"/>
  <c r="H893" i="6"/>
  <c r="Z892" i="6"/>
  <c r="Y892" i="6"/>
  <c r="X892" i="6"/>
  <c r="W892" i="6"/>
  <c r="R892" i="6"/>
  <c r="M892" i="6"/>
  <c r="N892" i="6"/>
  <c r="I892" i="6"/>
  <c r="H892" i="6"/>
  <c r="Z891" i="6"/>
  <c r="Y891" i="6"/>
  <c r="X891" i="6"/>
  <c r="W891" i="6"/>
  <c r="R891" i="6"/>
  <c r="M891" i="6"/>
  <c r="N891" i="6"/>
  <c r="I891" i="6"/>
  <c r="H891" i="6"/>
  <c r="Z890" i="6"/>
  <c r="Y890" i="6"/>
  <c r="X890" i="6"/>
  <c r="W890" i="6"/>
  <c r="R890" i="6"/>
  <c r="N890" i="6"/>
  <c r="M890" i="6"/>
  <c r="I890" i="6"/>
  <c r="H890" i="6"/>
  <c r="Z889" i="6"/>
  <c r="Y889" i="6"/>
  <c r="X889" i="6"/>
  <c r="W889" i="6"/>
  <c r="R889" i="6"/>
  <c r="M889" i="6"/>
  <c r="N889" i="6"/>
  <c r="I889" i="6"/>
  <c r="H889" i="6"/>
  <c r="Z888" i="6"/>
  <c r="Y888" i="6"/>
  <c r="X888" i="6"/>
  <c r="W888" i="6"/>
  <c r="R888" i="6"/>
  <c r="M888" i="6"/>
  <c r="N888" i="6"/>
  <c r="I888" i="6"/>
  <c r="H888" i="6"/>
  <c r="Z887" i="6"/>
  <c r="Y887" i="6"/>
  <c r="X887" i="6"/>
  <c r="W887" i="6"/>
  <c r="R887" i="6"/>
  <c r="M887" i="6"/>
  <c r="N887" i="6"/>
  <c r="I887" i="6"/>
  <c r="H887" i="6"/>
  <c r="Z886" i="6"/>
  <c r="Y886" i="6"/>
  <c r="X886" i="6"/>
  <c r="W886" i="6"/>
  <c r="R886" i="6"/>
  <c r="M886" i="6"/>
  <c r="N886" i="6"/>
  <c r="I886" i="6"/>
  <c r="H886" i="6"/>
  <c r="Z885" i="6"/>
  <c r="Y885" i="6"/>
  <c r="X885" i="6"/>
  <c r="W885" i="6"/>
  <c r="R885" i="6"/>
  <c r="M885" i="6"/>
  <c r="N885" i="6"/>
  <c r="I885" i="6"/>
  <c r="H885" i="6"/>
  <c r="Z884" i="6"/>
  <c r="Y884" i="6"/>
  <c r="X884" i="6"/>
  <c r="W884" i="6"/>
  <c r="R884" i="6"/>
  <c r="M884" i="6"/>
  <c r="N884" i="6"/>
  <c r="I884" i="6"/>
  <c r="H884" i="6"/>
  <c r="Z883" i="6"/>
  <c r="Y883" i="6"/>
  <c r="X883" i="6"/>
  <c r="W883" i="6"/>
  <c r="R883" i="6"/>
  <c r="M883" i="6"/>
  <c r="N883" i="6"/>
  <c r="I883" i="6"/>
  <c r="H883" i="6"/>
  <c r="Z882" i="6"/>
  <c r="Y882" i="6"/>
  <c r="X882" i="6"/>
  <c r="W882" i="6"/>
  <c r="R882" i="6"/>
  <c r="M882" i="6"/>
  <c r="N882" i="6"/>
  <c r="I882" i="6"/>
  <c r="H882" i="6"/>
  <c r="Z881" i="6"/>
  <c r="Y881" i="6"/>
  <c r="X881" i="6"/>
  <c r="W881" i="6"/>
  <c r="R881" i="6"/>
  <c r="M881" i="6"/>
  <c r="N881" i="6"/>
  <c r="I881" i="6"/>
  <c r="H881" i="6"/>
  <c r="Z880" i="6"/>
  <c r="Y880" i="6"/>
  <c r="X880" i="6"/>
  <c r="W880" i="6"/>
  <c r="R880" i="6"/>
  <c r="M880" i="6"/>
  <c r="N880" i="6"/>
  <c r="I880" i="6"/>
  <c r="H880" i="6"/>
  <c r="Z879" i="6"/>
  <c r="Y879" i="6"/>
  <c r="X879" i="6"/>
  <c r="W879" i="6"/>
  <c r="R879" i="6"/>
  <c r="M879" i="6"/>
  <c r="N879" i="6"/>
  <c r="I879" i="6"/>
  <c r="H879" i="6"/>
  <c r="Z878" i="6"/>
  <c r="Y878" i="6"/>
  <c r="X878" i="6"/>
  <c r="W878" i="6"/>
  <c r="R878" i="6"/>
  <c r="M878" i="6"/>
  <c r="N878" i="6"/>
  <c r="I878" i="6"/>
  <c r="H878" i="6"/>
  <c r="Z877" i="6"/>
  <c r="Y877" i="6"/>
  <c r="X877" i="6"/>
  <c r="W877" i="6"/>
  <c r="R877" i="6"/>
  <c r="M877" i="6"/>
  <c r="N877" i="6"/>
  <c r="I877" i="6"/>
  <c r="H877" i="6"/>
  <c r="Z876" i="6"/>
  <c r="Y876" i="6"/>
  <c r="X876" i="6"/>
  <c r="W876" i="6"/>
  <c r="R876" i="6"/>
  <c r="M876" i="6"/>
  <c r="N876" i="6"/>
  <c r="I876" i="6"/>
  <c r="H876" i="6"/>
  <c r="Z875" i="6"/>
  <c r="Y875" i="6"/>
  <c r="X875" i="6"/>
  <c r="W875" i="6"/>
  <c r="R875" i="6"/>
  <c r="M875" i="6"/>
  <c r="N875" i="6"/>
  <c r="I875" i="6"/>
  <c r="H875" i="6"/>
  <c r="Z874" i="6"/>
  <c r="Y874" i="6"/>
  <c r="X874" i="6"/>
  <c r="W874" i="6"/>
  <c r="R874" i="6"/>
  <c r="M874" i="6"/>
  <c r="N874" i="6"/>
  <c r="I874" i="6"/>
  <c r="H874" i="6"/>
  <c r="Z873" i="6"/>
  <c r="Y873" i="6"/>
  <c r="X873" i="6"/>
  <c r="W873" i="6"/>
  <c r="R873" i="6"/>
  <c r="M873" i="6"/>
  <c r="N873" i="6"/>
  <c r="I873" i="6"/>
  <c r="H873" i="6"/>
  <c r="Z872" i="6"/>
  <c r="Y872" i="6"/>
  <c r="X872" i="6"/>
  <c r="W872" i="6"/>
  <c r="R872" i="6"/>
  <c r="M872" i="6"/>
  <c r="N872" i="6"/>
  <c r="I872" i="6"/>
  <c r="H872" i="6"/>
  <c r="Z871" i="6"/>
  <c r="Y871" i="6"/>
  <c r="X871" i="6"/>
  <c r="W871" i="6"/>
  <c r="R871" i="6"/>
  <c r="M871" i="6"/>
  <c r="N871" i="6"/>
  <c r="I871" i="6"/>
  <c r="H871" i="6"/>
  <c r="Z870" i="6"/>
  <c r="Y870" i="6"/>
  <c r="X870" i="6"/>
  <c r="W870" i="6"/>
  <c r="R870" i="6"/>
  <c r="M870" i="6"/>
  <c r="N870" i="6"/>
  <c r="I870" i="6"/>
  <c r="H870" i="6"/>
  <c r="Z869" i="6"/>
  <c r="Y869" i="6"/>
  <c r="X869" i="6"/>
  <c r="W869" i="6"/>
  <c r="R869" i="6"/>
  <c r="M869" i="6"/>
  <c r="N869" i="6"/>
  <c r="I869" i="6"/>
  <c r="H869" i="6"/>
  <c r="Z868" i="6"/>
  <c r="Y868" i="6"/>
  <c r="X868" i="6"/>
  <c r="W868" i="6"/>
  <c r="R868" i="6"/>
  <c r="M868" i="6"/>
  <c r="N868" i="6"/>
  <c r="I868" i="6"/>
  <c r="H868" i="6"/>
  <c r="Z867" i="6"/>
  <c r="Y867" i="6"/>
  <c r="X867" i="6"/>
  <c r="W867" i="6"/>
  <c r="R867" i="6"/>
  <c r="M867" i="6"/>
  <c r="N867" i="6"/>
  <c r="I867" i="6"/>
  <c r="H867" i="6"/>
  <c r="Z866" i="6"/>
  <c r="Y866" i="6"/>
  <c r="X866" i="6"/>
  <c r="W866" i="6"/>
  <c r="R866" i="6"/>
  <c r="M866" i="6"/>
  <c r="N866" i="6"/>
  <c r="I866" i="6"/>
  <c r="H866" i="6"/>
  <c r="Z865" i="6"/>
  <c r="Y865" i="6"/>
  <c r="X865" i="6"/>
  <c r="W865" i="6"/>
  <c r="R865" i="6"/>
  <c r="M865" i="6"/>
  <c r="N865" i="6"/>
  <c r="I865" i="6"/>
  <c r="H865" i="6"/>
  <c r="Z864" i="6"/>
  <c r="Y864" i="6"/>
  <c r="X864" i="6"/>
  <c r="W864" i="6"/>
  <c r="R864" i="6"/>
  <c r="M864" i="6"/>
  <c r="N864" i="6"/>
  <c r="I864" i="6"/>
  <c r="H864" i="6"/>
  <c r="Z863" i="6"/>
  <c r="Y863" i="6"/>
  <c r="X863" i="6"/>
  <c r="W863" i="6"/>
  <c r="R863" i="6"/>
  <c r="M863" i="6"/>
  <c r="N863" i="6"/>
  <c r="I863" i="6"/>
  <c r="H863" i="6"/>
  <c r="Z862" i="6"/>
  <c r="Y862" i="6"/>
  <c r="X862" i="6"/>
  <c r="W862" i="6"/>
  <c r="R862" i="6"/>
  <c r="M862" i="6"/>
  <c r="N862" i="6"/>
  <c r="I862" i="6"/>
  <c r="H862" i="6"/>
  <c r="Z861" i="6"/>
  <c r="Y861" i="6"/>
  <c r="X861" i="6"/>
  <c r="W861" i="6"/>
  <c r="R861" i="6"/>
  <c r="M861" i="6"/>
  <c r="N861" i="6"/>
  <c r="I861" i="6"/>
  <c r="H861" i="6"/>
  <c r="Z860" i="6"/>
  <c r="Y860" i="6"/>
  <c r="X860" i="6"/>
  <c r="W860" i="6"/>
  <c r="R860" i="6"/>
  <c r="M860" i="6"/>
  <c r="N860" i="6"/>
  <c r="I860" i="6"/>
  <c r="H860" i="6"/>
  <c r="Z859" i="6"/>
  <c r="Y859" i="6"/>
  <c r="X859" i="6"/>
  <c r="W859" i="6"/>
  <c r="R859" i="6"/>
  <c r="M859" i="6"/>
  <c r="N859" i="6"/>
  <c r="I859" i="6"/>
  <c r="H859" i="6"/>
  <c r="Z858" i="6"/>
  <c r="Y858" i="6"/>
  <c r="X858" i="6"/>
  <c r="W858" i="6"/>
  <c r="R858" i="6"/>
  <c r="M858" i="6"/>
  <c r="N858" i="6"/>
  <c r="I858" i="6"/>
  <c r="H858" i="6"/>
  <c r="Z857" i="6"/>
  <c r="Y857" i="6"/>
  <c r="X857" i="6"/>
  <c r="W857" i="6"/>
  <c r="R857" i="6"/>
  <c r="M857" i="6"/>
  <c r="N857" i="6"/>
  <c r="I857" i="6"/>
  <c r="H857" i="6"/>
  <c r="Z856" i="6"/>
  <c r="Y856" i="6"/>
  <c r="X856" i="6"/>
  <c r="W856" i="6"/>
  <c r="R856" i="6"/>
  <c r="M856" i="6"/>
  <c r="N856" i="6"/>
  <c r="I856" i="6"/>
  <c r="H856" i="6"/>
  <c r="Z855" i="6"/>
  <c r="Y855" i="6"/>
  <c r="X855" i="6"/>
  <c r="W855" i="6"/>
  <c r="R855" i="6"/>
  <c r="M855" i="6"/>
  <c r="N855" i="6"/>
  <c r="I855" i="6"/>
  <c r="H855" i="6"/>
  <c r="Z854" i="6"/>
  <c r="Y854" i="6"/>
  <c r="X854" i="6"/>
  <c r="W854" i="6"/>
  <c r="R854" i="6"/>
  <c r="M854" i="6"/>
  <c r="N854" i="6"/>
  <c r="I854" i="6"/>
  <c r="H854" i="6"/>
  <c r="Z853" i="6"/>
  <c r="Y853" i="6"/>
  <c r="X853" i="6"/>
  <c r="W853" i="6"/>
  <c r="R853" i="6"/>
  <c r="M853" i="6"/>
  <c r="N853" i="6"/>
  <c r="I853" i="6"/>
  <c r="H853" i="6"/>
  <c r="Z852" i="6"/>
  <c r="Y852" i="6"/>
  <c r="X852" i="6"/>
  <c r="W852" i="6"/>
  <c r="R852" i="6"/>
  <c r="M852" i="6"/>
  <c r="N852" i="6"/>
  <c r="I852" i="6"/>
  <c r="H852" i="6"/>
  <c r="Z851" i="6"/>
  <c r="Y851" i="6"/>
  <c r="X851" i="6"/>
  <c r="W851" i="6"/>
  <c r="R851" i="6"/>
  <c r="M851" i="6"/>
  <c r="N851" i="6"/>
  <c r="I851" i="6"/>
  <c r="H851" i="6"/>
  <c r="Z850" i="6"/>
  <c r="Y850" i="6"/>
  <c r="X850" i="6"/>
  <c r="W850" i="6"/>
  <c r="R850" i="6"/>
  <c r="M850" i="6"/>
  <c r="N850" i="6"/>
  <c r="I850" i="6"/>
  <c r="H850" i="6"/>
  <c r="Z849" i="6"/>
  <c r="Y849" i="6"/>
  <c r="X849" i="6"/>
  <c r="W849" i="6"/>
  <c r="R849" i="6"/>
  <c r="M849" i="6"/>
  <c r="N849" i="6"/>
  <c r="I849" i="6"/>
  <c r="H849" i="6"/>
  <c r="Z848" i="6"/>
  <c r="Y848" i="6"/>
  <c r="X848" i="6"/>
  <c r="W848" i="6"/>
  <c r="R848" i="6"/>
  <c r="M848" i="6"/>
  <c r="N848" i="6"/>
  <c r="I848" i="6"/>
  <c r="H848" i="6"/>
  <c r="Z847" i="6"/>
  <c r="Y847" i="6"/>
  <c r="X847" i="6"/>
  <c r="W847" i="6"/>
  <c r="R847" i="6"/>
  <c r="M847" i="6"/>
  <c r="N847" i="6"/>
  <c r="I847" i="6"/>
  <c r="H847" i="6"/>
  <c r="Z846" i="6"/>
  <c r="Y846" i="6"/>
  <c r="X846" i="6"/>
  <c r="W846" i="6"/>
  <c r="R846" i="6"/>
  <c r="M846" i="6"/>
  <c r="N846" i="6"/>
  <c r="I846" i="6"/>
  <c r="H846" i="6"/>
  <c r="Z845" i="6"/>
  <c r="Y845" i="6"/>
  <c r="X845" i="6"/>
  <c r="W845" i="6"/>
  <c r="R845" i="6"/>
  <c r="M845" i="6"/>
  <c r="N845" i="6"/>
  <c r="I845" i="6"/>
  <c r="H845" i="6"/>
  <c r="Z844" i="6"/>
  <c r="Y844" i="6"/>
  <c r="X844" i="6"/>
  <c r="W844" i="6"/>
  <c r="R844" i="6"/>
  <c r="M844" i="6"/>
  <c r="N844" i="6"/>
  <c r="I844" i="6"/>
  <c r="H844" i="6"/>
  <c r="Z843" i="6"/>
  <c r="Y843" i="6"/>
  <c r="X843" i="6"/>
  <c r="W843" i="6"/>
  <c r="R843" i="6"/>
  <c r="M843" i="6"/>
  <c r="N843" i="6"/>
  <c r="I843" i="6"/>
  <c r="H843" i="6"/>
  <c r="Z842" i="6"/>
  <c r="Y842" i="6"/>
  <c r="X842" i="6"/>
  <c r="W842" i="6"/>
  <c r="R842" i="6"/>
  <c r="M842" i="6"/>
  <c r="N842" i="6"/>
  <c r="I842" i="6"/>
  <c r="H842" i="6"/>
  <c r="Z841" i="6"/>
  <c r="Y841" i="6"/>
  <c r="X841" i="6"/>
  <c r="W841" i="6"/>
  <c r="R841" i="6"/>
  <c r="M841" i="6"/>
  <c r="N841" i="6"/>
  <c r="I841" i="6"/>
  <c r="H841" i="6"/>
  <c r="Z840" i="6"/>
  <c r="Y840" i="6"/>
  <c r="X840" i="6"/>
  <c r="W840" i="6"/>
  <c r="R840" i="6"/>
  <c r="M840" i="6"/>
  <c r="N840" i="6"/>
  <c r="I840" i="6"/>
  <c r="H840" i="6"/>
  <c r="Z839" i="6"/>
  <c r="Y839" i="6"/>
  <c r="X839" i="6"/>
  <c r="W839" i="6"/>
  <c r="R839" i="6"/>
  <c r="M839" i="6"/>
  <c r="N839" i="6"/>
  <c r="I839" i="6"/>
  <c r="H839" i="6"/>
  <c r="Z838" i="6"/>
  <c r="Y838" i="6"/>
  <c r="X838" i="6"/>
  <c r="W838" i="6"/>
  <c r="R838" i="6"/>
  <c r="M838" i="6"/>
  <c r="N838" i="6"/>
  <c r="I838" i="6"/>
  <c r="H838" i="6"/>
  <c r="Z837" i="6"/>
  <c r="Y837" i="6"/>
  <c r="X837" i="6"/>
  <c r="W837" i="6"/>
  <c r="R837" i="6"/>
  <c r="M837" i="6"/>
  <c r="N837" i="6"/>
  <c r="I837" i="6"/>
  <c r="H837" i="6"/>
  <c r="Z836" i="6"/>
  <c r="Y836" i="6"/>
  <c r="X836" i="6"/>
  <c r="W836" i="6"/>
  <c r="R836" i="6"/>
  <c r="M836" i="6"/>
  <c r="N836" i="6"/>
  <c r="I836" i="6"/>
  <c r="H836" i="6"/>
  <c r="Z835" i="6"/>
  <c r="Y835" i="6"/>
  <c r="X835" i="6"/>
  <c r="W835" i="6"/>
  <c r="R835" i="6"/>
  <c r="M835" i="6"/>
  <c r="N835" i="6"/>
  <c r="I835" i="6"/>
  <c r="H835" i="6"/>
  <c r="Z834" i="6"/>
  <c r="Y834" i="6"/>
  <c r="X834" i="6"/>
  <c r="W834" i="6"/>
  <c r="R834" i="6"/>
  <c r="M834" i="6"/>
  <c r="N834" i="6"/>
  <c r="I834" i="6"/>
  <c r="H834" i="6"/>
  <c r="Z833" i="6"/>
  <c r="Y833" i="6"/>
  <c r="X833" i="6"/>
  <c r="W833" i="6"/>
  <c r="R833" i="6"/>
  <c r="N833" i="6"/>
  <c r="M833" i="6"/>
  <c r="I833" i="6"/>
  <c r="H833" i="6"/>
  <c r="Z832" i="6"/>
  <c r="Y832" i="6"/>
  <c r="X832" i="6"/>
  <c r="W832" i="6"/>
  <c r="R832" i="6"/>
  <c r="M832" i="6"/>
  <c r="N832" i="6"/>
  <c r="I832" i="6"/>
  <c r="H832" i="6"/>
  <c r="Z831" i="6"/>
  <c r="Y831" i="6"/>
  <c r="X831" i="6"/>
  <c r="W831" i="6"/>
  <c r="R831" i="6"/>
  <c r="M831" i="6"/>
  <c r="N831" i="6"/>
  <c r="I831" i="6"/>
  <c r="H831" i="6"/>
  <c r="Z830" i="6"/>
  <c r="Y830" i="6"/>
  <c r="X830" i="6"/>
  <c r="W830" i="6"/>
  <c r="R830" i="6"/>
  <c r="N830" i="6"/>
  <c r="M830" i="6"/>
  <c r="I830" i="6"/>
  <c r="H830" i="6"/>
  <c r="Z829" i="6"/>
  <c r="Y829" i="6"/>
  <c r="X829" i="6"/>
  <c r="W829" i="6"/>
  <c r="R829" i="6"/>
  <c r="M829" i="6"/>
  <c r="N829" i="6"/>
  <c r="I829" i="6"/>
  <c r="H829" i="6"/>
  <c r="Z828" i="6"/>
  <c r="Y828" i="6"/>
  <c r="X828" i="6"/>
  <c r="W828" i="6"/>
  <c r="R828" i="6"/>
  <c r="M828" i="6"/>
  <c r="N828" i="6"/>
  <c r="I828" i="6"/>
  <c r="H828" i="6"/>
  <c r="Z827" i="6"/>
  <c r="Y827" i="6"/>
  <c r="X827" i="6"/>
  <c r="W827" i="6"/>
  <c r="R827" i="6"/>
  <c r="M827" i="6"/>
  <c r="N827" i="6"/>
  <c r="I827" i="6"/>
  <c r="H827" i="6"/>
  <c r="Z826" i="6"/>
  <c r="Y826" i="6"/>
  <c r="X826" i="6"/>
  <c r="W826" i="6"/>
  <c r="R826" i="6"/>
  <c r="M826" i="6"/>
  <c r="N826" i="6"/>
  <c r="I826" i="6"/>
  <c r="H826" i="6"/>
  <c r="Z825" i="6"/>
  <c r="Y825" i="6"/>
  <c r="X825" i="6"/>
  <c r="W825" i="6"/>
  <c r="R825" i="6"/>
  <c r="M825" i="6"/>
  <c r="N825" i="6"/>
  <c r="I825" i="6"/>
  <c r="H825" i="6"/>
  <c r="Z824" i="6"/>
  <c r="Y824" i="6"/>
  <c r="X824" i="6"/>
  <c r="W824" i="6"/>
  <c r="R824" i="6"/>
  <c r="M824" i="6"/>
  <c r="N824" i="6"/>
  <c r="I824" i="6"/>
  <c r="H824" i="6"/>
  <c r="Z823" i="6"/>
  <c r="Y823" i="6"/>
  <c r="X823" i="6"/>
  <c r="W823" i="6"/>
  <c r="R823" i="6"/>
  <c r="M823" i="6"/>
  <c r="N823" i="6"/>
  <c r="I823" i="6"/>
  <c r="H823" i="6"/>
  <c r="Z822" i="6"/>
  <c r="Y822" i="6"/>
  <c r="X822" i="6"/>
  <c r="W822" i="6"/>
  <c r="R822" i="6"/>
  <c r="M822" i="6"/>
  <c r="N822" i="6"/>
  <c r="I822" i="6"/>
  <c r="H822" i="6"/>
  <c r="Z821" i="6"/>
  <c r="Y821" i="6"/>
  <c r="X821" i="6"/>
  <c r="W821" i="6"/>
  <c r="R821" i="6"/>
  <c r="M821" i="6"/>
  <c r="N821" i="6"/>
  <c r="I821" i="6"/>
  <c r="H821" i="6"/>
  <c r="Z820" i="6"/>
  <c r="Y820" i="6"/>
  <c r="X820" i="6"/>
  <c r="W820" i="6"/>
  <c r="R820" i="6"/>
  <c r="M820" i="6"/>
  <c r="N820" i="6"/>
  <c r="I820" i="6"/>
  <c r="H820" i="6"/>
  <c r="Z819" i="6"/>
  <c r="Y819" i="6"/>
  <c r="X819" i="6"/>
  <c r="W819" i="6"/>
  <c r="R819" i="6"/>
  <c r="M819" i="6"/>
  <c r="N819" i="6"/>
  <c r="I819" i="6"/>
  <c r="H819" i="6"/>
  <c r="Z818" i="6"/>
  <c r="Y818" i="6"/>
  <c r="X818" i="6"/>
  <c r="W818" i="6"/>
  <c r="R818" i="6"/>
  <c r="M818" i="6"/>
  <c r="N818" i="6"/>
  <c r="I818" i="6"/>
  <c r="H818" i="6"/>
  <c r="Z817" i="6"/>
  <c r="Y817" i="6"/>
  <c r="X817" i="6"/>
  <c r="W817" i="6"/>
  <c r="R817" i="6"/>
  <c r="M817" i="6"/>
  <c r="N817" i="6"/>
  <c r="I817" i="6"/>
  <c r="H817" i="6"/>
  <c r="Z816" i="6"/>
  <c r="Y816" i="6"/>
  <c r="X816" i="6"/>
  <c r="W816" i="6"/>
  <c r="R816" i="6"/>
  <c r="N816" i="6"/>
  <c r="M816" i="6"/>
  <c r="I816" i="6"/>
  <c r="H816" i="6"/>
  <c r="Z815" i="6"/>
  <c r="Y815" i="6"/>
  <c r="X815" i="6"/>
  <c r="W815" i="6"/>
  <c r="R815" i="6"/>
  <c r="M815" i="6"/>
  <c r="N815" i="6"/>
  <c r="I815" i="6"/>
  <c r="H815" i="6"/>
  <c r="Z814" i="6"/>
  <c r="Y814" i="6"/>
  <c r="X814" i="6"/>
  <c r="W814" i="6"/>
  <c r="R814" i="6"/>
  <c r="M814" i="6"/>
  <c r="N814" i="6"/>
  <c r="I814" i="6"/>
  <c r="H814" i="6"/>
  <c r="Z813" i="6"/>
  <c r="Y813" i="6"/>
  <c r="X813" i="6"/>
  <c r="W813" i="6"/>
  <c r="R813" i="6"/>
  <c r="M813" i="6"/>
  <c r="N813" i="6"/>
  <c r="I813" i="6"/>
  <c r="H813" i="6"/>
  <c r="Z812" i="6"/>
  <c r="Y812" i="6"/>
  <c r="X812" i="6"/>
  <c r="W812" i="6"/>
  <c r="R812" i="6"/>
  <c r="M812" i="6"/>
  <c r="N812" i="6"/>
  <c r="I812" i="6"/>
  <c r="H812" i="6"/>
  <c r="Z811" i="6"/>
  <c r="Y811" i="6"/>
  <c r="X811" i="6"/>
  <c r="W811" i="6"/>
  <c r="R811" i="6"/>
  <c r="M811" i="6"/>
  <c r="N811" i="6"/>
  <c r="I811" i="6"/>
  <c r="H811" i="6"/>
  <c r="Z810" i="6"/>
  <c r="Y810" i="6"/>
  <c r="X810" i="6"/>
  <c r="W810" i="6"/>
  <c r="R810" i="6"/>
  <c r="N810" i="6"/>
  <c r="M810" i="6"/>
  <c r="I810" i="6"/>
  <c r="H810" i="6"/>
  <c r="Z809" i="6"/>
  <c r="Y809" i="6"/>
  <c r="X809" i="6"/>
  <c r="W809" i="6"/>
  <c r="R809" i="6"/>
  <c r="M809" i="6"/>
  <c r="N809" i="6"/>
  <c r="I809" i="6"/>
  <c r="H809" i="6"/>
  <c r="Z808" i="6"/>
  <c r="Y808" i="6"/>
  <c r="X808" i="6"/>
  <c r="W808" i="6"/>
  <c r="R808" i="6"/>
  <c r="M808" i="6"/>
  <c r="N808" i="6"/>
  <c r="I808" i="6"/>
  <c r="H808" i="6"/>
  <c r="Z807" i="6"/>
  <c r="Y807" i="6"/>
  <c r="X807" i="6"/>
  <c r="W807" i="6"/>
  <c r="R807" i="6"/>
  <c r="N807" i="6"/>
  <c r="M807" i="6"/>
  <c r="I807" i="6"/>
  <c r="H807" i="6"/>
  <c r="Z806" i="6"/>
  <c r="Y806" i="6"/>
  <c r="X806" i="6"/>
  <c r="W806" i="6"/>
  <c r="R806" i="6"/>
  <c r="M806" i="6"/>
  <c r="N806" i="6"/>
  <c r="I806" i="6"/>
  <c r="H806" i="6"/>
  <c r="Z805" i="6"/>
  <c r="Y805" i="6"/>
  <c r="X805" i="6"/>
  <c r="W805" i="6"/>
  <c r="R805" i="6"/>
  <c r="M805" i="6"/>
  <c r="N805" i="6"/>
  <c r="I805" i="6"/>
  <c r="H805" i="6"/>
  <c r="Z804" i="6"/>
  <c r="Y804" i="6"/>
  <c r="X804" i="6"/>
  <c r="W804" i="6"/>
  <c r="R804" i="6"/>
  <c r="M804" i="6"/>
  <c r="N804" i="6"/>
  <c r="I804" i="6"/>
  <c r="H804" i="6"/>
  <c r="Z803" i="6"/>
  <c r="Y803" i="6"/>
  <c r="X803" i="6"/>
  <c r="W803" i="6"/>
  <c r="R803" i="6"/>
  <c r="M803" i="6"/>
  <c r="N803" i="6"/>
  <c r="I803" i="6"/>
  <c r="H803" i="6"/>
  <c r="Z802" i="6"/>
  <c r="Y802" i="6"/>
  <c r="X802" i="6"/>
  <c r="W802" i="6"/>
  <c r="R802" i="6"/>
  <c r="M802" i="6"/>
  <c r="N802" i="6"/>
  <c r="I802" i="6"/>
  <c r="H802" i="6"/>
  <c r="Z801" i="6"/>
  <c r="Y801" i="6"/>
  <c r="X801" i="6"/>
  <c r="W801" i="6"/>
  <c r="R801" i="6"/>
  <c r="N801" i="6"/>
  <c r="M801" i="6"/>
  <c r="I801" i="6"/>
  <c r="H801" i="6"/>
  <c r="Z800" i="6"/>
  <c r="Y800" i="6"/>
  <c r="X800" i="6"/>
  <c r="W800" i="6"/>
  <c r="R800" i="6"/>
  <c r="M800" i="6"/>
  <c r="N800" i="6"/>
  <c r="I800" i="6"/>
  <c r="H800" i="6"/>
  <c r="Z799" i="6"/>
  <c r="Y799" i="6"/>
  <c r="X799" i="6"/>
  <c r="W799" i="6"/>
  <c r="R799" i="6"/>
  <c r="M799" i="6"/>
  <c r="N799" i="6"/>
  <c r="I799" i="6"/>
  <c r="H799" i="6"/>
  <c r="Z798" i="6"/>
  <c r="Y798" i="6"/>
  <c r="X798" i="6"/>
  <c r="W798" i="6"/>
  <c r="R798" i="6"/>
  <c r="N798" i="6"/>
  <c r="M798" i="6"/>
  <c r="I798" i="6"/>
  <c r="H798" i="6"/>
  <c r="Z797" i="6"/>
  <c r="Y797" i="6"/>
  <c r="X797" i="6"/>
  <c r="W797" i="6"/>
  <c r="R797" i="6"/>
  <c r="N797" i="6"/>
  <c r="M797" i="6"/>
  <c r="I797" i="6"/>
  <c r="H797" i="6"/>
  <c r="Z796" i="6"/>
  <c r="Y796" i="6"/>
  <c r="X796" i="6"/>
  <c r="W796" i="6"/>
  <c r="R796" i="6"/>
  <c r="M796" i="6"/>
  <c r="N796" i="6"/>
  <c r="I796" i="6"/>
  <c r="H796" i="6"/>
  <c r="Z795" i="6"/>
  <c r="Y795" i="6"/>
  <c r="X795" i="6"/>
  <c r="W795" i="6"/>
  <c r="R795" i="6"/>
  <c r="M795" i="6"/>
  <c r="N795" i="6"/>
  <c r="I795" i="6"/>
  <c r="H795" i="6"/>
  <c r="Z794" i="6"/>
  <c r="Y794" i="6"/>
  <c r="X794" i="6"/>
  <c r="W794" i="6"/>
  <c r="R794" i="6"/>
  <c r="M794" i="6"/>
  <c r="N794" i="6"/>
  <c r="I794" i="6"/>
  <c r="H794" i="6"/>
  <c r="Z793" i="6"/>
  <c r="Y793" i="6"/>
  <c r="X793" i="6"/>
  <c r="W793" i="6"/>
  <c r="R793" i="6"/>
  <c r="M793" i="6"/>
  <c r="N793" i="6"/>
  <c r="I793" i="6"/>
  <c r="H793" i="6"/>
  <c r="Z792" i="6"/>
  <c r="Y792" i="6"/>
  <c r="X792" i="6"/>
  <c r="W792" i="6"/>
  <c r="R792" i="6"/>
  <c r="N792" i="6"/>
  <c r="M792" i="6"/>
  <c r="I792" i="6"/>
  <c r="H792" i="6"/>
  <c r="Z791" i="6"/>
  <c r="Y791" i="6"/>
  <c r="X791" i="6"/>
  <c r="W791" i="6"/>
  <c r="R791" i="6"/>
  <c r="M791" i="6"/>
  <c r="N791" i="6"/>
  <c r="I791" i="6"/>
  <c r="H791" i="6"/>
  <c r="Z790" i="6"/>
  <c r="Y790" i="6"/>
  <c r="X790" i="6"/>
  <c r="W790" i="6"/>
  <c r="R790" i="6"/>
  <c r="M790" i="6"/>
  <c r="N790" i="6"/>
  <c r="I790" i="6"/>
  <c r="H790" i="6"/>
  <c r="Z789" i="6"/>
  <c r="Y789" i="6"/>
  <c r="X789" i="6"/>
  <c r="W789" i="6"/>
  <c r="R789" i="6"/>
  <c r="M789" i="6"/>
  <c r="N789" i="6"/>
  <c r="I789" i="6"/>
  <c r="H789" i="6"/>
  <c r="Z788" i="6"/>
  <c r="Y788" i="6"/>
  <c r="X788" i="6"/>
  <c r="W788" i="6"/>
  <c r="R788" i="6"/>
  <c r="M788" i="6"/>
  <c r="N788" i="6"/>
  <c r="I788" i="6"/>
  <c r="H788" i="6"/>
  <c r="Z787" i="6"/>
  <c r="Y787" i="6"/>
  <c r="X787" i="6"/>
  <c r="W787" i="6"/>
  <c r="R787" i="6"/>
  <c r="M787" i="6"/>
  <c r="N787" i="6"/>
  <c r="I787" i="6"/>
  <c r="H787" i="6"/>
  <c r="Z786" i="6"/>
  <c r="Y786" i="6"/>
  <c r="X786" i="6"/>
  <c r="W786" i="6"/>
  <c r="R786" i="6"/>
  <c r="M786" i="6"/>
  <c r="N786" i="6"/>
  <c r="I786" i="6"/>
  <c r="H786" i="6"/>
  <c r="Z785" i="6"/>
  <c r="Y785" i="6"/>
  <c r="X785" i="6"/>
  <c r="W785" i="6"/>
  <c r="R785" i="6"/>
  <c r="N785" i="6"/>
  <c r="M785" i="6"/>
  <c r="I785" i="6"/>
  <c r="H785" i="6"/>
  <c r="Z784" i="6"/>
  <c r="Y784" i="6"/>
  <c r="X784" i="6"/>
  <c r="W784" i="6"/>
  <c r="R784" i="6"/>
  <c r="M784" i="6"/>
  <c r="N784" i="6"/>
  <c r="I784" i="6"/>
  <c r="H784" i="6"/>
  <c r="Z783" i="6"/>
  <c r="Y783" i="6"/>
  <c r="X783" i="6"/>
  <c r="W783" i="6"/>
  <c r="R783" i="6"/>
  <c r="M783" i="6"/>
  <c r="N783" i="6"/>
  <c r="I783" i="6"/>
  <c r="H783" i="6"/>
  <c r="Z782" i="6"/>
  <c r="Y782" i="6"/>
  <c r="X782" i="6"/>
  <c r="W782" i="6"/>
  <c r="R782" i="6"/>
  <c r="M782" i="6"/>
  <c r="N782" i="6"/>
  <c r="I782" i="6"/>
  <c r="H782" i="6"/>
  <c r="Z781" i="6"/>
  <c r="Y781" i="6"/>
  <c r="X781" i="6"/>
  <c r="W781" i="6"/>
  <c r="R781" i="6"/>
  <c r="N781" i="6"/>
  <c r="M781" i="6"/>
  <c r="I781" i="6"/>
  <c r="H781" i="6"/>
  <c r="Z780" i="6"/>
  <c r="Y780" i="6"/>
  <c r="X780" i="6"/>
  <c r="W780" i="6"/>
  <c r="R780" i="6"/>
  <c r="M780" i="6"/>
  <c r="N780" i="6"/>
  <c r="I780" i="6"/>
  <c r="H780" i="6"/>
  <c r="Z779" i="6"/>
  <c r="Y779" i="6"/>
  <c r="X779" i="6"/>
  <c r="W779" i="6"/>
  <c r="R779" i="6"/>
  <c r="M779" i="6"/>
  <c r="N779" i="6"/>
  <c r="I779" i="6"/>
  <c r="H779" i="6"/>
  <c r="Z778" i="6"/>
  <c r="Y778" i="6"/>
  <c r="X778" i="6"/>
  <c r="W778" i="6"/>
  <c r="R778" i="6"/>
  <c r="M778" i="6"/>
  <c r="N778" i="6"/>
  <c r="I778" i="6"/>
  <c r="H778" i="6"/>
  <c r="Z777" i="6"/>
  <c r="Y777" i="6"/>
  <c r="X777" i="6"/>
  <c r="W777" i="6"/>
  <c r="R777" i="6"/>
  <c r="M777" i="6"/>
  <c r="N777" i="6"/>
  <c r="I777" i="6"/>
  <c r="H777" i="6"/>
  <c r="Z776" i="6"/>
  <c r="Y776" i="6"/>
  <c r="X776" i="6"/>
  <c r="W776" i="6"/>
  <c r="R776" i="6"/>
  <c r="M776" i="6"/>
  <c r="N776" i="6"/>
  <c r="I776" i="6"/>
  <c r="H776" i="6"/>
  <c r="Z775" i="6"/>
  <c r="Y775" i="6"/>
  <c r="X775" i="6"/>
  <c r="W775" i="6"/>
  <c r="R775" i="6"/>
  <c r="M775" i="6"/>
  <c r="N775" i="6"/>
  <c r="I775" i="6"/>
  <c r="H775" i="6"/>
  <c r="Z774" i="6"/>
  <c r="Y774" i="6"/>
  <c r="X774" i="6"/>
  <c r="W774" i="6"/>
  <c r="R774" i="6"/>
  <c r="M774" i="6"/>
  <c r="N774" i="6"/>
  <c r="I774" i="6"/>
  <c r="H774" i="6"/>
  <c r="Z773" i="6"/>
  <c r="Y773" i="6"/>
  <c r="X773" i="6"/>
  <c r="W773" i="6"/>
  <c r="R773" i="6"/>
  <c r="M773" i="6"/>
  <c r="N773" i="6"/>
  <c r="I773" i="6"/>
  <c r="H773" i="6"/>
  <c r="Z772" i="6"/>
  <c r="Y772" i="6"/>
  <c r="X772" i="6"/>
  <c r="W772" i="6"/>
  <c r="R772" i="6"/>
  <c r="M772" i="6"/>
  <c r="N772" i="6"/>
  <c r="I772" i="6"/>
  <c r="H772" i="6"/>
  <c r="Z771" i="6"/>
  <c r="Y771" i="6"/>
  <c r="X771" i="6"/>
  <c r="W771" i="6"/>
  <c r="R771" i="6"/>
  <c r="M771" i="6"/>
  <c r="N771" i="6"/>
  <c r="I771" i="6"/>
  <c r="H771" i="6"/>
  <c r="Z770" i="6"/>
  <c r="Y770" i="6"/>
  <c r="X770" i="6"/>
  <c r="W770" i="6"/>
  <c r="R770" i="6"/>
  <c r="M770" i="6"/>
  <c r="N770" i="6"/>
  <c r="I770" i="6"/>
  <c r="H770" i="6"/>
  <c r="Z769" i="6"/>
  <c r="Y769" i="6"/>
  <c r="X769" i="6"/>
  <c r="W769" i="6"/>
  <c r="R769" i="6"/>
  <c r="M769" i="6"/>
  <c r="N769" i="6"/>
  <c r="I769" i="6"/>
  <c r="H769" i="6"/>
  <c r="Z768" i="6"/>
  <c r="Y768" i="6"/>
  <c r="X768" i="6"/>
  <c r="W768" i="6"/>
  <c r="R768" i="6"/>
  <c r="M768" i="6"/>
  <c r="N768" i="6"/>
  <c r="I768" i="6"/>
  <c r="H768" i="6"/>
  <c r="Z767" i="6"/>
  <c r="Y767" i="6"/>
  <c r="X767" i="6"/>
  <c r="W767" i="6"/>
  <c r="R767" i="6"/>
  <c r="M767" i="6"/>
  <c r="N767" i="6"/>
  <c r="I767" i="6"/>
  <c r="H767" i="6"/>
  <c r="Z766" i="6"/>
  <c r="Y766" i="6"/>
  <c r="X766" i="6"/>
  <c r="W766" i="6"/>
  <c r="R766" i="6"/>
  <c r="M766" i="6"/>
  <c r="N766" i="6"/>
  <c r="I766" i="6"/>
  <c r="H766" i="6"/>
  <c r="Z765" i="6"/>
  <c r="Y765" i="6"/>
  <c r="X765" i="6"/>
  <c r="W765" i="6"/>
  <c r="R765" i="6"/>
  <c r="M765" i="6"/>
  <c r="N765" i="6"/>
  <c r="I765" i="6"/>
  <c r="H765" i="6"/>
  <c r="Z764" i="6"/>
  <c r="Y764" i="6"/>
  <c r="X764" i="6"/>
  <c r="W764" i="6"/>
  <c r="R764" i="6"/>
  <c r="M764" i="6"/>
  <c r="N764" i="6"/>
  <c r="I764" i="6"/>
  <c r="H764" i="6"/>
  <c r="Z763" i="6"/>
  <c r="Y763" i="6"/>
  <c r="X763" i="6"/>
  <c r="W763" i="6"/>
  <c r="R763" i="6"/>
  <c r="M763" i="6"/>
  <c r="N763" i="6"/>
  <c r="I763" i="6"/>
  <c r="H763" i="6"/>
  <c r="Z762" i="6"/>
  <c r="Y762" i="6"/>
  <c r="X762" i="6"/>
  <c r="W762" i="6"/>
  <c r="R762" i="6"/>
  <c r="M762" i="6"/>
  <c r="N762" i="6"/>
  <c r="I762" i="6"/>
  <c r="H762" i="6"/>
  <c r="Z761" i="6"/>
  <c r="Y761" i="6"/>
  <c r="X761" i="6"/>
  <c r="W761" i="6"/>
  <c r="R761" i="6"/>
  <c r="M761" i="6"/>
  <c r="N761" i="6"/>
  <c r="I761" i="6"/>
  <c r="H761" i="6"/>
  <c r="Z760" i="6"/>
  <c r="Y760" i="6"/>
  <c r="X760" i="6"/>
  <c r="W760" i="6"/>
  <c r="R760" i="6"/>
  <c r="N760" i="6"/>
  <c r="M760" i="6"/>
  <c r="I760" i="6"/>
  <c r="H760" i="6"/>
  <c r="Z759" i="6"/>
  <c r="Y759" i="6"/>
  <c r="X759" i="6"/>
  <c r="W759" i="6"/>
  <c r="R759" i="6"/>
  <c r="M759" i="6"/>
  <c r="N759" i="6"/>
  <c r="I759" i="6"/>
  <c r="H759" i="6"/>
  <c r="Z758" i="6"/>
  <c r="Y758" i="6"/>
  <c r="X758" i="6"/>
  <c r="W758" i="6"/>
  <c r="R758" i="6"/>
  <c r="M758" i="6"/>
  <c r="N758" i="6"/>
  <c r="I758" i="6"/>
  <c r="H758" i="6"/>
  <c r="Z757" i="6"/>
  <c r="Y757" i="6"/>
  <c r="X757" i="6"/>
  <c r="W757" i="6"/>
  <c r="R757" i="6"/>
  <c r="M757" i="6"/>
  <c r="N757" i="6"/>
  <c r="I757" i="6"/>
  <c r="H757" i="6"/>
  <c r="Z756" i="6"/>
  <c r="Y756" i="6"/>
  <c r="X756" i="6"/>
  <c r="W756" i="6"/>
  <c r="R756" i="6"/>
  <c r="M756" i="6"/>
  <c r="N756" i="6"/>
  <c r="I756" i="6"/>
  <c r="H756" i="6"/>
  <c r="Z755" i="6"/>
  <c r="Y755" i="6"/>
  <c r="X755" i="6"/>
  <c r="W755" i="6"/>
  <c r="R755" i="6"/>
  <c r="M755" i="6"/>
  <c r="N755" i="6"/>
  <c r="I755" i="6"/>
  <c r="H755" i="6"/>
  <c r="Z754" i="6"/>
  <c r="Y754" i="6"/>
  <c r="X754" i="6"/>
  <c r="W754" i="6"/>
  <c r="R754" i="6"/>
  <c r="M754" i="6"/>
  <c r="N754" i="6"/>
  <c r="I754" i="6"/>
  <c r="H754" i="6"/>
  <c r="Z753" i="6"/>
  <c r="Y753" i="6"/>
  <c r="X753" i="6"/>
  <c r="W753" i="6"/>
  <c r="R753" i="6"/>
  <c r="M753" i="6"/>
  <c r="N753" i="6"/>
  <c r="I753" i="6"/>
  <c r="H753" i="6"/>
  <c r="Z752" i="6"/>
  <c r="Y752" i="6"/>
  <c r="X752" i="6"/>
  <c r="W752" i="6"/>
  <c r="R752" i="6"/>
  <c r="M752" i="6"/>
  <c r="N752" i="6"/>
  <c r="I752" i="6"/>
  <c r="H752" i="6"/>
  <c r="Z751" i="6"/>
  <c r="Y751" i="6"/>
  <c r="X751" i="6"/>
  <c r="W751" i="6"/>
  <c r="R751" i="6"/>
  <c r="M751" i="6"/>
  <c r="N751" i="6"/>
  <c r="I751" i="6"/>
  <c r="H751" i="6"/>
  <c r="Z750" i="6"/>
  <c r="Y750" i="6"/>
  <c r="X750" i="6"/>
  <c r="W750" i="6"/>
  <c r="R750" i="6"/>
  <c r="M750" i="6"/>
  <c r="N750" i="6"/>
  <c r="I750" i="6"/>
  <c r="H750" i="6"/>
  <c r="Z749" i="6"/>
  <c r="Y749" i="6"/>
  <c r="X749" i="6"/>
  <c r="W749" i="6"/>
  <c r="R749" i="6"/>
  <c r="M749" i="6"/>
  <c r="N749" i="6"/>
  <c r="I749" i="6"/>
  <c r="H749" i="6"/>
  <c r="Z748" i="6"/>
  <c r="Y748" i="6"/>
  <c r="X748" i="6"/>
  <c r="W748" i="6"/>
  <c r="R748" i="6"/>
  <c r="M748" i="6"/>
  <c r="N748" i="6"/>
  <c r="I748" i="6"/>
  <c r="H748" i="6"/>
  <c r="Z747" i="6"/>
  <c r="Y747" i="6"/>
  <c r="X747" i="6"/>
  <c r="W747" i="6"/>
  <c r="R747" i="6"/>
  <c r="M747" i="6"/>
  <c r="N747" i="6"/>
  <c r="I747" i="6"/>
  <c r="H747" i="6"/>
  <c r="Z746" i="6"/>
  <c r="Y746" i="6"/>
  <c r="X746" i="6"/>
  <c r="W746" i="6"/>
  <c r="R746" i="6"/>
  <c r="M746" i="6"/>
  <c r="N746" i="6"/>
  <c r="I746" i="6"/>
  <c r="H746" i="6"/>
  <c r="Z745" i="6"/>
  <c r="Y745" i="6"/>
  <c r="X745" i="6"/>
  <c r="W745" i="6"/>
  <c r="R745" i="6"/>
  <c r="N745" i="6"/>
  <c r="M745" i="6"/>
  <c r="I745" i="6"/>
  <c r="H745" i="6"/>
  <c r="Z744" i="6"/>
  <c r="Y744" i="6"/>
  <c r="X744" i="6"/>
  <c r="W744" i="6"/>
  <c r="R744" i="6"/>
  <c r="M744" i="6"/>
  <c r="N744" i="6"/>
  <c r="I744" i="6"/>
  <c r="H744" i="6"/>
  <c r="Z743" i="6"/>
  <c r="Y743" i="6"/>
  <c r="X743" i="6"/>
  <c r="W743" i="6"/>
  <c r="R743" i="6"/>
  <c r="M743" i="6"/>
  <c r="N743" i="6"/>
  <c r="I743" i="6"/>
  <c r="H743" i="6"/>
  <c r="Z742" i="6"/>
  <c r="Y742" i="6"/>
  <c r="X742" i="6"/>
  <c r="W742" i="6"/>
  <c r="R742" i="6"/>
  <c r="M742" i="6"/>
  <c r="N742" i="6"/>
  <c r="I742" i="6"/>
  <c r="H742" i="6"/>
  <c r="Z741" i="6"/>
  <c r="Y741" i="6"/>
  <c r="X741" i="6"/>
  <c r="W741" i="6"/>
  <c r="R741" i="6"/>
  <c r="M741" i="6"/>
  <c r="N741" i="6"/>
  <c r="I741" i="6"/>
  <c r="H741" i="6"/>
  <c r="Z740" i="6"/>
  <c r="Y740" i="6"/>
  <c r="X740" i="6"/>
  <c r="W740" i="6"/>
  <c r="R740" i="6"/>
  <c r="N740" i="6"/>
  <c r="M740" i="6"/>
  <c r="I740" i="6"/>
  <c r="H740" i="6"/>
  <c r="Z739" i="6"/>
  <c r="Y739" i="6"/>
  <c r="X739" i="6"/>
  <c r="W739" i="6"/>
  <c r="R739" i="6"/>
  <c r="M739" i="6"/>
  <c r="N739" i="6"/>
  <c r="I739" i="6"/>
  <c r="H739" i="6"/>
  <c r="Z738" i="6"/>
  <c r="Y738" i="6"/>
  <c r="X738" i="6"/>
  <c r="W738" i="6"/>
  <c r="R738" i="6"/>
  <c r="M738" i="6"/>
  <c r="N738" i="6"/>
  <c r="I738" i="6"/>
  <c r="H738" i="6"/>
  <c r="Z737" i="6"/>
  <c r="Y737" i="6"/>
  <c r="X737" i="6"/>
  <c r="W737" i="6"/>
  <c r="R737" i="6"/>
  <c r="M737" i="6"/>
  <c r="N737" i="6"/>
  <c r="I737" i="6"/>
  <c r="H737" i="6"/>
  <c r="Z736" i="6"/>
  <c r="Y736" i="6"/>
  <c r="X736" i="6"/>
  <c r="W736" i="6"/>
  <c r="R736" i="6"/>
  <c r="M736" i="6"/>
  <c r="N736" i="6"/>
  <c r="I736" i="6"/>
  <c r="H736" i="6"/>
  <c r="Z735" i="6"/>
  <c r="Y735" i="6"/>
  <c r="X735" i="6"/>
  <c r="W735" i="6"/>
  <c r="R735" i="6"/>
  <c r="M735" i="6"/>
  <c r="N735" i="6"/>
  <c r="I735" i="6"/>
  <c r="H735" i="6"/>
  <c r="Z734" i="6"/>
  <c r="Y734" i="6"/>
  <c r="X734" i="6"/>
  <c r="W734" i="6"/>
  <c r="R734" i="6"/>
  <c r="M734" i="6"/>
  <c r="N734" i="6"/>
  <c r="I734" i="6"/>
  <c r="H734" i="6"/>
  <c r="Z733" i="6"/>
  <c r="Y733" i="6"/>
  <c r="X733" i="6"/>
  <c r="W733" i="6"/>
  <c r="R733" i="6"/>
  <c r="N733" i="6"/>
  <c r="M733" i="6"/>
  <c r="I733" i="6"/>
  <c r="H733" i="6"/>
  <c r="Z732" i="6"/>
  <c r="Y732" i="6"/>
  <c r="X732" i="6"/>
  <c r="W732" i="6"/>
  <c r="R732" i="6"/>
  <c r="M732" i="6"/>
  <c r="N732" i="6"/>
  <c r="I732" i="6"/>
  <c r="H732" i="6"/>
  <c r="Z731" i="6"/>
  <c r="Y731" i="6"/>
  <c r="X731" i="6"/>
  <c r="W731" i="6"/>
  <c r="R731" i="6"/>
  <c r="M731" i="6"/>
  <c r="N731" i="6"/>
  <c r="I731" i="6"/>
  <c r="H731" i="6"/>
  <c r="Z730" i="6"/>
  <c r="Y730" i="6"/>
  <c r="X730" i="6"/>
  <c r="W730" i="6"/>
  <c r="R730" i="6"/>
  <c r="M730" i="6"/>
  <c r="N730" i="6"/>
  <c r="I730" i="6"/>
  <c r="H730" i="6"/>
  <c r="Z729" i="6"/>
  <c r="Y729" i="6"/>
  <c r="X729" i="6"/>
  <c r="W729" i="6"/>
  <c r="R729" i="6"/>
  <c r="M729" i="6"/>
  <c r="N729" i="6"/>
  <c r="I729" i="6"/>
  <c r="H729" i="6"/>
  <c r="Z728" i="6"/>
  <c r="Y728" i="6"/>
  <c r="X728" i="6"/>
  <c r="W728" i="6"/>
  <c r="R728" i="6"/>
  <c r="M728" i="6"/>
  <c r="N728" i="6"/>
  <c r="I728" i="6"/>
  <c r="H728" i="6"/>
  <c r="Z727" i="6"/>
  <c r="Y727" i="6"/>
  <c r="X727" i="6"/>
  <c r="W727" i="6"/>
  <c r="R727" i="6"/>
  <c r="M727" i="6"/>
  <c r="N727" i="6"/>
  <c r="I727" i="6"/>
  <c r="H727" i="6"/>
  <c r="Z726" i="6"/>
  <c r="Y726" i="6"/>
  <c r="X726" i="6"/>
  <c r="W726" i="6"/>
  <c r="R726" i="6"/>
  <c r="M726" i="6"/>
  <c r="N726" i="6"/>
  <c r="I726" i="6"/>
  <c r="H726" i="6"/>
  <c r="Z725" i="6"/>
  <c r="Y725" i="6"/>
  <c r="X725" i="6"/>
  <c r="W725" i="6"/>
  <c r="R725" i="6"/>
  <c r="N725" i="6"/>
  <c r="M725" i="6"/>
  <c r="I725" i="6"/>
  <c r="H725" i="6"/>
  <c r="Z724" i="6"/>
  <c r="Y724" i="6"/>
  <c r="X724" i="6"/>
  <c r="W724" i="6"/>
  <c r="R724" i="6"/>
  <c r="M724" i="6"/>
  <c r="N724" i="6"/>
  <c r="I724" i="6"/>
  <c r="H724" i="6"/>
  <c r="Z723" i="6"/>
  <c r="Y723" i="6"/>
  <c r="X723" i="6"/>
  <c r="W723" i="6"/>
  <c r="R723" i="6"/>
  <c r="M723" i="6"/>
  <c r="N723" i="6"/>
  <c r="I723" i="6"/>
  <c r="H723" i="6"/>
  <c r="Z722" i="6"/>
  <c r="Y722" i="6"/>
  <c r="X722" i="6"/>
  <c r="W722" i="6"/>
  <c r="R722" i="6"/>
  <c r="M722" i="6"/>
  <c r="N722" i="6"/>
  <c r="I722" i="6"/>
  <c r="H722" i="6"/>
  <c r="Z721" i="6"/>
  <c r="Y721" i="6"/>
  <c r="X721" i="6"/>
  <c r="W721" i="6"/>
  <c r="R721" i="6"/>
  <c r="N721" i="6"/>
  <c r="M721" i="6"/>
  <c r="I721" i="6"/>
  <c r="H721" i="6"/>
  <c r="Z720" i="6"/>
  <c r="Y720" i="6"/>
  <c r="X720" i="6"/>
  <c r="W720" i="6"/>
  <c r="R720" i="6"/>
  <c r="M720" i="6"/>
  <c r="N720" i="6"/>
  <c r="I720" i="6"/>
  <c r="H720" i="6"/>
  <c r="Z719" i="6"/>
  <c r="Y719" i="6"/>
  <c r="X719" i="6"/>
  <c r="W719" i="6"/>
  <c r="R719" i="6"/>
  <c r="M719" i="6"/>
  <c r="N719" i="6"/>
  <c r="I719" i="6"/>
  <c r="H719" i="6"/>
  <c r="Z718" i="6"/>
  <c r="Y718" i="6"/>
  <c r="X718" i="6"/>
  <c r="W718" i="6"/>
  <c r="R718" i="6"/>
  <c r="M718" i="6"/>
  <c r="N718" i="6"/>
  <c r="I718" i="6"/>
  <c r="H718" i="6"/>
  <c r="Z717" i="6"/>
  <c r="Y717" i="6"/>
  <c r="X717" i="6"/>
  <c r="W717" i="6"/>
  <c r="R717" i="6"/>
  <c r="N717" i="6"/>
  <c r="M717" i="6"/>
  <c r="I717" i="6"/>
  <c r="H717" i="6"/>
  <c r="Z716" i="6"/>
  <c r="Y716" i="6"/>
  <c r="X716" i="6"/>
  <c r="W716" i="6"/>
  <c r="R716" i="6"/>
  <c r="M716" i="6"/>
  <c r="N716" i="6"/>
  <c r="I716" i="6"/>
  <c r="H716" i="6"/>
  <c r="Z715" i="6"/>
  <c r="Y715" i="6"/>
  <c r="X715" i="6"/>
  <c r="W715" i="6"/>
  <c r="R715" i="6"/>
  <c r="N715" i="6"/>
  <c r="M715" i="6"/>
  <c r="I715" i="6"/>
  <c r="H715" i="6"/>
  <c r="Z714" i="6"/>
  <c r="Y714" i="6"/>
  <c r="X714" i="6"/>
  <c r="W714" i="6"/>
  <c r="R714" i="6"/>
  <c r="M714" i="6"/>
  <c r="N714" i="6"/>
  <c r="I714" i="6"/>
  <c r="H714" i="6"/>
  <c r="Z713" i="6"/>
  <c r="Y713" i="6"/>
  <c r="X713" i="6"/>
  <c r="W713" i="6"/>
  <c r="R713" i="6"/>
  <c r="N713" i="6"/>
  <c r="M713" i="6"/>
  <c r="I713" i="6"/>
  <c r="H713" i="6"/>
  <c r="Z712" i="6"/>
  <c r="Y712" i="6"/>
  <c r="X712" i="6"/>
  <c r="W712" i="6"/>
  <c r="R712" i="6"/>
  <c r="M712" i="6"/>
  <c r="N712" i="6"/>
  <c r="I712" i="6"/>
  <c r="H712" i="6"/>
  <c r="Z711" i="6"/>
  <c r="Y711" i="6"/>
  <c r="X711" i="6"/>
  <c r="W711" i="6"/>
  <c r="R711" i="6"/>
  <c r="M711" i="6"/>
  <c r="N711" i="6"/>
  <c r="I711" i="6"/>
  <c r="H711" i="6"/>
  <c r="Z710" i="6"/>
  <c r="Y710" i="6"/>
  <c r="X710" i="6"/>
  <c r="W710" i="6"/>
  <c r="R710" i="6"/>
  <c r="M710" i="6"/>
  <c r="N710" i="6"/>
  <c r="I710" i="6"/>
  <c r="H710" i="6"/>
  <c r="Z709" i="6"/>
  <c r="Y709" i="6"/>
  <c r="X709" i="6"/>
  <c r="W709" i="6"/>
  <c r="R709" i="6"/>
  <c r="N709" i="6"/>
  <c r="M709" i="6"/>
  <c r="I709" i="6"/>
  <c r="H709" i="6"/>
  <c r="Z708" i="6"/>
  <c r="Y708" i="6"/>
  <c r="X708" i="6"/>
  <c r="W708" i="6"/>
  <c r="R708" i="6"/>
  <c r="M708" i="6"/>
  <c r="N708" i="6"/>
  <c r="I708" i="6"/>
  <c r="H708" i="6"/>
  <c r="Z707" i="6"/>
  <c r="Y707" i="6"/>
  <c r="X707" i="6"/>
  <c r="W707" i="6"/>
  <c r="R707" i="6"/>
  <c r="M707" i="6"/>
  <c r="N707" i="6"/>
  <c r="I707" i="6"/>
  <c r="H707" i="6"/>
  <c r="Z706" i="6"/>
  <c r="Y706" i="6"/>
  <c r="X706" i="6"/>
  <c r="W706" i="6"/>
  <c r="R706" i="6"/>
  <c r="M706" i="6"/>
  <c r="N706" i="6"/>
  <c r="I706" i="6"/>
  <c r="H706" i="6"/>
  <c r="Z705" i="6"/>
  <c r="Y705" i="6"/>
  <c r="X705" i="6"/>
  <c r="W705" i="6"/>
  <c r="R705" i="6"/>
  <c r="N705" i="6"/>
  <c r="M705" i="6"/>
  <c r="I705" i="6"/>
  <c r="H705" i="6"/>
  <c r="Z704" i="6"/>
  <c r="Y704" i="6"/>
  <c r="X704" i="6"/>
  <c r="W704" i="6"/>
  <c r="R704" i="6"/>
  <c r="M704" i="6"/>
  <c r="N704" i="6"/>
  <c r="I704" i="6"/>
  <c r="H704" i="6"/>
  <c r="Z703" i="6"/>
  <c r="Y703" i="6"/>
  <c r="X703" i="6"/>
  <c r="W703" i="6"/>
  <c r="R703" i="6"/>
  <c r="N703" i="6"/>
  <c r="M703" i="6"/>
  <c r="I703" i="6"/>
  <c r="H703" i="6"/>
  <c r="Z702" i="6"/>
  <c r="Y702" i="6"/>
  <c r="X702" i="6"/>
  <c r="W702" i="6"/>
  <c r="R702" i="6"/>
  <c r="N702" i="6"/>
  <c r="M702" i="6"/>
  <c r="I702" i="6"/>
  <c r="H702" i="6"/>
  <c r="Z701" i="6"/>
  <c r="Y701" i="6"/>
  <c r="X701" i="6"/>
  <c r="W701" i="6"/>
  <c r="R701" i="6"/>
  <c r="N701" i="6"/>
  <c r="M701" i="6"/>
  <c r="I701" i="6"/>
  <c r="H701" i="6"/>
  <c r="Z700" i="6"/>
  <c r="Y700" i="6"/>
  <c r="X700" i="6"/>
  <c r="W700" i="6"/>
  <c r="R700" i="6"/>
  <c r="M700" i="6"/>
  <c r="N700" i="6"/>
  <c r="I700" i="6"/>
  <c r="H700" i="6"/>
  <c r="Z699" i="6"/>
  <c r="Y699" i="6"/>
  <c r="X699" i="6"/>
  <c r="W699" i="6"/>
  <c r="R699" i="6"/>
  <c r="M699" i="6"/>
  <c r="N699" i="6"/>
  <c r="I699" i="6"/>
  <c r="H699" i="6"/>
  <c r="Z698" i="6"/>
  <c r="Y698" i="6"/>
  <c r="X698" i="6"/>
  <c r="W698" i="6"/>
  <c r="R698" i="6"/>
  <c r="M698" i="6"/>
  <c r="N698" i="6"/>
  <c r="I698" i="6"/>
  <c r="H698" i="6"/>
  <c r="Z697" i="6"/>
  <c r="Y697" i="6"/>
  <c r="X697" i="6"/>
  <c r="W697" i="6"/>
  <c r="R697" i="6"/>
  <c r="N697" i="6"/>
  <c r="M697" i="6"/>
  <c r="I697" i="6"/>
  <c r="H697" i="6"/>
  <c r="Z696" i="6"/>
  <c r="Y696" i="6"/>
  <c r="X696" i="6"/>
  <c r="W696" i="6"/>
  <c r="R696" i="6"/>
  <c r="M696" i="6"/>
  <c r="N696" i="6"/>
  <c r="I696" i="6"/>
  <c r="H696" i="6"/>
  <c r="Z695" i="6"/>
  <c r="Y695" i="6"/>
  <c r="X695" i="6"/>
  <c r="W695" i="6"/>
  <c r="R695" i="6"/>
  <c r="M695" i="6"/>
  <c r="N695" i="6"/>
  <c r="I695" i="6"/>
  <c r="H695" i="6"/>
  <c r="Z694" i="6"/>
  <c r="Y694" i="6"/>
  <c r="X694" i="6"/>
  <c r="W694" i="6"/>
  <c r="R694" i="6"/>
  <c r="M694" i="6"/>
  <c r="N694" i="6"/>
  <c r="I694" i="6"/>
  <c r="H694" i="6"/>
  <c r="Z693" i="6"/>
  <c r="Y693" i="6"/>
  <c r="X693" i="6"/>
  <c r="W693" i="6"/>
  <c r="R693" i="6"/>
  <c r="N693" i="6"/>
  <c r="M693" i="6"/>
  <c r="I693" i="6"/>
  <c r="H693" i="6"/>
  <c r="Z692" i="6"/>
  <c r="Y692" i="6"/>
  <c r="X692" i="6"/>
  <c r="W692" i="6"/>
  <c r="R692" i="6"/>
  <c r="M692" i="6"/>
  <c r="N692" i="6"/>
  <c r="I692" i="6"/>
  <c r="H692" i="6"/>
  <c r="Z691" i="6"/>
  <c r="Y691" i="6"/>
  <c r="X691" i="6"/>
  <c r="W691" i="6"/>
  <c r="R691" i="6"/>
  <c r="N691" i="6"/>
  <c r="M691" i="6"/>
  <c r="I691" i="6"/>
  <c r="H691" i="6"/>
  <c r="Z690" i="6"/>
  <c r="Y690" i="6"/>
  <c r="X690" i="6"/>
  <c r="W690" i="6"/>
  <c r="R690" i="6"/>
  <c r="M690" i="6"/>
  <c r="N690" i="6"/>
  <c r="I690" i="6"/>
  <c r="H690" i="6"/>
  <c r="Z689" i="6"/>
  <c r="Y689" i="6"/>
  <c r="X689" i="6"/>
  <c r="W689" i="6"/>
  <c r="R689" i="6"/>
  <c r="M689" i="6"/>
  <c r="N689" i="6"/>
  <c r="I689" i="6"/>
  <c r="H689" i="6"/>
  <c r="Z688" i="6"/>
  <c r="Y688" i="6"/>
  <c r="X688" i="6"/>
  <c r="W688" i="6"/>
  <c r="R688" i="6"/>
  <c r="M688" i="6"/>
  <c r="N688" i="6"/>
  <c r="I688" i="6"/>
  <c r="H688" i="6"/>
  <c r="Z687" i="6"/>
  <c r="Y687" i="6"/>
  <c r="X687" i="6"/>
  <c r="W687" i="6"/>
  <c r="R687" i="6"/>
  <c r="M687" i="6"/>
  <c r="N687" i="6"/>
  <c r="I687" i="6"/>
  <c r="H687" i="6"/>
  <c r="Z686" i="6"/>
  <c r="Y686" i="6"/>
  <c r="X686" i="6"/>
  <c r="W686" i="6"/>
  <c r="R686" i="6"/>
  <c r="M686" i="6"/>
  <c r="N686" i="6"/>
  <c r="I686" i="6"/>
  <c r="H686" i="6"/>
  <c r="Z685" i="6"/>
  <c r="Y685" i="6"/>
  <c r="X685" i="6"/>
  <c r="W685" i="6"/>
  <c r="R685" i="6"/>
  <c r="N685" i="6"/>
  <c r="M685" i="6"/>
  <c r="I685" i="6"/>
  <c r="H685" i="6"/>
  <c r="Z684" i="6"/>
  <c r="Y684" i="6"/>
  <c r="X684" i="6"/>
  <c r="W684" i="6"/>
  <c r="R684" i="6"/>
  <c r="M684" i="6"/>
  <c r="N684" i="6"/>
  <c r="I684" i="6"/>
  <c r="H684" i="6"/>
  <c r="Z683" i="6"/>
  <c r="Y683" i="6"/>
  <c r="X683" i="6"/>
  <c r="W683" i="6"/>
  <c r="R683" i="6"/>
  <c r="M683" i="6"/>
  <c r="N683" i="6"/>
  <c r="I683" i="6"/>
  <c r="H683" i="6"/>
  <c r="Z682" i="6"/>
  <c r="Y682" i="6"/>
  <c r="X682" i="6"/>
  <c r="W682" i="6"/>
  <c r="R682" i="6"/>
  <c r="N682" i="6"/>
  <c r="M682" i="6"/>
  <c r="I682" i="6"/>
  <c r="H682" i="6"/>
  <c r="Z681" i="6"/>
  <c r="Y681" i="6"/>
  <c r="X681" i="6"/>
  <c r="W681" i="6"/>
  <c r="R681" i="6"/>
  <c r="M681" i="6"/>
  <c r="N681" i="6"/>
  <c r="I681" i="6"/>
  <c r="H681" i="6"/>
  <c r="Z680" i="6"/>
  <c r="Y680" i="6"/>
  <c r="X680" i="6"/>
  <c r="W680" i="6"/>
  <c r="R680" i="6"/>
  <c r="M680" i="6"/>
  <c r="N680" i="6"/>
  <c r="I680" i="6"/>
  <c r="H680" i="6"/>
  <c r="Z679" i="6"/>
  <c r="Y679" i="6"/>
  <c r="X679" i="6"/>
  <c r="W679" i="6"/>
  <c r="R679" i="6"/>
  <c r="M679" i="6"/>
  <c r="N679" i="6"/>
  <c r="I679" i="6"/>
  <c r="H679" i="6"/>
  <c r="Z678" i="6"/>
  <c r="Y678" i="6"/>
  <c r="X678" i="6"/>
  <c r="W678" i="6"/>
  <c r="R678" i="6"/>
  <c r="M678" i="6"/>
  <c r="N678" i="6"/>
  <c r="I678" i="6"/>
  <c r="H678" i="6"/>
  <c r="Z677" i="6"/>
  <c r="Y677" i="6"/>
  <c r="X677" i="6"/>
  <c r="W677" i="6"/>
  <c r="R677" i="6"/>
  <c r="N677" i="6"/>
  <c r="M677" i="6"/>
  <c r="I677" i="6"/>
  <c r="H677" i="6"/>
  <c r="Z676" i="6"/>
  <c r="Y676" i="6"/>
  <c r="X676" i="6"/>
  <c r="W676" i="6"/>
  <c r="R676" i="6"/>
  <c r="N676" i="6"/>
  <c r="M676" i="6"/>
  <c r="I676" i="6"/>
  <c r="H676" i="6"/>
  <c r="Z675" i="6"/>
  <c r="Y675" i="6"/>
  <c r="X675" i="6"/>
  <c r="W675" i="6"/>
  <c r="R675" i="6"/>
  <c r="M675" i="6"/>
  <c r="N675" i="6"/>
  <c r="I675" i="6"/>
  <c r="H675" i="6"/>
  <c r="Z674" i="6"/>
  <c r="Y674" i="6"/>
  <c r="X674" i="6"/>
  <c r="W674" i="6"/>
  <c r="R674" i="6"/>
  <c r="M674" i="6"/>
  <c r="N674" i="6"/>
  <c r="I674" i="6"/>
  <c r="H674" i="6"/>
  <c r="Z673" i="6"/>
  <c r="Y673" i="6"/>
  <c r="X673" i="6"/>
  <c r="W673" i="6"/>
  <c r="R673" i="6"/>
  <c r="M673" i="6"/>
  <c r="N673" i="6"/>
  <c r="I673" i="6"/>
  <c r="H673" i="6"/>
  <c r="Z672" i="6"/>
  <c r="Y672" i="6"/>
  <c r="X672" i="6"/>
  <c r="W672" i="6"/>
  <c r="R672" i="6"/>
  <c r="M672" i="6"/>
  <c r="N672" i="6"/>
  <c r="I672" i="6"/>
  <c r="H672" i="6"/>
  <c r="Z671" i="6"/>
  <c r="Y671" i="6"/>
  <c r="X671" i="6"/>
  <c r="W671" i="6"/>
  <c r="R671" i="6"/>
  <c r="M671" i="6"/>
  <c r="N671" i="6"/>
  <c r="I671" i="6"/>
  <c r="H671" i="6"/>
  <c r="Z670" i="6"/>
  <c r="Y670" i="6"/>
  <c r="X670" i="6"/>
  <c r="W670" i="6"/>
  <c r="R670" i="6"/>
  <c r="M670" i="6"/>
  <c r="N670" i="6"/>
  <c r="I670" i="6"/>
  <c r="H670" i="6"/>
  <c r="Z669" i="6"/>
  <c r="Y669" i="6"/>
  <c r="X669" i="6"/>
  <c r="W669" i="6"/>
  <c r="R669" i="6"/>
  <c r="M669" i="6"/>
  <c r="N669" i="6"/>
  <c r="I669" i="6"/>
  <c r="H669" i="6"/>
  <c r="Z668" i="6"/>
  <c r="Y668" i="6"/>
  <c r="X668" i="6"/>
  <c r="W668" i="6"/>
  <c r="R668" i="6"/>
  <c r="M668" i="6"/>
  <c r="N668" i="6"/>
  <c r="I668" i="6"/>
  <c r="H668" i="6"/>
  <c r="Z667" i="6"/>
  <c r="Y667" i="6"/>
  <c r="X667" i="6"/>
  <c r="W667" i="6"/>
  <c r="R667" i="6"/>
  <c r="M667" i="6"/>
  <c r="N667" i="6"/>
  <c r="I667" i="6"/>
  <c r="H667" i="6"/>
  <c r="Z666" i="6"/>
  <c r="Y666" i="6"/>
  <c r="X666" i="6"/>
  <c r="W666" i="6"/>
  <c r="R666" i="6"/>
  <c r="M666" i="6"/>
  <c r="N666" i="6"/>
  <c r="I666" i="6"/>
  <c r="H666" i="6"/>
  <c r="Z665" i="6"/>
  <c r="Y665" i="6"/>
  <c r="X665" i="6"/>
  <c r="W665" i="6"/>
  <c r="R665" i="6"/>
  <c r="N665" i="6"/>
  <c r="M665" i="6"/>
  <c r="I665" i="6"/>
  <c r="H665" i="6"/>
  <c r="Z664" i="6"/>
  <c r="Y664" i="6"/>
  <c r="X664" i="6"/>
  <c r="W664" i="6"/>
  <c r="R664" i="6"/>
  <c r="M664" i="6"/>
  <c r="N664" i="6"/>
  <c r="I664" i="6"/>
  <c r="H664" i="6"/>
  <c r="Z663" i="6"/>
  <c r="Y663" i="6"/>
  <c r="X663" i="6"/>
  <c r="W663" i="6"/>
  <c r="R663" i="6"/>
  <c r="M663" i="6"/>
  <c r="N663" i="6"/>
  <c r="I663" i="6"/>
  <c r="H663" i="6"/>
  <c r="Z662" i="6"/>
  <c r="Y662" i="6"/>
  <c r="X662" i="6"/>
  <c r="W662" i="6"/>
  <c r="R662" i="6"/>
  <c r="M662" i="6"/>
  <c r="N662" i="6"/>
  <c r="I662" i="6"/>
  <c r="H662" i="6"/>
  <c r="Z661" i="6"/>
  <c r="Y661" i="6"/>
  <c r="X661" i="6"/>
  <c r="W661" i="6"/>
  <c r="R661" i="6"/>
  <c r="M661" i="6"/>
  <c r="N661" i="6"/>
  <c r="I661" i="6"/>
  <c r="H661" i="6"/>
  <c r="Z660" i="6"/>
  <c r="Y660" i="6"/>
  <c r="X660" i="6"/>
  <c r="W660" i="6"/>
  <c r="R660" i="6"/>
  <c r="M660" i="6"/>
  <c r="N660" i="6"/>
  <c r="I660" i="6"/>
  <c r="H660" i="6"/>
  <c r="Z659" i="6"/>
  <c r="Y659" i="6"/>
  <c r="X659" i="6"/>
  <c r="W659" i="6"/>
  <c r="R659" i="6"/>
  <c r="M659" i="6"/>
  <c r="N659" i="6"/>
  <c r="I659" i="6"/>
  <c r="H659" i="6"/>
  <c r="Z658" i="6"/>
  <c r="Y658" i="6"/>
  <c r="X658" i="6"/>
  <c r="W658" i="6"/>
  <c r="R658" i="6"/>
  <c r="M658" i="6"/>
  <c r="N658" i="6"/>
  <c r="I658" i="6"/>
  <c r="H658" i="6"/>
  <c r="Z657" i="6"/>
  <c r="Y657" i="6"/>
  <c r="X657" i="6"/>
  <c r="W657" i="6"/>
  <c r="R657" i="6"/>
  <c r="N657" i="6"/>
  <c r="M657" i="6"/>
  <c r="I657" i="6"/>
  <c r="H657" i="6"/>
  <c r="Z656" i="6"/>
  <c r="Y656" i="6"/>
  <c r="X656" i="6"/>
  <c r="W656" i="6"/>
  <c r="R656" i="6"/>
  <c r="M656" i="6"/>
  <c r="N656" i="6"/>
  <c r="I656" i="6"/>
  <c r="H656" i="6"/>
  <c r="Z655" i="6"/>
  <c r="Y655" i="6"/>
  <c r="X655" i="6"/>
  <c r="W655" i="6"/>
  <c r="R655" i="6"/>
  <c r="M655" i="6"/>
  <c r="N655" i="6"/>
  <c r="I655" i="6"/>
  <c r="H655" i="6"/>
  <c r="Z654" i="6"/>
  <c r="Y654" i="6"/>
  <c r="X654" i="6"/>
  <c r="W654" i="6"/>
  <c r="R654" i="6"/>
  <c r="M654" i="6"/>
  <c r="N654" i="6"/>
  <c r="I654" i="6"/>
  <c r="H654" i="6"/>
  <c r="Z653" i="6"/>
  <c r="Y653" i="6"/>
  <c r="X653" i="6"/>
  <c r="W653" i="6"/>
  <c r="R653" i="6"/>
  <c r="M653" i="6"/>
  <c r="N653" i="6"/>
  <c r="I653" i="6"/>
  <c r="H653" i="6"/>
  <c r="Z652" i="6"/>
  <c r="Y652" i="6"/>
  <c r="X652" i="6"/>
  <c r="W652" i="6"/>
  <c r="R652" i="6"/>
  <c r="M652" i="6"/>
  <c r="N652" i="6"/>
  <c r="I652" i="6"/>
  <c r="H652" i="6"/>
  <c r="Z651" i="6"/>
  <c r="Y651" i="6"/>
  <c r="X651" i="6"/>
  <c r="W651" i="6"/>
  <c r="R651" i="6"/>
  <c r="M651" i="6"/>
  <c r="N651" i="6"/>
  <c r="I651" i="6"/>
  <c r="H651" i="6"/>
  <c r="Z650" i="6"/>
  <c r="Y650" i="6"/>
  <c r="X650" i="6"/>
  <c r="W650" i="6"/>
  <c r="R650" i="6"/>
  <c r="M650" i="6"/>
  <c r="N650" i="6"/>
  <c r="I650" i="6"/>
  <c r="H650" i="6"/>
  <c r="Z649" i="6"/>
  <c r="Y649" i="6"/>
  <c r="X649" i="6"/>
  <c r="W649" i="6"/>
  <c r="R649" i="6"/>
  <c r="M649" i="6"/>
  <c r="N649" i="6"/>
  <c r="I649" i="6"/>
  <c r="H649" i="6"/>
  <c r="Z648" i="6"/>
  <c r="Y648" i="6"/>
  <c r="X648" i="6"/>
  <c r="W648" i="6"/>
  <c r="R648" i="6"/>
  <c r="M648" i="6"/>
  <c r="N648" i="6"/>
  <c r="I648" i="6"/>
  <c r="H648" i="6"/>
  <c r="Z647" i="6"/>
  <c r="Y647" i="6"/>
  <c r="X647" i="6"/>
  <c r="W647" i="6"/>
  <c r="R647" i="6"/>
  <c r="M647" i="6"/>
  <c r="N647" i="6"/>
  <c r="I647" i="6"/>
  <c r="H647" i="6"/>
  <c r="Z646" i="6"/>
  <c r="Y646" i="6"/>
  <c r="X646" i="6"/>
  <c r="W646" i="6"/>
  <c r="R646" i="6"/>
  <c r="N646" i="6"/>
  <c r="M646" i="6"/>
  <c r="I646" i="6"/>
  <c r="H646" i="6"/>
  <c r="Z645" i="6"/>
  <c r="Y645" i="6"/>
  <c r="X645" i="6"/>
  <c r="W645" i="6"/>
  <c r="R645" i="6"/>
  <c r="M645" i="6"/>
  <c r="N645" i="6"/>
  <c r="I645" i="6"/>
  <c r="H645" i="6"/>
  <c r="Z644" i="6"/>
  <c r="Y644" i="6"/>
  <c r="X644" i="6"/>
  <c r="W644" i="6"/>
  <c r="R644" i="6"/>
  <c r="M644" i="6"/>
  <c r="N644" i="6"/>
  <c r="I644" i="6"/>
  <c r="H644" i="6"/>
  <c r="Z643" i="6"/>
  <c r="Y643" i="6"/>
  <c r="X643" i="6"/>
  <c r="W643" i="6"/>
  <c r="R643" i="6"/>
  <c r="N643" i="6"/>
  <c r="M643" i="6"/>
  <c r="I643" i="6"/>
  <c r="H643" i="6"/>
  <c r="Z642" i="6"/>
  <c r="Y642" i="6"/>
  <c r="X642" i="6"/>
  <c r="W642" i="6"/>
  <c r="R642" i="6"/>
  <c r="M642" i="6"/>
  <c r="N642" i="6"/>
  <c r="I642" i="6"/>
  <c r="H642" i="6"/>
  <c r="Z641" i="6"/>
  <c r="Y641" i="6"/>
  <c r="X641" i="6"/>
  <c r="W641" i="6"/>
  <c r="R641" i="6"/>
  <c r="N641" i="6"/>
  <c r="M641" i="6"/>
  <c r="I641" i="6"/>
  <c r="H641" i="6"/>
  <c r="Z640" i="6"/>
  <c r="Y640" i="6"/>
  <c r="X640" i="6"/>
  <c r="W640" i="6"/>
  <c r="R640" i="6"/>
  <c r="M640" i="6"/>
  <c r="N640" i="6"/>
  <c r="I640" i="6"/>
  <c r="H640" i="6"/>
  <c r="Z639" i="6"/>
  <c r="Y639" i="6"/>
  <c r="X639" i="6"/>
  <c r="W639" i="6"/>
  <c r="R639" i="6"/>
  <c r="M639" i="6"/>
  <c r="N639" i="6"/>
  <c r="I639" i="6"/>
  <c r="H639" i="6"/>
  <c r="Z638" i="6"/>
  <c r="Y638" i="6"/>
  <c r="X638" i="6"/>
  <c r="W638" i="6"/>
  <c r="R638" i="6"/>
  <c r="M638" i="6"/>
  <c r="N638" i="6"/>
  <c r="I638" i="6"/>
  <c r="H638" i="6"/>
  <c r="Z637" i="6"/>
  <c r="Y637" i="6"/>
  <c r="X637" i="6"/>
  <c r="W637" i="6"/>
  <c r="R637" i="6"/>
  <c r="N637" i="6"/>
  <c r="M637" i="6"/>
  <c r="I637" i="6"/>
  <c r="H637" i="6"/>
  <c r="Z636" i="6"/>
  <c r="Y636" i="6"/>
  <c r="X636" i="6"/>
  <c r="W636" i="6"/>
  <c r="R636" i="6"/>
  <c r="M636" i="6"/>
  <c r="N636" i="6"/>
  <c r="I636" i="6"/>
  <c r="H636" i="6"/>
  <c r="Z635" i="6"/>
  <c r="Y635" i="6"/>
  <c r="X635" i="6"/>
  <c r="W635" i="6"/>
  <c r="R635" i="6"/>
  <c r="M635" i="6"/>
  <c r="N635" i="6"/>
  <c r="I635" i="6"/>
  <c r="H635" i="6"/>
  <c r="Z634" i="6"/>
  <c r="Y634" i="6"/>
  <c r="X634" i="6"/>
  <c r="W634" i="6"/>
  <c r="R634" i="6"/>
  <c r="M634" i="6"/>
  <c r="N634" i="6"/>
  <c r="I634" i="6"/>
  <c r="H634" i="6"/>
  <c r="Z633" i="6"/>
  <c r="Y633" i="6"/>
  <c r="X633" i="6"/>
  <c r="W633" i="6"/>
  <c r="R633" i="6"/>
  <c r="M633" i="6"/>
  <c r="N633" i="6"/>
  <c r="I633" i="6"/>
  <c r="H633" i="6"/>
  <c r="Z632" i="6"/>
  <c r="Y632" i="6"/>
  <c r="X632" i="6"/>
  <c r="W632" i="6"/>
  <c r="R632" i="6"/>
  <c r="N632" i="6"/>
  <c r="M632" i="6"/>
  <c r="I632" i="6"/>
  <c r="H632" i="6"/>
  <c r="Z631" i="6"/>
  <c r="Y631" i="6"/>
  <c r="X631" i="6"/>
  <c r="W631" i="6"/>
  <c r="R631" i="6"/>
  <c r="M631" i="6"/>
  <c r="N631" i="6"/>
  <c r="I631" i="6"/>
  <c r="H631" i="6"/>
  <c r="Z630" i="6"/>
  <c r="Y630" i="6"/>
  <c r="X630" i="6"/>
  <c r="W630" i="6"/>
  <c r="R630" i="6"/>
  <c r="M630" i="6"/>
  <c r="N630" i="6"/>
  <c r="I630" i="6"/>
  <c r="H630" i="6"/>
  <c r="Z629" i="6"/>
  <c r="Y629" i="6"/>
  <c r="X629" i="6"/>
  <c r="W629" i="6"/>
  <c r="R629" i="6"/>
  <c r="N629" i="6"/>
  <c r="M629" i="6"/>
  <c r="I629" i="6"/>
  <c r="H629" i="6"/>
  <c r="Z628" i="6"/>
  <c r="Y628" i="6"/>
  <c r="X628" i="6"/>
  <c r="W628" i="6"/>
  <c r="R628" i="6"/>
  <c r="N628" i="6"/>
  <c r="M628" i="6"/>
  <c r="I628" i="6"/>
  <c r="H628" i="6"/>
  <c r="Z627" i="6"/>
  <c r="Y627" i="6"/>
  <c r="X627" i="6"/>
  <c r="W627" i="6"/>
  <c r="R627" i="6"/>
  <c r="M627" i="6"/>
  <c r="N627" i="6"/>
  <c r="I627" i="6"/>
  <c r="H627" i="6"/>
  <c r="Z626" i="6"/>
  <c r="Y626" i="6"/>
  <c r="X626" i="6"/>
  <c r="W626" i="6"/>
  <c r="R626" i="6"/>
  <c r="N626" i="6"/>
  <c r="M626" i="6"/>
  <c r="I626" i="6"/>
  <c r="H626" i="6"/>
  <c r="Z625" i="6"/>
  <c r="Y625" i="6"/>
  <c r="X625" i="6"/>
  <c r="W625" i="6"/>
  <c r="R625" i="6"/>
  <c r="M625" i="6"/>
  <c r="N625" i="6"/>
  <c r="I625" i="6"/>
  <c r="H625" i="6"/>
  <c r="Z624" i="6"/>
  <c r="Y624" i="6"/>
  <c r="X624" i="6"/>
  <c r="W624" i="6"/>
  <c r="R624" i="6"/>
  <c r="M624" i="6"/>
  <c r="N624" i="6"/>
  <c r="I624" i="6"/>
  <c r="H624" i="6"/>
  <c r="Z623" i="6"/>
  <c r="Y623" i="6"/>
  <c r="X623" i="6"/>
  <c r="W623" i="6"/>
  <c r="R623" i="6"/>
  <c r="M623" i="6"/>
  <c r="N623" i="6"/>
  <c r="I623" i="6"/>
  <c r="H623" i="6"/>
  <c r="Z622" i="6"/>
  <c r="Y622" i="6"/>
  <c r="X622" i="6"/>
  <c r="W622" i="6"/>
  <c r="R622" i="6"/>
  <c r="M622" i="6"/>
  <c r="N622" i="6"/>
  <c r="I622" i="6"/>
  <c r="H622" i="6"/>
  <c r="Z621" i="6"/>
  <c r="Y621" i="6"/>
  <c r="X621" i="6"/>
  <c r="W621" i="6"/>
  <c r="R621" i="6"/>
  <c r="M621" i="6"/>
  <c r="N621" i="6"/>
  <c r="I621" i="6"/>
  <c r="H621" i="6"/>
  <c r="Z620" i="6"/>
  <c r="Y620" i="6"/>
  <c r="X620" i="6"/>
  <c r="W620" i="6"/>
  <c r="R620" i="6"/>
  <c r="M620" i="6"/>
  <c r="N620" i="6"/>
  <c r="I620" i="6"/>
  <c r="H620" i="6"/>
  <c r="Z619" i="6"/>
  <c r="Y619" i="6"/>
  <c r="X619" i="6"/>
  <c r="W619" i="6"/>
  <c r="R619" i="6"/>
  <c r="M619" i="6"/>
  <c r="N619" i="6"/>
  <c r="I619" i="6"/>
  <c r="H619" i="6"/>
  <c r="Z618" i="6"/>
  <c r="Y618" i="6"/>
  <c r="X618" i="6"/>
  <c r="W618" i="6"/>
  <c r="R618" i="6"/>
  <c r="M618" i="6"/>
  <c r="N618" i="6"/>
  <c r="I618" i="6"/>
  <c r="H618" i="6"/>
  <c r="Z617" i="6"/>
  <c r="Y617" i="6"/>
  <c r="X617" i="6"/>
  <c r="W617" i="6"/>
  <c r="R617" i="6"/>
  <c r="N617" i="6"/>
  <c r="M617" i="6"/>
  <c r="I617" i="6"/>
  <c r="H617" i="6"/>
  <c r="Z616" i="6"/>
  <c r="Y616" i="6"/>
  <c r="X616" i="6"/>
  <c r="W616" i="6"/>
  <c r="R616" i="6"/>
  <c r="M616" i="6"/>
  <c r="N616" i="6"/>
  <c r="I616" i="6"/>
  <c r="H616" i="6"/>
  <c r="Z615" i="6"/>
  <c r="Y615" i="6"/>
  <c r="X615" i="6"/>
  <c r="W615" i="6"/>
  <c r="R615" i="6"/>
  <c r="N615" i="6"/>
  <c r="M615" i="6"/>
  <c r="I615" i="6"/>
  <c r="H615" i="6"/>
  <c r="Z614" i="6"/>
  <c r="Y614" i="6"/>
  <c r="X614" i="6"/>
  <c r="W614" i="6"/>
  <c r="R614" i="6"/>
  <c r="M614" i="6"/>
  <c r="N614" i="6"/>
  <c r="I614" i="6"/>
  <c r="H614" i="6"/>
  <c r="Z613" i="6"/>
  <c r="Y613" i="6"/>
  <c r="X613" i="6"/>
  <c r="W613" i="6"/>
  <c r="R613" i="6"/>
  <c r="M613" i="6"/>
  <c r="N613" i="6"/>
  <c r="I613" i="6"/>
  <c r="H613" i="6"/>
  <c r="Z612" i="6"/>
  <c r="Y612" i="6"/>
  <c r="X612" i="6"/>
  <c r="W612" i="6"/>
  <c r="R612" i="6"/>
  <c r="M612" i="6"/>
  <c r="N612" i="6"/>
  <c r="I612" i="6"/>
  <c r="H612" i="6"/>
  <c r="Z611" i="6"/>
  <c r="Y611" i="6"/>
  <c r="X611" i="6"/>
  <c r="W611" i="6"/>
  <c r="R611" i="6"/>
  <c r="M611" i="6"/>
  <c r="N611" i="6"/>
  <c r="I611" i="6"/>
  <c r="H611" i="6"/>
  <c r="Z610" i="6"/>
  <c r="Y610" i="6"/>
  <c r="X610" i="6"/>
  <c r="W610" i="6"/>
  <c r="R610" i="6"/>
  <c r="M610" i="6"/>
  <c r="N610" i="6"/>
  <c r="I610" i="6"/>
  <c r="H610" i="6"/>
  <c r="Z609" i="6"/>
  <c r="Y609" i="6"/>
  <c r="X609" i="6"/>
  <c r="W609" i="6"/>
  <c r="R609" i="6"/>
  <c r="N609" i="6"/>
  <c r="M609" i="6"/>
  <c r="I609" i="6"/>
  <c r="H609" i="6"/>
  <c r="Z608" i="6"/>
  <c r="Y608" i="6"/>
  <c r="X608" i="6"/>
  <c r="W608" i="6"/>
  <c r="R608" i="6"/>
  <c r="M608" i="6"/>
  <c r="N608" i="6"/>
  <c r="I608" i="6"/>
  <c r="H608" i="6"/>
  <c r="Z607" i="6"/>
  <c r="Y607" i="6"/>
  <c r="X607" i="6"/>
  <c r="W607" i="6"/>
  <c r="R607" i="6"/>
  <c r="M607" i="6"/>
  <c r="N607" i="6"/>
  <c r="I607" i="6"/>
  <c r="H607" i="6"/>
  <c r="Z606" i="6"/>
  <c r="Y606" i="6"/>
  <c r="X606" i="6"/>
  <c r="W606" i="6"/>
  <c r="R606" i="6"/>
  <c r="M606" i="6"/>
  <c r="N606" i="6"/>
  <c r="I606" i="6"/>
  <c r="H606" i="6"/>
  <c r="Z605" i="6"/>
  <c r="Y605" i="6"/>
  <c r="X605" i="6"/>
  <c r="W605" i="6"/>
  <c r="R605" i="6"/>
  <c r="M605" i="6"/>
  <c r="N605" i="6"/>
  <c r="I605" i="6"/>
  <c r="H605" i="6"/>
  <c r="Z604" i="6"/>
  <c r="Y604" i="6"/>
  <c r="X604" i="6"/>
  <c r="W604" i="6"/>
  <c r="R604" i="6"/>
  <c r="M604" i="6"/>
  <c r="N604" i="6"/>
  <c r="I604" i="6"/>
  <c r="H604" i="6"/>
  <c r="Z603" i="6"/>
  <c r="Y603" i="6"/>
  <c r="X603" i="6"/>
  <c r="W603" i="6"/>
  <c r="R603" i="6"/>
  <c r="M603" i="6"/>
  <c r="N603" i="6"/>
  <c r="I603" i="6"/>
  <c r="H603" i="6"/>
  <c r="Z602" i="6"/>
  <c r="Y602" i="6"/>
  <c r="X602" i="6"/>
  <c r="W602" i="6"/>
  <c r="R602" i="6"/>
  <c r="M602" i="6"/>
  <c r="N602" i="6"/>
  <c r="I602" i="6"/>
  <c r="H602" i="6"/>
  <c r="Z601" i="6"/>
  <c r="Y601" i="6"/>
  <c r="X601" i="6"/>
  <c r="W601" i="6"/>
  <c r="R601" i="6"/>
  <c r="M601" i="6"/>
  <c r="N601" i="6"/>
  <c r="I601" i="6"/>
  <c r="H601" i="6"/>
  <c r="Z600" i="6"/>
  <c r="Y600" i="6"/>
  <c r="X600" i="6"/>
  <c r="W600" i="6"/>
  <c r="R600" i="6"/>
  <c r="N600" i="6"/>
  <c r="M600" i="6"/>
  <c r="I600" i="6"/>
  <c r="H600" i="6"/>
  <c r="Z599" i="6"/>
  <c r="Y599" i="6"/>
  <c r="X599" i="6"/>
  <c r="W599" i="6"/>
  <c r="R599" i="6"/>
  <c r="N599" i="6"/>
  <c r="M599" i="6"/>
  <c r="I599" i="6"/>
  <c r="H599" i="6"/>
  <c r="Z598" i="6"/>
  <c r="Y598" i="6"/>
  <c r="X598" i="6"/>
  <c r="W598" i="6"/>
  <c r="R598" i="6"/>
  <c r="M598" i="6"/>
  <c r="N598" i="6"/>
  <c r="I598" i="6"/>
  <c r="H598" i="6"/>
  <c r="Z597" i="6"/>
  <c r="Y597" i="6"/>
  <c r="X597" i="6"/>
  <c r="W597" i="6"/>
  <c r="R597" i="6"/>
  <c r="N597" i="6"/>
  <c r="M597" i="6"/>
  <c r="I597" i="6"/>
  <c r="H597" i="6"/>
  <c r="Z596" i="6"/>
  <c r="Y596" i="6"/>
  <c r="X596" i="6"/>
  <c r="W596" i="6"/>
  <c r="R596" i="6"/>
  <c r="M596" i="6"/>
  <c r="N596" i="6"/>
  <c r="I596" i="6"/>
  <c r="H596" i="6"/>
  <c r="Z595" i="6"/>
  <c r="Y595" i="6"/>
  <c r="X595" i="6"/>
  <c r="W595" i="6"/>
  <c r="R595" i="6"/>
  <c r="M595" i="6"/>
  <c r="N595" i="6"/>
  <c r="I595" i="6"/>
  <c r="H595" i="6"/>
  <c r="Z594" i="6"/>
  <c r="Y594" i="6"/>
  <c r="X594" i="6"/>
  <c r="W594" i="6"/>
  <c r="R594" i="6"/>
  <c r="N594" i="6"/>
  <c r="M594" i="6"/>
  <c r="I594" i="6"/>
  <c r="H594" i="6"/>
  <c r="Z593" i="6"/>
  <c r="Y593" i="6"/>
  <c r="X593" i="6"/>
  <c r="W593" i="6"/>
  <c r="R593" i="6"/>
  <c r="M593" i="6"/>
  <c r="N593" i="6"/>
  <c r="I593" i="6"/>
  <c r="H593" i="6"/>
  <c r="Z592" i="6"/>
  <c r="Y592" i="6"/>
  <c r="X592" i="6"/>
  <c r="W592" i="6"/>
  <c r="R592" i="6"/>
  <c r="M592" i="6"/>
  <c r="N592" i="6"/>
  <c r="I592" i="6"/>
  <c r="H592" i="6"/>
  <c r="Z591" i="6"/>
  <c r="Y591" i="6"/>
  <c r="X591" i="6"/>
  <c r="W591" i="6"/>
  <c r="R591" i="6"/>
  <c r="M591" i="6"/>
  <c r="N591" i="6"/>
  <c r="I591" i="6"/>
  <c r="H591" i="6"/>
  <c r="Z590" i="6"/>
  <c r="Y590" i="6"/>
  <c r="X590" i="6"/>
  <c r="W590" i="6"/>
  <c r="R590" i="6"/>
  <c r="M590" i="6"/>
  <c r="N590" i="6"/>
  <c r="I590" i="6"/>
  <c r="H590" i="6"/>
  <c r="Z589" i="6"/>
  <c r="Y589" i="6"/>
  <c r="X589" i="6"/>
  <c r="W589" i="6"/>
  <c r="R589" i="6"/>
  <c r="M589" i="6"/>
  <c r="N589" i="6"/>
  <c r="I589" i="6"/>
  <c r="H589" i="6"/>
  <c r="Z588" i="6"/>
  <c r="Y588" i="6"/>
  <c r="X588" i="6"/>
  <c r="W588" i="6"/>
  <c r="R588" i="6"/>
  <c r="M588" i="6"/>
  <c r="N588" i="6"/>
  <c r="I588" i="6"/>
  <c r="H588" i="6"/>
  <c r="Z587" i="6"/>
  <c r="Y587" i="6"/>
  <c r="X587" i="6"/>
  <c r="W587" i="6"/>
  <c r="R587" i="6"/>
  <c r="M587" i="6"/>
  <c r="N587" i="6"/>
  <c r="I587" i="6"/>
  <c r="H587" i="6"/>
  <c r="Z586" i="6"/>
  <c r="Y586" i="6"/>
  <c r="X586" i="6"/>
  <c r="W586" i="6"/>
  <c r="R586" i="6"/>
  <c r="M586" i="6"/>
  <c r="N586" i="6"/>
  <c r="I586" i="6"/>
  <c r="H586" i="6"/>
  <c r="Z585" i="6"/>
  <c r="Y585" i="6"/>
  <c r="X585" i="6"/>
  <c r="W585" i="6"/>
  <c r="R585" i="6"/>
  <c r="M585" i="6"/>
  <c r="N585" i="6"/>
  <c r="I585" i="6"/>
  <c r="H585" i="6"/>
  <c r="Z584" i="6"/>
  <c r="Y584" i="6"/>
  <c r="X584" i="6"/>
  <c r="W584" i="6"/>
  <c r="R584" i="6"/>
  <c r="M584" i="6"/>
  <c r="N584" i="6"/>
  <c r="I584" i="6"/>
  <c r="H584" i="6"/>
  <c r="Z583" i="6"/>
  <c r="Y583" i="6"/>
  <c r="X583" i="6"/>
  <c r="W583" i="6"/>
  <c r="R583" i="6"/>
  <c r="M583" i="6"/>
  <c r="N583" i="6"/>
  <c r="I583" i="6"/>
  <c r="H583" i="6"/>
  <c r="Z582" i="6"/>
  <c r="Y582" i="6"/>
  <c r="X582" i="6"/>
  <c r="W582" i="6"/>
  <c r="R582" i="6"/>
  <c r="M582" i="6"/>
  <c r="N582" i="6"/>
  <c r="I582" i="6"/>
  <c r="H582" i="6"/>
  <c r="Z581" i="6"/>
  <c r="Y581" i="6"/>
  <c r="X581" i="6"/>
  <c r="W581" i="6"/>
  <c r="R581" i="6"/>
  <c r="M581" i="6"/>
  <c r="N581" i="6"/>
  <c r="I581" i="6"/>
  <c r="H581" i="6"/>
  <c r="Z580" i="6"/>
  <c r="Y580" i="6"/>
  <c r="X580" i="6"/>
  <c r="W580" i="6"/>
  <c r="R580" i="6"/>
  <c r="M580" i="6"/>
  <c r="N580" i="6"/>
  <c r="I580" i="6"/>
  <c r="H580" i="6"/>
  <c r="Z579" i="6"/>
  <c r="Y579" i="6"/>
  <c r="X579" i="6"/>
  <c r="W579" i="6"/>
  <c r="R579" i="6"/>
  <c r="N579" i="6"/>
  <c r="M579" i="6"/>
  <c r="I579" i="6"/>
  <c r="H579" i="6"/>
  <c r="Z578" i="6"/>
  <c r="Y578" i="6"/>
  <c r="X578" i="6"/>
  <c r="W578" i="6"/>
  <c r="R578" i="6"/>
  <c r="M578" i="6"/>
  <c r="N578" i="6"/>
  <c r="I578" i="6"/>
  <c r="H578" i="6"/>
  <c r="Z577" i="6"/>
  <c r="Y577" i="6"/>
  <c r="X577" i="6"/>
  <c r="W577" i="6"/>
  <c r="R577" i="6"/>
  <c r="M577" i="6"/>
  <c r="N577" i="6"/>
  <c r="I577" i="6"/>
  <c r="H577" i="6"/>
  <c r="Z576" i="6"/>
  <c r="Y576" i="6"/>
  <c r="X576" i="6"/>
  <c r="W576" i="6"/>
  <c r="R576" i="6"/>
  <c r="M576" i="6"/>
  <c r="N576" i="6"/>
  <c r="I576" i="6"/>
  <c r="H576" i="6"/>
  <c r="Z575" i="6"/>
  <c r="Y575" i="6"/>
  <c r="X575" i="6"/>
  <c r="W575" i="6"/>
  <c r="R575" i="6"/>
  <c r="M575" i="6"/>
  <c r="N575" i="6"/>
  <c r="I575" i="6"/>
  <c r="H575" i="6"/>
  <c r="Z574" i="6"/>
  <c r="Y574" i="6"/>
  <c r="X574" i="6"/>
  <c r="W574" i="6"/>
  <c r="R574" i="6"/>
  <c r="M574" i="6"/>
  <c r="N574" i="6"/>
  <c r="I574" i="6"/>
  <c r="H574" i="6"/>
  <c r="Z573" i="6"/>
  <c r="Y573" i="6"/>
  <c r="X573" i="6"/>
  <c r="W573" i="6"/>
  <c r="R573" i="6"/>
  <c r="M573" i="6"/>
  <c r="N573" i="6"/>
  <c r="I573" i="6"/>
  <c r="H573" i="6"/>
  <c r="Z572" i="6"/>
  <c r="Y572" i="6"/>
  <c r="X572" i="6"/>
  <c r="W572" i="6"/>
  <c r="R572" i="6"/>
  <c r="N572" i="6"/>
  <c r="M572" i="6"/>
  <c r="I572" i="6"/>
  <c r="H572" i="6"/>
  <c r="Z571" i="6"/>
  <c r="Y571" i="6"/>
  <c r="X571" i="6"/>
  <c r="W571" i="6"/>
  <c r="R571" i="6"/>
  <c r="M571" i="6"/>
  <c r="N571" i="6"/>
  <c r="I571" i="6"/>
  <c r="H571" i="6"/>
  <c r="Z570" i="6"/>
  <c r="Y570" i="6"/>
  <c r="X570" i="6"/>
  <c r="W570" i="6"/>
  <c r="R570" i="6"/>
  <c r="M570" i="6"/>
  <c r="N570" i="6"/>
  <c r="I570" i="6"/>
  <c r="H570" i="6"/>
  <c r="Z569" i="6"/>
  <c r="Y569" i="6"/>
  <c r="X569" i="6"/>
  <c r="W569" i="6"/>
  <c r="R569" i="6"/>
  <c r="M569" i="6"/>
  <c r="N569" i="6"/>
  <c r="I569" i="6"/>
  <c r="H569" i="6"/>
  <c r="Z568" i="6"/>
  <c r="Y568" i="6"/>
  <c r="X568" i="6"/>
  <c r="W568" i="6"/>
  <c r="R568" i="6"/>
  <c r="M568" i="6"/>
  <c r="N568" i="6"/>
  <c r="I568" i="6"/>
  <c r="H568" i="6"/>
  <c r="Z567" i="6"/>
  <c r="Y567" i="6"/>
  <c r="X567" i="6"/>
  <c r="W567" i="6"/>
  <c r="R567" i="6"/>
  <c r="M567" i="6"/>
  <c r="N567" i="6"/>
  <c r="I567" i="6"/>
  <c r="H567" i="6"/>
  <c r="Z566" i="6"/>
  <c r="Y566" i="6"/>
  <c r="X566" i="6"/>
  <c r="W566" i="6"/>
  <c r="R566" i="6"/>
  <c r="N566" i="6"/>
  <c r="M566" i="6"/>
  <c r="I566" i="6"/>
  <c r="H566" i="6"/>
  <c r="Z565" i="6"/>
  <c r="Y565" i="6"/>
  <c r="X565" i="6"/>
  <c r="W565" i="6"/>
  <c r="R565" i="6"/>
  <c r="M565" i="6"/>
  <c r="N565" i="6"/>
  <c r="I565" i="6"/>
  <c r="H565" i="6"/>
  <c r="Z564" i="6"/>
  <c r="Y564" i="6"/>
  <c r="X564" i="6"/>
  <c r="W564" i="6"/>
  <c r="R564" i="6"/>
  <c r="M564" i="6"/>
  <c r="N564" i="6"/>
  <c r="I564" i="6"/>
  <c r="H564" i="6"/>
  <c r="Z563" i="6"/>
  <c r="Y563" i="6"/>
  <c r="X563" i="6"/>
  <c r="W563" i="6"/>
  <c r="R563" i="6"/>
  <c r="N563" i="6"/>
  <c r="M563" i="6"/>
  <c r="I563" i="6"/>
  <c r="H563" i="6"/>
  <c r="Z562" i="6"/>
  <c r="Y562" i="6"/>
  <c r="X562" i="6"/>
  <c r="W562" i="6"/>
  <c r="R562" i="6"/>
  <c r="M562" i="6"/>
  <c r="N562" i="6"/>
  <c r="I562" i="6"/>
  <c r="H562" i="6"/>
  <c r="Z561" i="6"/>
  <c r="Y561" i="6"/>
  <c r="X561" i="6"/>
  <c r="W561" i="6"/>
  <c r="R561" i="6"/>
  <c r="M561" i="6"/>
  <c r="N561" i="6"/>
  <c r="I561" i="6"/>
  <c r="H561" i="6"/>
  <c r="Z560" i="6"/>
  <c r="Y560" i="6"/>
  <c r="X560" i="6"/>
  <c r="W560" i="6"/>
  <c r="R560" i="6"/>
  <c r="M560" i="6"/>
  <c r="N560" i="6"/>
  <c r="I560" i="6"/>
  <c r="H560" i="6"/>
  <c r="Z559" i="6"/>
  <c r="Y559" i="6"/>
  <c r="X559" i="6"/>
  <c r="W559" i="6"/>
  <c r="R559" i="6"/>
  <c r="M559" i="6"/>
  <c r="N559" i="6"/>
  <c r="I559" i="6"/>
  <c r="H559" i="6"/>
  <c r="Z558" i="6"/>
  <c r="Y558" i="6"/>
  <c r="X558" i="6"/>
  <c r="W558" i="6"/>
  <c r="R558" i="6"/>
  <c r="M558" i="6"/>
  <c r="N558" i="6"/>
  <c r="I558" i="6"/>
  <c r="H558" i="6"/>
  <c r="Z557" i="6"/>
  <c r="Y557" i="6"/>
  <c r="X557" i="6"/>
  <c r="W557" i="6"/>
  <c r="R557" i="6"/>
  <c r="M557" i="6"/>
  <c r="N557" i="6"/>
  <c r="I557" i="6"/>
  <c r="H557" i="6"/>
  <c r="Z556" i="6"/>
  <c r="Y556" i="6"/>
  <c r="X556" i="6"/>
  <c r="W556" i="6"/>
  <c r="R556" i="6"/>
  <c r="M556" i="6"/>
  <c r="N556" i="6"/>
  <c r="I556" i="6"/>
  <c r="H556" i="6"/>
  <c r="Z555" i="6"/>
  <c r="Y555" i="6"/>
  <c r="X555" i="6"/>
  <c r="W555" i="6"/>
  <c r="R555" i="6"/>
  <c r="M555" i="6"/>
  <c r="N555" i="6"/>
  <c r="I555" i="6"/>
  <c r="H555" i="6"/>
  <c r="Z554" i="6"/>
  <c r="Y554" i="6"/>
  <c r="X554" i="6"/>
  <c r="W554" i="6"/>
  <c r="R554" i="6"/>
  <c r="M554" i="6"/>
  <c r="N554" i="6"/>
  <c r="I554" i="6"/>
  <c r="H554" i="6"/>
  <c r="Z553" i="6"/>
  <c r="Y553" i="6"/>
  <c r="X553" i="6"/>
  <c r="W553" i="6"/>
  <c r="R553" i="6"/>
  <c r="N553" i="6"/>
  <c r="M553" i="6"/>
  <c r="I553" i="6"/>
  <c r="H553" i="6"/>
  <c r="Z552" i="6"/>
  <c r="Y552" i="6"/>
  <c r="X552" i="6"/>
  <c r="W552" i="6"/>
  <c r="R552" i="6"/>
  <c r="M552" i="6"/>
  <c r="N552" i="6"/>
  <c r="I552" i="6"/>
  <c r="H552" i="6"/>
  <c r="Z551" i="6"/>
  <c r="Y551" i="6"/>
  <c r="X551" i="6"/>
  <c r="W551" i="6"/>
  <c r="R551" i="6"/>
  <c r="N551" i="6"/>
  <c r="M551" i="6"/>
  <c r="I551" i="6"/>
  <c r="H551" i="6"/>
  <c r="Z550" i="6"/>
  <c r="Y550" i="6"/>
  <c r="X550" i="6"/>
  <c r="W550" i="6"/>
  <c r="R550" i="6"/>
  <c r="M550" i="6"/>
  <c r="N550" i="6"/>
  <c r="I550" i="6"/>
  <c r="H550" i="6"/>
  <c r="Z549" i="6"/>
  <c r="Y549" i="6"/>
  <c r="X549" i="6"/>
  <c r="W549" i="6"/>
  <c r="R549" i="6"/>
  <c r="M549" i="6"/>
  <c r="N549" i="6"/>
  <c r="I549" i="6"/>
  <c r="H549" i="6"/>
  <c r="Z548" i="6"/>
  <c r="Y548" i="6"/>
  <c r="X548" i="6"/>
  <c r="W548" i="6"/>
  <c r="R548" i="6"/>
  <c r="M548" i="6"/>
  <c r="N548" i="6"/>
  <c r="I548" i="6"/>
  <c r="H548" i="6"/>
  <c r="Z547" i="6"/>
  <c r="Y547" i="6"/>
  <c r="X547" i="6"/>
  <c r="W547" i="6"/>
  <c r="R547" i="6"/>
  <c r="M547" i="6"/>
  <c r="N547" i="6"/>
  <c r="I547" i="6"/>
  <c r="H547" i="6"/>
  <c r="Z546" i="6"/>
  <c r="Y546" i="6"/>
  <c r="X546" i="6"/>
  <c r="W546" i="6"/>
  <c r="R546" i="6"/>
  <c r="M546" i="6"/>
  <c r="N546" i="6"/>
  <c r="I546" i="6"/>
  <c r="H546" i="6"/>
  <c r="Z545" i="6"/>
  <c r="Y545" i="6"/>
  <c r="X545" i="6"/>
  <c r="W545" i="6"/>
  <c r="R545" i="6"/>
  <c r="N545" i="6"/>
  <c r="M545" i="6"/>
  <c r="I545" i="6"/>
  <c r="H545" i="6"/>
  <c r="Z544" i="6"/>
  <c r="Y544" i="6"/>
  <c r="X544" i="6"/>
  <c r="W544" i="6"/>
  <c r="R544" i="6"/>
  <c r="M544" i="6"/>
  <c r="N544" i="6"/>
  <c r="I544" i="6"/>
  <c r="H544" i="6"/>
  <c r="Z543" i="6"/>
  <c r="Y543" i="6"/>
  <c r="X543" i="6"/>
  <c r="W543" i="6"/>
  <c r="R543" i="6"/>
  <c r="M543" i="6"/>
  <c r="N543" i="6"/>
  <c r="I543" i="6"/>
  <c r="H543" i="6"/>
  <c r="Z542" i="6"/>
  <c r="Y542" i="6"/>
  <c r="X542" i="6"/>
  <c r="W542" i="6"/>
  <c r="R542" i="6"/>
  <c r="M542" i="6"/>
  <c r="N542" i="6"/>
  <c r="I542" i="6"/>
  <c r="H542" i="6"/>
  <c r="Z541" i="6"/>
  <c r="Y541" i="6"/>
  <c r="X541" i="6"/>
  <c r="W541" i="6"/>
  <c r="R541" i="6"/>
  <c r="M541" i="6"/>
  <c r="N541" i="6"/>
  <c r="I541" i="6"/>
  <c r="H541" i="6"/>
  <c r="Z540" i="6"/>
  <c r="Y540" i="6"/>
  <c r="X540" i="6"/>
  <c r="W540" i="6"/>
  <c r="R540" i="6"/>
  <c r="M540" i="6"/>
  <c r="N540" i="6"/>
  <c r="I540" i="6"/>
  <c r="H540" i="6"/>
  <c r="Z539" i="6"/>
  <c r="Y539" i="6"/>
  <c r="X539" i="6"/>
  <c r="W539" i="6"/>
  <c r="R539" i="6"/>
  <c r="M539" i="6"/>
  <c r="N539" i="6"/>
  <c r="I539" i="6"/>
  <c r="H539" i="6"/>
  <c r="Z538" i="6"/>
  <c r="Y538" i="6"/>
  <c r="X538" i="6"/>
  <c r="W538" i="6"/>
  <c r="R538" i="6"/>
  <c r="N538" i="6"/>
  <c r="M538" i="6"/>
  <c r="I538" i="6"/>
  <c r="H538" i="6"/>
  <c r="Z537" i="6"/>
  <c r="Y537" i="6"/>
  <c r="X537" i="6"/>
  <c r="W537" i="6"/>
  <c r="R537" i="6"/>
  <c r="M537" i="6"/>
  <c r="N537" i="6"/>
  <c r="I537" i="6"/>
  <c r="H537" i="6"/>
  <c r="Z536" i="6"/>
  <c r="Y536" i="6"/>
  <c r="X536" i="6"/>
  <c r="W536" i="6"/>
  <c r="R536" i="6"/>
  <c r="M536" i="6"/>
  <c r="N536" i="6"/>
  <c r="I536" i="6"/>
  <c r="H536" i="6"/>
  <c r="Z535" i="6"/>
  <c r="Y535" i="6"/>
  <c r="X535" i="6"/>
  <c r="W535" i="6"/>
  <c r="R535" i="6"/>
  <c r="N535" i="6"/>
  <c r="M535" i="6"/>
  <c r="I535" i="6"/>
  <c r="H535" i="6"/>
  <c r="Z534" i="6"/>
  <c r="Y534" i="6"/>
  <c r="X534" i="6"/>
  <c r="W534" i="6"/>
  <c r="R534" i="6"/>
  <c r="N534" i="6"/>
  <c r="M534" i="6"/>
  <c r="I534" i="6"/>
  <c r="H534" i="6"/>
  <c r="Z533" i="6"/>
  <c r="Y533" i="6"/>
  <c r="X533" i="6"/>
  <c r="W533" i="6"/>
  <c r="R533" i="6"/>
  <c r="M533" i="6"/>
  <c r="N533" i="6"/>
  <c r="I533" i="6"/>
  <c r="H533" i="6"/>
  <c r="Z532" i="6"/>
  <c r="Y532" i="6"/>
  <c r="X532" i="6"/>
  <c r="W532" i="6"/>
  <c r="R532" i="6"/>
  <c r="M532" i="6"/>
  <c r="N532" i="6"/>
  <c r="I532" i="6"/>
  <c r="H532" i="6"/>
  <c r="Z531" i="6"/>
  <c r="Y531" i="6"/>
  <c r="X531" i="6"/>
  <c r="W531" i="6"/>
  <c r="R531" i="6"/>
  <c r="M531" i="6"/>
  <c r="N531" i="6"/>
  <c r="I531" i="6"/>
  <c r="H531" i="6"/>
  <c r="Z530" i="6"/>
  <c r="Y530" i="6"/>
  <c r="X530" i="6"/>
  <c r="W530" i="6"/>
  <c r="R530" i="6"/>
  <c r="N530" i="6"/>
  <c r="M530" i="6"/>
  <c r="I530" i="6"/>
  <c r="H530" i="6"/>
  <c r="Z529" i="6"/>
  <c r="Y529" i="6"/>
  <c r="X529" i="6"/>
  <c r="W529" i="6"/>
  <c r="R529" i="6"/>
  <c r="M529" i="6"/>
  <c r="N529" i="6"/>
  <c r="I529" i="6"/>
  <c r="H529" i="6"/>
  <c r="Z528" i="6"/>
  <c r="Y528" i="6"/>
  <c r="X528" i="6"/>
  <c r="W528" i="6"/>
  <c r="R528" i="6"/>
  <c r="M528" i="6"/>
  <c r="N528" i="6"/>
  <c r="I528" i="6"/>
  <c r="H528" i="6"/>
  <c r="Z527" i="6"/>
  <c r="Y527" i="6"/>
  <c r="X527" i="6"/>
  <c r="W527" i="6"/>
  <c r="R527" i="6"/>
  <c r="M527" i="6"/>
  <c r="N527" i="6"/>
  <c r="I527" i="6"/>
  <c r="H527" i="6"/>
  <c r="Z526" i="6"/>
  <c r="Y526" i="6"/>
  <c r="X526" i="6"/>
  <c r="W526" i="6"/>
  <c r="R526" i="6"/>
  <c r="M526" i="6"/>
  <c r="N526" i="6"/>
  <c r="I526" i="6"/>
  <c r="H526" i="6"/>
  <c r="Z525" i="6"/>
  <c r="Y525" i="6"/>
  <c r="X525" i="6"/>
  <c r="W525" i="6"/>
  <c r="R525" i="6"/>
  <c r="M525" i="6"/>
  <c r="N525" i="6"/>
  <c r="I525" i="6"/>
  <c r="H525" i="6"/>
  <c r="Z524" i="6"/>
  <c r="Y524" i="6"/>
  <c r="X524" i="6"/>
  <c r="W524" i="6"/>
  <c r="R524" i="6"/>
  <c r="M524" i="6"/>
  <c r="N524" i="6"/>
  <c r="I524" i="6"/>
  <c r="H524" i="6"/>
  <c r="Z523" i="6"/>
  <c r="Y523" i="6"/>
  <c r="X523" i="6"/>
  <c r="W523" i="6"/>
  <c r="R523" i="6"/>
  <c r="M523" i="6"/>
  <c r="N523" i="6"/>
  <c r="I523" i="6"/>
  <c r="H523" i="6"/>
  <c r="Z522" i="6"/>
  <c r="Y522" i="6"/>
  <c r="X522" i="6"/>
  <c r="W522" i="6"/>
  <c r="R522" i="6"/>
  <c r="M522" i="6"/>
  <c r="N522" i="6"/>
  <c r="I522" i="6"/>
  <c r="H522" i="6"/>
  <c r="Z521" i="6"/>
  <c r="Y521" i="6"/>
  <c r="X521" i="6"/>
  <c r="W521" i="6"/>
  <c r="R521" i="6"/>
  <c r="N521" i="6"/>
  <c r="M521" i="6"/>
  <c r="I521" i="6"/>
  <c r="H521" i="6"/>
  <c r="Z520" i="6"/>
  <c r="Y520" i="6"/>
  <c r="X520" i="6"/>
  <c r="W520" i="6"/>
  <c r="R520" i="6"/>
  <c r="M520" i="6"/>
  <c r="N520" i="6"/>
  <c r="I520" i="6"/>
  <c r="H520" i="6"/>
  <c r="Z519" i="6"/>
  <c r="Y519" i="6"/>
  <c r="X519" i="6"/>
  <c r="W519" i="6"/>
  <c r="R519" i="6"/>
  <c r="M519" i="6"/>
  <c r="N519" i="6"/>
  <c r="I519" i="6"/>
  <c r="H519" i="6"/>
  <c r="Z518" i="6"/>
  <c r="Y518" i="6"/>
  <c r="X518" i="6"/>
  <c r="W518" i="6"/>
  <c r="R518" i="6"/>
  <c r="M518" i="6"/>
  <c r="N518" i="6"/>
  <c r="I518" i="6"/>
  <c r="H518" i="6"/>
  <c r="Z517" i="6"/>
  <c r="Y517" i="6"/>
  <c r="X517" i="6"/>
  <c r="W517" i="6"/>
  <c r="R517" i="6"/>
  <c r="M517" i="6"/>
  <c r="N517" i="6"/>
  <c r="I517" i="6"/>
  <c r="H517" i="6"/>
  <c r="Z516" i="6"/>
  <c r="Y516" i="6"/>
  <c r="X516" i="6"/>
  <c r="W516" i="6"/>
  <c r="R516" i="6"/>
  <c r="M516" i="6"/>
  <c r="N516" i="6"/>
  <c r="I516" i="6"/>
  <c r="H516" i="6"/>
  <c r="Z515" i="6"/>
  <c r="Y515" i="6"/>
  <c r="X515" i="6"/>
  <c r="W515" i="6"/>
  <c r="R515" i="6"/>
  <c r="M515" i="6"/>
  <c r="N515" i="6"/>
  <c r="I515" i="6"/>
  <c r="H515" i="6"/>
  <c r="Z514" i="6"/>
  <c r="Y514" i="6"/>
  <c r="X514" i="6"/>
  <c r="W514" i="6"/>
  <c r="R514" i="6"/>
  <c r="M514" i="6"/>
  <c r="N514" i="6"/>
  <c r="I514" i="6"/>
  <c r="H514" i="6"/>
  <c r="Z513" i="6"/>
  <c r="Y513" i="6"/>
  <c r="X513" i="6"/>
  <c r="W513" i="6"/>
  <c r="R513" i="6"/>
  <c r="N513" i="6"/>
  <c r="M513" i="6"/>
  <c r="I513" i="6"/>
  <c r="H513" i="6"/>
  <c r="Z512" i="6"/>
  <c r="Y512" i="6"/>
  <c r="X512" i="6"/>
  <c r="W512" i="6"/>
  <c r="R512" i="6"/>
  <c r="M512" i="6"/>
  <c r="N512" i="6"/>
  <c r="I512" i="6"/>
  <c r="H512" i="6"/>
  <c r="Z511" i="6"/>
  <c r="Y511" i="6"/>
  <c r="X511" i="6"/>
  <c r="W511" i="6"/>
  <c r="R511" i="6"/>
  <c r="M511" i="6"/>
  <c r="N511" i="6"/>
  <c r="I511" i="6"/>
  <c r="H511" i="6"/>
  <c r="Z510" i="6"/>
  <c r="Y510" i="6"/>
  <c r="X510" i="6"/>
  <c r="W510" i="6"/>
  <c r="R510" i="6"/>
  <c r="M510" i="6"/>
  <c r="N510" i="6"/>
  <c r="I510" i="6"/>
  <c r="H510" i="6"/>
  <c r="Z509" i="6"/>
  <c r="Y509" i="6"/>
  <c r="X509" i="6"/>
  <c r="W509" i="6"/>
  <c r="R509" i="6"/>
  <c r="N509" i="6"/>
  <c r="M509" i="6"/>
  <c r="I509" i="6"/>
  <c r="H509" i="6"/>
  <c r="Z508" i="6"/>
  <c r="Y508" i="6"/>
  <c r="X508" i="6"/>
  <c r="W508" i="6"/>
  <c r="R508" i="6"/>
  <c r="M508" i="6"/>
  <c r="N508" i="6"/>
  <c r="I508" i="6"/>
  <c r="H508" i="6"/>
  <c r="Z507" i="6"/>
  <c r="Y507" i="6"/>
  <c r="X507" i="6"/>
  <c r="W507" i="6"/>
  <c r="R507" i="6"/>
  <c r="M507" i="6"/>
  <c r="N507" i="6"/>
  <c r="I507" i="6"/>
  <c r="H507" i="6"/>
  <c r="Z506" i="6"/>
  <c r="Y506" i="6"/>
  <c r="X506" i="6"/>
  <c r="W506" i="6"/>
  <c r="R506" i="6"/>
  <c r="M506" i="6"/>
  <c r="N506" i="6"/>
  <c r="I506" i="6"/>
  <c r="H506" i="6"/>
  <c r="Z505" i="6"/>
  <c r="Y505" i="6"/>
  <c r="X505" i="6"/>
  <c r="W505" i="6"/>
  <c r="R505" i="6"/>
  <c r="M505" i="6"/>
  <c r="N505" i="6"/>
  <c r="I505" i="6"/>
  <c r="H505" i="6"/>
  <c r="Z504" i="6"/>
  <c r="Y504" i="6"/>
  <c r="X504" i="6"/>
  <c r="W504" i="6"/>
  <c r="R504" i="6"/>
  <c r="M504" i="6"/>
  <c r="N504" i="6"/>
  <c r="I504" i="6"/>
  <c r="H504" i="6"/>
  <c r="Z503" i="6"/>
  <c r="Y503" i="6"/>
  <c r="X503" i="6"/>
  <c r="W503" i="6"/>
  <c r="R503" i="6"/>
  <c r="M503" i="6"/>
  <c r="N503" i="6"/>
  <c r="I503" i="6"/>
  <c r="H503" i="6"/>
  <c r="Z502" i="6"/>
  <c r="Y502" i="6"/>
  <c r="X502" i="6"/>
  <c r="W502" i="6"/>
  <c r="R502" i="6"/>
  <c r="M502" i="6"/>
  <c r="N502" i="6"/>
  <c r="I502" i="6"/>
  <c r="H502" i="6"/>
  <c r="Z501" i="6"/>
  <c r="Y501" i="6"/>
  <c r="X501" i="6"/>
  <c r="W501" i="6"/>
  <c r="R501" i="6"/>
  <c r="M501" i="6"/>
  <c r="N501" i="6"/>
  <c r="I501" i="6"/>
  <c r="H501" i="6"/>
  <c r="Z500" i="6"/>
  <c r="Y500" i="6"/>
  <c r="X500" i="6"/>
  <c r="W500" i="6"/>
  <c r="R500" i="6"/>
  <c r="M500" i="6"/>
  <c r="N500" i="6"/>
  <c r="I500" i="6"/>
  <c r="H500" i="6"/>
  <c r="Z499" i="6"/>
  <c r="Y499" i="6"/>
  <c r="X499" i="6"/>
  <c r="W499" i="6"/>
  <c r="R499" i="6"/>
  <c r="M499" i="6"/>
  <c r="N499" i="6"/>
  <c r="I499" i="6"/>
  <c r="H499" i="6"/>
  <c r="Z498" i="6"/>
  <c r="Y498" i="6"/>
  <c r="X498" i="6"/>
  <c r="W498" i="6"/>
  <c r="R498" i="6"/>
  <c r="M498" i="6"/>
  <c r="N498" i="6"/>
  <c r="I498" i="6"/>
  <c r="H498" i="6"/>
  <c r="Z497" i="6"/>
  <c r="Y497" i="6"/>
  <c r="X497" i="6"/>
  <c r="W497" i="6"/>
  <c r="R497" i="6"/>
  <c r="M497" i="6"/>
  <c r="N497" i="6"/>
  <c r="I497" i="6"/>
  <c r="H497" i="6"/>
  <c r="Z496" i="6"/>
  <c r="Y496" i="6"/>
  <c r="X496" i="6"/>
  <c r="W496" i="6"/>
  <c r="R496" i="6"/>
  <c r="M496" i="6"/>
  <c r="N496" i="6"/>
  <c r="I496" i="6"/>
  <c r="H496" i="6"/>
  <c r="Z495" i="6"/>
  <c r="Y495" i="6"/>
  <c r="X495" i="6"/>
  <c r="W495" i="6"/>
  <c r="R495" i="6"/>
  <c r="M495" i="6"/>
  <c r="N495" i="6"/>
  <c r="I495" i="6"/>
  <c r="H495" i="6"/>
  <c r="Z494" i="6"/>
  <c r="Y494" i="6"/>
  <c r="X494" i="6"/>
  <c r="W494" i="6"/>
  <c r="R494" i="6"/>
  <c r="N494" i="6"/>
  <c r="M494" i="6"/>
  <c r="I494" i="6"/>
  <c r="H494" i="6"/>
  <c r="Z493" i="6"/>
  <c r="Y493" i="6"/>
  <c r="X493" i="6"/>
  <c r="W493" i="6"/>
  <c r="R493" i="6"/>
  <c r="M493" i="6"/>
  <c r="N493" i="6"/>
  <c r="I493" i="6"/>
  <c r="H493" i="6"/>
  <c r="Z492" i="6"/>
  <c r="Y492" i="6"/>
  <c r="X492" i="6"/>
  <c r="W492" i="6"/>
  <c r="R492" i="6"/>
  <c r="M492" i="6"/>
  <c r="N492" i="6"/>
  <c r="I492" i="6"/>
  <c r="H492" i="6"/>
  <c r="Z491" i="6"/>
  <c r="Y491" i="6"/>
  <c r="X491" i="6"/>
  <c r="W491" i="6"/>
  <c r="R491" i="6"/>
  <c r="M491" i="6"/>
  <c r="N491" i="6"/>
  <c r="I491" i="6"/>
  <c r="H491" i="6"/>
  <c r="Z490" i="6"/>
  <c r="Y490" i="6"/>
  <c r="X490" i="6"/>
  <c r="W490" i="6"/>
  <c r="R490" i="6"/>
  <c r="M490" i="6"/>
  <c r="N490" i="6"/>
  <c r="I490" i="6"/>
  <c r="H490" i="6"/>
  <c r="Z489" i="6"/>
  <c r="Y489" i="6"/>
  <c r="X489" i="6"/>
  <c r="W489" i="6"/>
  <c r="R489" i="6"/>
  <c r="M489" i="6"/>
  <c r="N489" i="6"/>
  <c r="I489" i="6"/>
  <c r="H489" i="6"/>
  <c r="Z488" i="6"/>
  <c r="Y488" i="6"/>
  <c r="X488" i="6"/>
  <c r="W488" i="6"/>
  <c r="R488" i="6"/>
  <c r="M488" i="6"/>
  <c r="N488" i="6"/>
  <c r="I488" i="6"/>
  <c r="H488" i="6"/>
  <c r="Z487" i="6"/>
  <c r="Y487" i="6"/>
  <c r="X487" i="6"/>
  <c r="W487" i="6"/>
  <c r="R487" i="6"/>
  <c r="M487" i="6"/>
  <c r="N487" i="6"/>
  <c r="I487" i="6"/>
  <c r="H487" i="6"/>
  <c r="Z486" i="6"/>
  <c r="Y486" i="6"/>
  <c r="X486" i="6"/>
  <c r="W486" i="6"/>
  <c r="R486" i="6"/>
  <c r="M486" i="6"/>
  <c r="N486" i="6"/>
  <c r="I486" i="6"/>
  <c r="H486" i="6"/>
  <c r="Z485" i="6"/>
  <c r="Y485" i="6"/>
  <c r="X485" i="6"/>
  <c r="W485" i="6"/>
  <c r="R485" i="6"/>
  <c r="M485" i="6"/>
  <c r="N485" i="6"/>
  <c r="I485" i="6"/>
  <c r="H485" i="6"/>
  <c r="Z484" i="6"/>
  <c r="Y484" i="6"/>
  <c r="X484" i="6"/>
  <c r="W484" i="6"/>
  <c r="R484" i="6"/>
  <c r="M484" i="6"/>
  <c r="N484" i="6"/>
  <c r="I484" i="6"/>
  <c r="H484" i="6"/>
  <c r="Z483" i="6"/>
  <c r="Y483" i="6"/>
  <c r="X483" i="6"/>
  <c r="W483" i="6"/>
  <c r="R483" i="6"/>
  <c r="M483" i="6"/>
  <c r="N483" i="6"/>
  <c r="I483" i="6"/>
  <c r="H483" i="6"/>
  <c r="Z482" i="6"/>
  <c r="Y482" i="6"/>
  <c r="X482" i="6"/>
  <c r="W482" i="6"/>
  <c r="R482" i="6"/>
  <c r="M482" i="6"/>
  <c r="N482" i="6"/>
  <c r="I482" i="6"/>
  <c r="H482" i="6"/>
  <c r="Z481" i="6"/>
  <c r="Y481" i="6"/>
  <c r="X481" i="6"/>
  <c r="W481" i="6"/>
  <c r="R481" i="6"/>
  <c r="N481" i="6"/>
  <c r="M481" i="6"/>
  <c r="I481" i="6"/>
  <c r="H481" i="6"/>
  <c r="Z480" i="6"/>
  <c r="Y480" i="6"/>
  <c r="X480" i="6"/>
  <c r="W480" i="6"/>
  <c r="R480" i="6"/>
  <c r="M480" i="6"/>
  <c r="N480" i="6"/>
  <c r="I480" i="6"/>
  <c r="H480" i="6"/>
  <c r="Z479" i="6"/>
  <c r="Y479" i="6"/>
  <c r="X479" i="6"/>
  <c r="W479" i="6"/>
  <c r="R479" i="6"/>
  <c r="M479" i="6"/>
  <c r="N479" i="6"/>
  <c r="I479" i="6"/>
  <c r="H479" i="6"/>
  <c r="Z478" i="6"/>
  <c r="Y478" i="6"/>
  <c r="X478" i="6"/>
  <c r="W478" i="6"/>
  <c r="R478" i="6"/>
  <c r="M478" i="6"/>
  <c r="N478" i="6"/>
  <c r="I478" i="6"/>
  <c r="H478" i="6"/>
  <c r="Z477" i="6"/>
  <c r="Y477" i="6"/>
  <c r="X477" i="6"/>
  <c r="W477" i="6"/>
  <c r="R477" i="6"/>
  <c r="M477" i="6"/>
  <c r="N477" i="6"/>
  <c r="I477" i="6"/>
  <c r="H477" i="6"/>
  <c r="Z476" i="6"/>
  <c r="Y476" i="6"/>
  <c r="X476" i="6"/>
  <c r="W476" i="6"/>
  <c r="R476" i="6"/>
  <c r="M476" i="6"/>
  <c r="N476" i="6"/>
  <c r="I476" i="6"/>
  <c r="H476" i="6"/>
  <c r="Z475" i="6"/>
  <c r="Y475" i="6"/>
  <c r="X475" i="6"/>
  <c r="W475" i="6"/>
  <c r="R475" i="6"/>
  <c r="N475" i="6"/>
  <c r="M475" i="6"/>
  <c r="I475" i="6"/>
  <c r="H475" i="6"/>
  <c r="Z474" i="6"/>
  <c r="Y474" i="6"/>
  <c r="X474" i="6"/>
  <c r="W474" i="6"/>
  <c r="R474" i="6"/>
  <c r="M474" i="6"/>
  <c r="N474" i="6"/>
  <c r="I474" i="6"/>
  <c r="H474" i="6"/>
  <c r="Z473" i="6"/>
  <c r="Y473" i="6"/>
  <c r="X473" i="6"/>
  <c r="W473" i="6"/>
  <c r="R473" i="6"/>
  <c r="M473" i="6"/>
  <c r="N473" i="6"/>
  <c r="I473" i="6"/>
  <c r="H473" i="6"/>
  <c r="Z472" i="6"/>
  <c r="Y472" i="6"/>
  <c r="X472" i="6"/>
  <c r="W472" i="6"/>
  <c r="R472" i="6"/>
  <c r="M472" i="6"/>
  <c r="N472" i="6"/>
  <c r="I472" i="6"/>
  <c r="H472" i="6"/>
  <c r="Z471" i="6"/>
  <c r="Y471" i="6"/>
  <c r="X471" i="6"/>
  <c r="W471" i="6"/>
  <c r="R471" i="6"/>
  <c r="M471" i="6"/>
  <c r="N471" i="6"/>
  <c r="I471" i="6"/>
  <c r="H471" i="6"/>
  <c r="Z470" i="6"/>
  <c r="Y470" i="6"/>
  <c r="X470" i="6"/>
  <c r="W470" i="6"/>
  <c r="R470" i="6"/>
  <c r="M470" i="6"/>
  <c r="N470" i="6"/>
  <c r="I470" i="6"/>
  <c r="H470" i="6"/>
  <c r="Z469" i="6"/>
  <c r="Y469" i="6"/>
  <c r="X469" i="6"/>
  <c r="W469" i="6"/>
  <c r="R469" i="6"/>
  <c r="M469" i="6"/>
  <c r="N469" i="6"/>
  <c r="I469" i="6"/>
  <c r="H469" i="6"/>
  <c r="Z468" i="6"/>
  <c r="Y468" i="6"/>
  <c r="X468" i="6"/>
  <c r="W468" i="6"/>
  <c r="R468" i="6"/>
  <c r="M468" i="6"/>
  <c r="N468" i="6"/>
  <c r="I468" i="6"/>
  <c r="H468" i="6"/>
  <c r="Z467" i="6"/>
  <c r="Y467" i="6"/>
  <c r="X467" i="6"/>
  <c r="W467" i="6"/>
  <c r="R467" i="6"/>
  <c r="N467" i="6"/>
  <c r="M467" i="6"/>
  <c r="I467" i="6"/>
  <c r="H467" i="6"/>
  <c r="Z466" i="6"/>
  <c r="Y466" i="6"/>
  <c r="X466" i="6"/>
  <c r="W466" i="6"/>
  <c r="R466" i="6"/>
  <c r="M466" i="6"/>
  <c r="N466" i="6"/>
  <c r="I466" i="6"/>
  <c r="H466" i="6"/>
  <c r="Z465" i="6"/>
  <c r="Y465" i="6"/>
  <c r="X465" i="6"/>
  <c r="W465" i="6"/>
  <c r="R465" i="6"/>
  <c r="M465" i="6"/>
  <c r="N465" i="6"/>
  <c r="I465" i="6"/>
  <c r="H465" i="6"/>
  <c r="Z464" i="6"/>
  <c r="Y464" i="6"/>
  <c r="X464" i="6"/>
  <c r="W464" i="6"/>
  <c r="R464" i="6"/>
  <c r="M464" i="6"/>
  <c r="N464" i="6"/>
  <c r="I464" i="6"/>
  <c r="H464" i="6"/>
  <c r="Z463" i="6"/>
  <c r="Y463" i="6"/>
  <c r="X463" i="6"/>
  <c r="W463" i="6"/>
  <c r="R463" i="6"/>
  <c r="M463" i="6"/>
  <c r="N463" i="6"/>
  <c r="I463" i="6"/>
  <c r="H463" i="6"/>
  <c r="Z462" i="6"/>
  <c r="Y462" i="6"/>
  <c r="X462" i="6"/>
  <c r="W462" i="6"/>
  <c r="R462" i="6"/>
  <c r="M462" i="6"/>
  <c r="N462" i="6"/>
  <c r="I462" i="6"/>
  <c r="H462" i="6"/>
  <c r="Z461" i="6"/>
  <c r="Y461" i="6"/>
  <c r="X461" i="6"/>
  <c r="W461" i="6"/>
  <c r="R461" i="6"/>
  <c r="M461" i="6"/>
  <c r="N461" i="6"/>
  <c r="I461" i="6"/>
  <c r="H461" i="6"/>
  <c r="Z460" i="6"/>
  <c r="Y460" i="6"/>
  <c r="X460" i="6"/>
  <c r="W460" i="6"/>
  <c r="R460" i="6"/>
  <c r="M460" i="6"/>
  <c r="N460" i="6"/>
  <c r="I460" i="6"/>
  <c r="H460" i="6"/>
  <c r="Z459" i="6"/>
  <c r="Y459" i="6"/>
  <c r="X459" i="6"/>
  <c r="W459" i="6"/>
  <c r="R459" i="6"/>
  <c r="N459" i="6"/>
  <c r="M459" i="6"/>
  <c r="I459" i="6"/>
  <c r="H459" i="6"/>
  <c r="Z458" i="6"/>
  <c r="Y458" i="6"/>
  <c r="X458" i="6"/>
  <c r="W458" i="6"/>
  <c r="R458" i="6"/>
  <c r="M458" i="6"/>
  <c r="N458" i="6"/>
  <c r="I458" i="6"/>
  <c r="H458" i="6"/>
  <c r="Z457" i="6"/>
  <c r="Y457" i="6"/>
  <c r="X457" i="6"/>
  <c r="W457" i="6"/>
  <c r="R457" i="6"/>
  <c r="N457" i="6"/>
  <c r="M457" i="6"/>
  <c r="I457" i="6"/>
  <c r="H457" i="6"/>
  <c r="Z456" i="6"/>
  <c r="Y456" i="6"/>
  <c r="X456" i="6"/>
  <c r="W456" i="6"/>
  <c r="R456" i="6"/>
  <c r="M456" i="6"/>
  <c r="N456" i="6"/>
  <c r="I456" i="6"/>
  <c r="H456" i="6"/>
  <c r="Z455" i="6"/>
  <c r="Y455" i="6"/>
  <c r="X455" i="6"/>
  <c r="W455" i="6"/>
  <c r="R455" i="6"/>
  <c r="M455" i="6"/>
  <c r="N455" i="6"/>
  <c r="I455" i="6"/>
  <c r="H455" i="6"/>
  <c r="Z454" i="6"/>
  <c r="Y454" i="6"/>
  <c r="X454" i="6"/>
  <c r="W454" i="6"/>
  <c r="R454" i="6"/>
  <c r="M454" i="6"/>
  <c r="N454" i="6"/>
  <c r="I454" i="6"/>
  <c r="H454" i="6"/>
  <c r="Z453" i="6"/>
  <c r="Y453" i="6"/>
  <c r="X453" i="6"/>
  <c r="W453" i="6"/>
  <c r="R453" i="6"/>
  <c r="M453" i="6"/>
  <c r="N453" i="6"/>
  <c r="I453" i="6"/>
  <c r="H453" i="6"/>
  <c r="Z452" i="6"/>
  <c r="Y452" i="6"/>
  <c r="X452" i="6"/>
  <c r="W452" i="6"/>
  <c r="R452" i="6"/>
  <c r="N452" i="6"/>
  <c r="M452" i="6"/>
  <c r="I452" i="6"/>
  <c r="H452" i="6"/>
  <c r="Z451" i="6"/>
  <c r="Y451" i="6"/>
  <c r="X451" i="6"/>
  <c r="W451" i="6"/>
  <c r="R451" i="6"/>
  <c r="M451" i="6"/>
  <c r="N451" i="6"/>
  <c r="I451" i="6"/>
  <c r="H451" i="6"/>
  <c r="Z450" i="6"/>
  <c r="Y450" i="6"/>
  <c r="X450" i="6"/>
  <c r="W450" i="6"/>
  <c r="R450" i="6"/>
  <c r="M450" i="6"/>
  <c r="N450" i="6"/>
  <c r="I450" i="6"/>
  <c r="H450" i="6"/>
  <c r="Z449" i="6"/>
  <c r="Y449" i="6"/>
  <c r="X449" i="6"/>
  <c r="W449" i="6"/>
  <c r="R449" i="6"/>
  <c r="N449" i="6"/>
  <c r="M449" i="6"/>
  <c r="I449" i="6"/>
  <c r="H449" i="6"/>
  <c r="Z448" i="6"/>
  <c r="Y448" i="6"/>
  <c r="X448" i="6"/>
  <c r="W448" i="6"/>
  <c r="R448" i="6"/>
  <c r="M448" i="6"/>
  <c r="N448" i="6"/>
  <c r="I448" i="6"/>
  <c r="H448" i="6"/>
  <c r="Z447" i="6"/>
  <c r="Y447" i="6"/>
  <c r="X447" i="6"/>
  <c r="W447" i="6"/>
  <c r="R447" i="6"/>
  <c r="M447" i="6"/>
  <c r="N447" i="6"/>
  <c r="I447" i="6"/>
  <c r="H447" i="6"/>
  <c r="Z446" i="6"/>
  <c r="Y446" i="6"/>
  <c r="X446" i="6"/>
  <c r="W446" i="6"/>
  <c r="R446" i="6"/>
  <c r="M446" i="6"/>
  <c r="N446" i="6"/>
  <c r="I446" i="6"/>
  <c r="H446" i="6"/>
  <c r="Z445" i="6"/>
  <c r="Y445" i="6"/>
  <c r="X445" i="6"/>
  <c r="W445" i="6"/>
  <c r="R445" i="6"/>
  <c r="M445" i="6"/>
  <c r="N445" i="6"/>
  <c r="I445" i="6"/>
  <c r="H445" i="6"/>
  <c r="Z444" i="6"/>
  <c r="Y444" i="6"/>
  <c r="X444" i="6"/>
  <c r="W444" i="6"/>
  <c r="R444" i="6"/>
  <c r="M444" i="6"/>
  <c r="N444" i="6"/>
  <c r="I444" i="6"/>
  <c r="H444" i="6"/>
  <c r="Z443" i="6"/>
  <c r="Y443" i="6"/>
  <c r="X443" i="6"/>
  <c r="W443" i="6"/>
  <c r="R443" i="6"/>
  <c r="M443" i="6"/>
  <c r="N443" i="6"/>
  <c r="I443" i="6"/>
  <c r="H443" i="6"/>
  <c r="Z442" i="6"/>
  <c r="Y442" i="6"/>
  <c r="X442" i="6"/>
  <c r="W442" i="6"/>
  <c r="R442" i="6"/>
  <c r="M442" i="6"/>
  <c r="N442" i="6"/>
  <c r="I442" i="6"/>
  <c r="H442" i="6"/>
  <c r="Z441" i="6"/>
  <c r="Y441" i="6"/>
  <c r="X441" i="6"/>
  <c r="W441" i="6"/>
  <c r="R441" i="6"/>
  <c r="M441" i="6"/>
  <c r="N441" i="6"/>
  <c r="I441" i="6"/>
  <c r="H441" i="6"/>
  <c r="Z440" i="6"/>
  <c r="Y440" i="6"/>
  <c r="X440" i="6"/>
  <c r="W440" i="6"/>
  <c r="R440" i="6"/>
  <c r="M440" i="6"/>
  <c r="N440" i="6"/>
  <c r="I440" i="6"/>
  <c r="H440" i="6"/>
  <c r="Z439" i="6"/>
  <c r="Y439" i="6"/>
  <c r="X439" i="6"/>
  <c r="W439" i="6"/>
  <c r="R439" i="6"/>
  <c r="M439" i="6"/>
  <c r="N439" i="6"/>
  <c r="I439" i="6"/>
  <c r="H439" i="6"/>
  <c r="Z438" i="6"/>
  <c r="Y438" i="6"/>
  <c r="X438" i="6"/>
  <c r="W438" i="6"/>
  <c r="R438" i="6"/>
  <c r="M438" i="6"/>
  <c r="N438" i="6"/>
  <c r="I438" i="6"/>
  <c r="H438" i="6"/>
  <c r="Z437" i="6"/>
  <c r="Y437" i="6"/>
  <c r="X437" i="6"/>
  <c r="W437" i="6"/>
  <c r="R437" i="6"/>
  <c r="M437" i="6"/>
  <c r="N437" i="6"/>
  <c r="I437" i="6"/>
  <c r="H437" i="6"/>
  <c r="Z436" i="6"/>
  <c r="Y436" i="6"/>
  <c r="X436" i="6"/>
  <c r="W436" i="6"/>
  <c r="R436" i="6"/>
  <c r="M436" i="6"/>
  <c r="N436" i="6"/>
  <c r="I436" i="6"/>
  <c r="H436" i="6"/>
  <c r="Z435" i="6"/>
  <c r="Y435" i="6"/>
  <c r="X435" i="6"/>
  <c r="W435" i="6"/>
  <c r="R435" i="6"/>
  <c r="M435" i="6"/>
  <c r="N435" i="6"/>
  <c r="I435" i="6"/>
  <c r="H435" i="6"/>
  <c r="Z434" i="6"/>
  <c r="Y434" i="6"/>
  <c r="X434" i="6"/>
  <c r="W434" i="6"/>
  <c r="R434" i="6"/>
  <c r="M434" i="6"/>
  <c r="N434" i="6"/>
  <c r="I434" i="6"/>
  <c r="H434" i="6"/>
  <c r="Z433" i="6"/>
  <c r="Y433" i="6"/>
  <c r="X433" i="6"/>
  <c r="W433" i="6"/>
  <c r="R433" i="6"/>
  <c r="N433" i="6"/>
  <c r="M433" i="6"/>
  <c r="I433" i="6"/>
  <c r="H433" i="6"/>
  <c r="Z432" i="6"/>
  <c r="Y432" i="6"/>
  <c r="X432" i="6"/>
  <c r="W432" i="6"/>
  <c r="R432" i="6"/>
  <c r="M432" i="6"/>
  <c r="N432" i="6"/>
  <c r="I432" i="6"/>
  <c r="H432" i="6"/>
  <c r="Z431" i="6"/>
  <c r="Y431" i="6"/>
  <c r="X431" i="6"/>
  <c r="W431" i="6"/>
  <c r="R431" i="6"/>
  <c r="M431" i="6"/>
  <c r="N431" i="6"/>
  <c r="I431" i="6"/>
  <c r="H431" i="6"/>
  <c r="Z430" i="6"/>
  <c r="Y430" i="6"/>
  <c r="X430" i="6"/>
  <c r="W430" i="6"/>
  <c r="R430" i="6"/>
  <c r="M430" i="6"/>
  <c r="N430" i="6"/>
  <c r="I430" i="6"/>
  <c r="H430" i="6"/>
  <c r="Z429" i="6"/>
  <c r="Y429" i="6"/>
  <c r="X429" i="6"/>
  <c r="W429" i="6"/>
  <c r="R429" i="6"/>
  <c r="M429" i="6"/>
  <c r="N429" i="6"/>
  <c r="I429" i="6"/>
  <c r="H429" i="6"/>
  <c r="Z428" i="6"/>
  <c r="Y428" i="6"/>
  <c r="X428" i="6"/>
  <c r="W428" i="6"/>
  <c r="R428" i="6"/>
  <c r="M428" i="6"/>
  <c r="N428" i="6"/>
  <c r="I428" i="6"/>
  <c r="H428" i="6"/>
  <c r="Z427" i="6"/>
  <c r="Y427" i="6"/>
  <c r="X427" i="6"/>
  <c r="W427" i="6"/>
  <c r="R427" i="6"/>
  <c r="M427" i="6"/>
  <c r="N427" i="6"/>
  <c r="I427" i="6"/>
  <c r="H427" i="6"/>
  <c r="Z426" i="6"/>
  <c r="Y426" i="6"/>
  <c r="X426" i="6"/>
  <c r="W426" i="6"/>
  <c r="R426" i="6"/>
  <c r="M426" i="6"/>
  <c r="N426" i="6"/>
  <c r="I426" i="6"/>
  <c r="H426" i="6"/>
  <c r="Z425" i="6"/>
  <c r="Y425" i="6"/>
  <c r="X425" i="6"/>
  <c r="W425" i="6"/>
  <c r="R425" i="6"/>
  <c r="M425" i="6"/>
  <c r="N425" i="6"/>
  <c r="I425" i="6"/>
  <c r="H425" i="6"/>
  <c r="Z424" i="6"/>
  <c r="Y424" i="6"/>
  <c r="X424" i="6"/>
  <c r="W424" i="6"/>
  <c r="R424" i="6"/>
  <c r="M424" i="6"/>
  <c r="N424" i="6"/>
  <c r="I424" i="6"/>
  <c r="H424" i="6"/>
  <c r="Z423" i="6"/>
  <c r="Y423" i="6"/>
  <c r="X423" i="6"/>
  <c r="W423" i="6"/>
  <c r="R423" i="6"/>
  <c r="M423" i="6"/>
  <c r="N423" i="6"/>
  <c r="I423" i="6"/>
  <c r="H423" i="6"/>
  <c r="Z422" i="6"/>
  <c r="Y422" i="6"/>
  <c r="X422" i="6"/>
  <c r="W422" i="6"/>
  <c r="R422" i="6"/>
  <c r="M422" i="6"/>
  <c r="N422" i="6"/>
  <c r="I422" i="6"/>
  <c r="H422" i="6"/>
  <c r="Z421" i="6"/>
  <c r="Y421" i="6"/>
  <c r="X421" i="6"/>
  <c r="W421" i="6"/>
  <c r="R421" i="6"/>
  <c r="M421" i="6"/>
  <c r="N421" i="6"/>
  <c r="I421" i="6"/>
  <c r="H421" i="6"/>
  <c r="Z420" i="6"/>
  <c r="Y420" i="6"/>
  <c r="X420" i="6"/>
  <c r="W420" i="6"/>
  <c r="R420" i="6"/>
  <c r="M420" i="6"/>
  <c r="N420" i="6"/>
  <c r="I420" i="6"/>
  <c r="H420" i="6"/>
  <c r="Z419" i="6"/>
  <c r="Y419" i="6"/>
  <c r="X419" i="6"/>
  <c r="W419" i="6"/>
  <c r="R419" i="6"/>
  <c r="M419" i="6"/>
  <c r="N419" i="6"/>
  <c r="I419" i="6"/>
  <c r="H419" i="6"/>
  <c r="Z418" i="6"/>
  <c r="Y418" i="6"/>
  <c r="X418" i="6"/>
  <c r="W418" i="6"/>
  <c r="R418" i="6"/>
  <c r="M418" i="6"/>
  <c r="N418" i="6"/>
  <c r="I418" i="6"/>
  <c r="H418" i="6"/>
  <c r="Z417" i="6"/>
  <c r="Y417" i="6"/>
  <c r="X417" i="6"/>
  <c r="W417" i="6"/>
  <c r="R417" i="6"/>
  <c r="M417" i="6"/>
  <c r="N417" i="6"/>
  <c r="I417" i="6"/>
  <c r="H417" i="6"/>
  <c r="Z416" i="6"/>
  <c r="Y416" i="6"/>
  <c r="X416" i="6"/>
  <c r="W416" i="6"/>
  <c r="R416" i="6"/>
  <c r="M416" i="6"/>
  <c r="N416" i="6"/>
  <c r="I416" i="6"/>
  <c r="H416" i="6"/>
  <c r="Z415" i="6"/>
  <c r="Y415" i="6"/>
  <c r="X415" i="6"/>
  <c r="W415" i="6"/>
  <c r="R415" i="6"/>
  <c r="M415" i="6"/>
  <c r="N415" i="6"/>
  <c r="I415" i="6"/>
  <c r="H415" i="6"/>
  <c r="Z414" i="6"/>
  <c r="Y414" i="6"/>
  <c r="X414" i="6"/>
  <c r="W414" i="6"/>
  <c r="R414" i="6"/>
  <c r="M414" i="6"/>
  <c r="N414" i="6"/>
  <c r="I414" i="6"/>
  <c r="H414" i="6"/>
  <c r="Z413" i="6"/>
  <c r="Y413" i="6"/>
  <c r="X413" i="6"/>
  <c r="W413" i="6"/>
  <c r="R413" i="6"/>
  <c r="M413" i="6"/>
  <c r="N413" i="6"/>
  <c r="I413" i="6"/>
  <c r="H413" i="6"/>
  <c r="Z412" i="6"/>
  <c r="Y412" i="6"/>
  <c r="X412" i="6"/>
  <c r="W412" i="6"/>
  <c r="R412" i="6"/>
  <c r="M412" i="6"/>
  <c r="N412" i="6"/>
  <c r="I412" i="6"/>
  <c r="H412" i="6"/>
  <c r="Z411" i="6"/>
  <c r="Y411" i="6"/>
  <c r="X411" i="6"/>
  <c r="W411" i="6"/>
  <c r="R411" i="6"/>
  <c r="N411" i="6"/>
  <c r="M411" i="6"/>
  <c r="I411" i="6"/>
  <c r="H411" i="6"/>
  <c r="Z410" i="6"/>
  <c r="Y410" i="6"/>
  <c r="X410" i="6"/>
  <c r="W410" i="6"/>
  <c r="R410" i="6"/>
  <c r="M410" i="6"/>
  <c r="N410" i="6"/>
  <c r="I410" i="6"/>
  <c r="H410" i="6"/>
  <c r="Z409" i="6"/>
  <c r="Y409" i="6"/>
  <c r="X409" i="6"/>
  <c r="W409" i="6"/>
  <c r="R409" i="6"/>
  <c r="M409" i="6"/>
  <c r="N409" i="6"/>
  <c r="I409" i="6"/>
  <c r="H409" i="6"/>
  <c r="Z408" i="6"/>
  <c r="Y408" i="6"/>
  <c r="X408" i="6"/>
  <c r="W408" i="6"/>
  <c r="R408" i="6"/>
  <c r="M408" i="6"/>
  <c r="N408" i="6"/>
  <c r="I408" i="6"/>
  <c r="H408" i="6"/>
  <c r="Z407" i="6"/>
  <c r="Y407" i="6"/>
  <c r="X407" i="6"/>
  <c r="W407" i="6"/>
  <c r="R407" i="6"/>
  <c r="M407" i="6"/>
  <c r="N407" i="6"/>
  <c r="I407" i="6"/>
  <c r="H407" i="6"/>
  <c r="Z406" i="6"/>
  <c r="Y406" i="6"/>
  <c r="X406" i="6"/>
  <c r="W406" i="6"/>
  <c r="R406" i="6"/>
  <c r="M406" i="6"/>
  <c r="N406" i="6"/>
  <c r="I406" i="6"/>
  <c r="H406" i="6"/>
  <c r="Z405" i="6"/>
  <c r="Y405" i="6"/>
  <c r="X405" i="6"/>
  <c r="W405" i="6"/>
  <c r="R405" i="6"/>
  <c r="M405" i="6"/>
  <c r="N405" i="6"/>
  <c r="I405" i="6"/>
  <c r="H405" i="6"/>
  <c r="Z404" i="6"/>
  <c r="Y404" i="6"/>
  <c r="X404" i="6"/>
  <c r="W404" i="6"/>
  <c r="R404" i="6"/>
  <c r="M404" i="6"/>
  <c r="N404" i="6"/>
  <c r="I404" i="6"/>
  <c r="H404" i="6"/>
  <c r="Z403" i="6"/>
  <c r="Y403" i="6"/>
  <c r="X403" i="6"/>
  <c r="W403" i="6"/>
  <c r="R403" i="6"/>
  <c r="M403" i="6"/>
  <c r="N403" i="6"/>
  <c r="I403" i="6"/>
  <c r="H403" i="6"/>
  <c r="Z402" i="6"/>
  <c r="Y402" i="6"/>
  <c r="X402" i="6"/>
  <c r="W402" i="6"/>
  <c r="R402" i="6"/>
  <c r="M402" i="6"/>
  <c r="N402" i="6"/>
  <c r="I402" i="6"/>
  <c r="H402" i="6"/>
  <c r="Z401" i="6"/>
  <c r="Y401" i="6"/>
  <c r="X401" i="6"/>
  <c r="W401" i="6"/>
  <c r="R401" i="6"/>
  <c r="M401" i="6"/>
  <c r="N401" i="6"/>
  <c r="I401" i="6"/>
  <c r="H401" i="6"/>
  <c r="Z400" i="6"/>
  <c r="Y400" i="6"/>
  <c r="X400" i="6"/>
  <c r="W400" i="6"/>
  <c r="R400" i="6"/>
  <c r="M400" i="6"/>
  <c r="N400" i="6"/>
  <c r="I400" i="6"/>
  <c r="H400" i="6"/>
  <c r="Z399" i="6"/>
  <c r="Y399" i="6"/>
  <c r="X399" i="6"/>
  <c r="W399" i="6"/>
  <c r="R399" i="6"/>
  <c r="M399" i="6"/>
  <c r="N399" i="6"/>
  <c r="I399" i="6"/>
  <c r="H399" i="6"/>
  <c r="Z398" i="6"/>
  <c r="Y398" i="6"/>
  <c r="X398" i="6"/>
  <c r="W398" i="6"/>
  <c r="R398" i="6"/>
  <c r="M398" i="6"/>
  <c r="N398" i="6"/>
  <c r="I398" i="6"/>
  <c r="H398" i="6"/>
  <c r="Z397" i="6"/>
  <c r="Y397" i="6"/>
  <c r="X397" i="6"/>
  <c r="W397" i="6"/>
  <c r="R397" i="6"/>
  <c r="M397" i="6"/>
  <c r="N397" i="6"/>
  <c r="I397" i="6"/>
  <c r="H397" i="6"/>
  <c r="Z396" i="6"/>
  <c r="Y396" i="6"/>
  <c r="X396" i="6"/>
  <c r="W396" i="6"/>
  <c r="R396" i="6"/>
  <c r="N396" i="6"/>
  <c r="M396" i="6"/>
  <c r="I396" i="6"/>
  <c r="H396" i="6"/>
  <c r="Z395" i="6"/>
  <c r="Y395" i="6"/>
  <c r="X395" i="6"/>
  <c r="W395" i="6"/>
  <c r="R395" i="6"/>
  <c r="M395" i="6"/>
  <c r="N395" i="6"/>
  <c r="I395" i="6"/>
  <c r="H395" i="6"/>
  <c r="Z394" i="6"/>
  <c r="Y394" i="6"/>
  <c r="X394" i="6"/>
  <c r="W394" i="6"/>
  <c r="R394" i="6"/>
  <c r="M394" i="6"/>
  <c r="N394" i="6"/>
  <c r="I394" i="6"/>
  <c r="H394" i="6"/>
  <c r="Z393" i="6"/>
  <c r="Y393" i="6"/>
  <c r="X393" i="6"/>
  <c r="W393" i="6"/>
  <c r="R393" i="6"/>
  <c r="M393" i="6"/>
  <c r="N393" i="6"/>
  <c r="I393" i="6"/>
  <c r="H393" i="6"/>
  <c r="Z392" i="6"/>
  <c r="Y392" i="6"/>
  <c r="X392" i="6"/>
  <c r="W392" i="6"/>
  <c r="R392" i="6"/>
  <c r="M392" i="6"/>
  <c r="N392" i="6"/>
  <c r="I392" i="6"/>
  <c r="H392" i="6"/>
  <c r="Z391" i="6"/>
  <c r="Y391" i="6"/>
  <c r="X391" i="6"/>
  <c r="W391" i="6"/>
  <c r="R391" i="6"/>
  <c r="M391" i="6"/>
  <c r="N391" i="6"/>
  <c r="I391" i="6"/>
  <c r="H391" i="6"/>
  <c r="Z390" i="6"/>
  <c r="Y390" i="6"/>
  <c r="X390" i="6"/>
  <c r="W390" i="6"/>
  <c r="R390" i="6"/>
  <c r="M390" i="6"/>
  <c r="N390" i="6"/>
  <c r="I390" i="6"/>
  <c r="H390" i="6"/>
  <c r="Z389" i="6"/>
  <c r="Y389" i="6"/>
  <c r="X389" i="6"/>
  <c r="W389" i="6"/>
  <c r="R389" i="6"/>
  <c r="M389" i="6"/>
  <c r="N389" i="6"/>
  <c r="I389" i="6"/>
  <c r="H389" i="6"/>
  <c r="Z388" i="6"/>
  <c r="Y388" i="6"/>
  <c r="X388" i="6"/>
  <c r="W388" i="6"/>
  <c r="R388" i="6"/>
  <c r="N388" i="6"/>
  <c r="M388" i="6"/>
  <c r="I388" i="6"/>
  <c r="H388" i="6"/>
  <c r="Z387" i="6"/>
  <c r="Y387" i="6"/>
  <c r="X387" i="6"/>
  <c r="W387" i="6"/>
  <c r="R387" i="6"/>
  <c r="N387" i="6"/>
  <c r="M387" i="6"/>
  <c r="I387" i="6"/>
  <c r="H387" i="6"/>
  <c r="Z386" i="6"/>
  <c r="Y386" i="6"/>
  <c r="X386" i="6"/>
  <c r="W386" i="6"/>
  <c r="R386" i="6"/>
  <c r="M386" i="6"/>
  <c r="N386" i="6"/>
  <c r="I386" i="6"/>
  <c r="H386" i="6"/>
  <c r="Z385" i="6"/>
  <c r="Y385" i="6"/>
  <c r="X385" i="6"/>
  <c r="W385" i="6"/>
  <c r="R385" i="6"/>
  <c r="M385" i="6"/>
  <c r="N385" i="6"/>
  <c r="I385" i="6"/>
  <c r="H385" i="6"/>
  <c r="Z384" i="6"/>
  <c r="Y384" i="6"/>
  <c r="X384" i="6"/>
  <c r="W384" i="6"/>
  <c r="R384" i="6"/>
  <c r="N384" i="6"/>
  <c r="M384" i="6"/>
  <c r="I384" i="6"/>
  <c r="H384" i="6"/>
  <c r="Z383" i="6"/>
  <c r="Y383" i="6"/>
  <c r="X383" i="6"/>
  <c r="W383" i="6"/>
  <c r="R383" i="6"/>
  <c r="M383" i="6"/>
  <c r="N383" i="6"/>
  <c r="I383" i="6"/>
  <c r="H383" i="6"/>
  <c r="Z382" i="6"/>
  <c r="Y382" i="6"/>
  <c r="X382" i="6"/>
  <c r="W382" i="6"/>
  <c r="R382" i="6"/>
  <c r="M382" i="6"/>
  <c r="N382" i="6"/>
  <c r="I382" i="6"/>
  <c r="H382" i="6"/>
  <c r="Z381" i="6"/>
  <c r="Y381" i="6"/>
  <c r="X381" i="6"/>
  <c r="W381" i="6"/>
  <c r="R381" i="6"/>
  <c r="N381" i="6"/>
  <c r="M381" i="6"/>
  <c r="I381" i="6"/>
  <c r="H381" i="6"/>
  <c r="Z380" i="6"/>
  <c r="Y380" i="6"/>
  <c r="X380" i="6"/>
  <c r="W380" i="6"/>
  <c r="R380" i="6"/>
  <c r="M380" i="6"/>
  <c r="N380" i="6"/>
  <c r="I380" i="6"/>
  <c r="H380" i="6"/>
  <c r="Z379" i="6"/>
  <c r="Y379" i="6"/>
  <c r="X379" i="6"/>
  <c r="W379" i="6"/>
  <c r="R379" i="6"/>
  <c r="M379" i="6"/>
  <c r="N379" i="6"/>
  <c r="I379" i="6"/>
  <c r="H379" i="6"/>
  <c r="Z378" i="6"/>
  <c r="Y378" i="6"/>
  <c r="X378" i="6"/>
  <c r="W378" i="6"/>
  <c r="R378" i="6"/>
  <c r="M378" i="6"/>
  <c r="N378" i="6"/>
  <c r="I378" i="6"/>
  <c r="H378" i="6"/>
  <c r="Z377" i="6"/>
  <c r="Y377" i="6"/>
  <c r="X377" i="6"/>
  <c r="W377" i="6"/>
  <c r="R377" i="6"/>
  <c r="M377" i="6"/>
  <c r="N377" i="6"/>
  <c r="I377" i="6"/>
  <c r="H377" i="6"/>
  <c r="Z376" i="6"/>
  <c r="Y376" i="6"/>
  <c r="X376" i="6"/>
  <c r="W376" i="6"/>
  <c r="R376" i="6"/>
  <c r="M376" i="6"/>
  <c r="N376" i="6"/>
  <c r="I376" i="6"/>
  <c r="H376" i="6"/>
  <c r="Z375" i="6"/>
  <c r="Y375" i="6"/>
  <c r="X375" i="6"/>
  <c r="W375" i="6"/>
  <c r="R375" i="6"/>
  <c r="M375" i="6"/>
  <c r="N375" i="6"/>
  <c r="I375" i="6"/>
  <c r="H375" i="6"/>
  <c r="Z374" i="6"/>
  <c r="Y374" i="6"/>
  <c r="X374" i="6"/>
  <c r="W374" i="6"/>
  <c r="R374" i="6"/>
  <c r="M374" i="6"/>
  <c r="N374" i="6"/>
  <c r="I374" i="6"/>
  <c r="H374" i="6"/>
  <c r="Z373" i="6"/>
  <c r="Y373" i="6"/>
  <c r="X373" i="6"/>
  <c r="W373" i="6"/>
  <c r="R373" i="6"/>
  <c r="N373" i="6"/>
  <c r="M373" i="6"/>
  <c r="I373" i="6"/>
  <c r="H373" i="6"/>
  <c r="Z372" i="6"/>
  <c r="Y372" i="6"/>
  <c r="X372" i="6"/>
  <c r="W372" i="6"/>
  <c r="R372" i="6"/>
  <c r="M372" i="6"/>
  <c r="N372" i="6"/>
  <c r="I372" i="6"/>
  <c r="H372" i="6"/>
  <c r="Z371" i="6"/>
  <c r="Y371" i="6"/>
  <c r="X371" i="6"/>
  <c r="W371" i="6"/>
  <c r="R371" i="6"/>
  <c r="M371" i="6"/>
  <c r="N371" i="6"/>
  <c r="I371" i="6"/>
  <c r="H371" i="6"/>
  <c r="Z370" i="6"/>
  <c r="Y370" i="6"/>
  <c r="X370" i="6"/>
  <c r="W370" i="6"/>
  <c r="R370" i="6"/>
  <c r="N370" i="6"/>
  <c r="M370" i="6"/>
  <c r="I370" i="6"/>
  <c r="H370" i="6"/>
  <c r="Z369" i="6"/>
  <c r="Y369" i="6"/>
  <c r="X369" i="6"/>
  <c r="W369" i="6"/>
  <c r="R369" i="6"/>
  <c r="M369" i="6"/>
  <c r="N369" i="6"/>
  <c r="I369" i="6"/>
  <c r="H369" i="6"/>
  <c r="Z368" i="6"/>
  <c r="Y368" i="6"/>
  <c r="X368" i="6"/>
  <c r="W368" i="6"/>
  <c r="R368" i="6"/>
  <c r="M368" i="6"/>
  <c r="N368" i="6"/>
  <c r="I368" i="6"/>
  <c r="H368" i="6"/>
  <c r="Z367" i="6"/>
  <c r="Y367" i="6"/>
  <c r="X367" i="6"/>
  <c r="W367" i="6"/>
  <c r="R367" i="6"/>
  <c r="M367" i="6"/>
  <c r="N367" i="6"/>
  <c r="I367" i="6"/>
  <c r="H367" i="6"/>
  <c r="Z366" i="6"/>
  <c r="Y366" i="6"/>
  <c r="X366" i="6"/>
  <c r="W366" i="6"/>
  <c r="R366" i="6"/>
  <c r="M366" i="6"/>
  <c r="N366" i="6"/>
  <c r="I366" i="6"/>
  <c r="H366" i="6"/>
  <c r="Z365" i="6"/>
  <c r="Y365" i="6"/>
  <c r="X365" i="6"/>
  <c r="W365" i="6"/>
  <c r="R365" i="6"/>
  <c r="M365" i="6"/>
  <c r="N365" i="6"/>
  <c r="I365" i="6"/>
  <c r="H365" i="6"/>
  <c r="Z364" i="6"/>
  <c r="Y364" i="6"/>
  <c r="X364" i="6"/>
  <c r="W364" i="6"/>
  <c r="R364" i="6"/>
  <c r="M364" i="6"/>
  <c r="N364" i="6"/>
  <c r="I364" i="6"/>
  <c r="H364" i="6"/>
  <c r="Z363" i="6"/>
  <c r="Y363" i="6"/>
  <c r="X363" i="6"/>
  <c r="W363" i="6"/>
  <c r="R363" i="6"/>
  <c r="M363" i="6"/>
  <c r="N363" i="6"/>
  <c r="I363" i="6"/>
  <c r="H363" i="6"/>
  <c r="Z362" i="6"/>
  <c r="Y362" i="6"/>
  <c r="X362" i="6"/>
  <c r="W362" i="6"/>
  <c r="R362" i="6"/>
  <c r="M362" i="6"/>
  <c r="N362" i="6"/>
  <c r="I362" i="6"/>
  <c r="H362" i="6"/>
  <c r="Z361" i="6"/>
  <c r="Y361" i="6"/>
  <c r="X361" i="6"/>
  <c r="W361" i="6"/>
  <c r="R361" i="6"/>
  <c r="M361" i="6"/>
  <c r="N361" i="6"/>
  <c r="I361" i="6"/>
  <c r="H361" i="6"/>
  <c r="Z360" i="6"/>
  <c r="Y360" i="6"/>
  <c r="X360" i="6"/>
  <c r="W360" i="6"/>
  <c r="R360" i="6"/>
  <c r="M360" i="6"/>
  <c r="N360" i="6"/>
  <c r="I360" i="6"/>
  <c r="H360" i="6"/>
  <c r="Z359" i="6"/>
  <c r="Y359" i="6"/>
  <c r="X359" i="6"/>
  <c r="W359" i="6"/>
  <c r="R359" i="6"/>
  <c r="N359" i="6"/>
  <c r="M359" i="6"/>
  <c r="I359" i="6"/>
  <c r="H359" i="6"/>
  <c r="Z358" i="6"/>
  <c r="Y358" i="6"/>
  <c r="X358" i="6"/>
  <c r="W358" i="6"/>
  <c r="R358" i="6"/>
  <c r="M358" i="6"/>
  <c r="N358" i="6"/>
  <c r="I358" i="6"/>
  <c r="H358" i="6"/>
  <c r="Z357" i="6"/>
  <c r="Y357" i="6"/>
  <c r="X357" i="6"/>
  <c r="W357" i="6"/>
  <c r="R357" i="6"/>
  <c r="M357" i="6"/>
  <c r="N357" i="6"/>
  <c r="I357" i="6"/>
  <c r="H357" i="6"/>
  <c r="Z356" i="6"/>
  <c r="Y356" i="6"/>
  <c r="X356" i="6"/>
  <c r="W356" i="6"/>
  <c r="R356" i="6"/>
  <c r="M356" i="6"/>
  <c r="N356" i="6"/>
  <c r="I356" i="6"/>
  <c r="H356" i="6"/>
  <c r="Z355" i="6"/>
  <c r="Y355" i="6"/>
  <c r="X355" i="6"/>
  <c r="W355" i="6"/>
  <c r="R355" i="6"/>
  <c r="M355" i="6"/>
  <c r="N355" i="6"/>
  <c r="I355" i="6"/>
  <c r="H355" i="6"/>
  <c r="Z354" i="6"/>
  <c r="Y354" i="6"/>
  <c r="X354" i="6"/>
  <c r="W354" i="6"/>
  <c r="R354" i="6"/>
  <c r="M354" i="6"/>
  <c r="N354" i="6"/>
  <c r="I354" i="6"/>
  <c r="H354" i="6"/>
  <c r="Z353" i="6"/>
  <c r="Y353" i="6"/>
  <c r="X353" i="6"/>
  <c r="W353" i="6"/>
  <c r="R353" i="6"/>
  <c r="M353" i="6"/>
  <c r="N353" i="6"/>
  <c r="I353" i="6"/>
  <c r="H353" i="6"/>
  <c r="Z352" i="6"/>
  <c r="Y352" i="6"/>
  <c r="X352" i="6"/>
  <c r="W352" i="6"/>
  <c r="R352" i="6"/>
  <c r="M352" i="6"/>
  <c r="N352" i="6"/>
  <c r="I352" i="6"/>
  <c r="H352" i="6"/>
  <c r="Z351" i="6"/>
  <c r="Y351" i="6"/>
  <c r="X351" i="6"/>
  <c r="W351" i="6"/>
  <c r="R351" i="6"/>
  <c r="M351" i="6"/>
  <c r="N351" i="6"/>
  <c r="I351" i="6"/>
  <c r="H351" i="6"/>
  <c r="Z350" i="6"/>
  <c r="Y350" i="6"/>
  <c r="X350" i="6"/>
  <c r="W350" i="6"/>
  <c r="R350" i="6"/>
  <c r="M350" i="6"/>
  <c r="N350" i="6"/>
  <c r="I350" i="6"/>
  <c r="H350" i="6"/>
  <c r="Z349" i="6"/>
  <c r="Y349" i="6"/>
  <c r="X349" i="6"/>
  <c r="W349" i="6"/>
  <c r="R349" i="6"/>
  <c r="N349" i="6"/>
  <c r="M349" i="6"/>
  <c r="I349" i="6"/>
  <c r="H349" i="6"/>
  <c r="Z348" i="6"/>
  <c r="Y348" i="6"/>
  <c r="X348" i="6"/>
  <c r="W348" i="6"/>
  <c r="R348" i="6"/>
  <c r="N348" i="6"/>
  <c r="M348" i="6"/>
  <c r="I348" i="6"/>
  <c r="H348" i="6"/>
  <c r="Z347" i="6"/>
  <c r="Y347" i="6"/>
  <c r="X347" i="6"/>
  <c r="W347" i="6"/>
  <c r="R347" i="6"/>
  <c r="M347" i="6"/>
  <c r="N347" i="6"/>
  <c r="I347" i="6"/>
  <c r="H347" i="6"/>
  <c r="Z346" i="6"/>
  <c r="Y346" i="6"/>
  <c r="X346" i="6"/>
  <c r="W346" i="6"/>
  <c r="R346" i="6"/>
  <c r="M346" i="6"/>
  <c r="N346" i="6"/>
  <c r="I346" i="6"/>
  <c r="H346" i="6"/>
  <c r="Z345" i="6"/>
  <c r="Y345" i="6"/>
  <c r="X345" i="6"/>
  <c r="W345" i="6"/>
  <c r="R345" i="6"/>
  <c r="M345" i="6"/>
  <c r="N345" i="6"/>
  <c r="I345" i="6"/>
  <c r="H345" i="6"/>
  <c r="Z344" i="6"/>
  <c r="Y344" i="6"/>
  <c r="X344" i="6"/>
  <c r="W344" i="6"/>
  <c r="R344" i="6"/>
  <c r="M344" i="6"/>
  <c r="N344" i="6"/>
  <c r="I344" i="6"/>
  <c r="H344" i="6"/>
  <c r="Z343" i="6"/>
  <c r="Y343" i="6"/>
  <c r="X343" i="6"/>
  <c r="W343" i="6"/>
  <c r="R343" i="6"/>
  <c r="M343" i="6"/>
  <c r="N343" i="6"/>
  <c r="I343" i="6"/>
  <c r="H343" i="6"/>
  <c r="Z342" i="6"/>
  <c r="Y342" i="6"/>
  <c r="X342" i="6"/>
  <c r="W342" i="6"/>
  <c r="R342" i="6"/>
  <c r="M342" i="6"/>
  <c r="N342" i="6"/>
  <c r="I342" i="6"/>
  <c r="H342" i="6"/>
  <c r="Z341" i="6"/>
  <c r="Y341" i="6"/>
  <c r="X341" i="6"/>
  <c r="W341" i="6"/>
  <c r="R341" i="6"/>
  <c r="M341" i="6"/>
  <c r="N341" i="6"/>
  <c r="I341" i="6"/>
  <c r="H341" i="6"/>
  <c r="Z340" i="6"/>
  <c r="Y340" i="6"/>
  <c r="X340" i="6"/>
  <c r="W340" i="6"/>
  <c r="R340" i="6"/>
  <c r="M340" i="6"/>
  <c r="N340" i="6"/>
  <c r="I340" i="6"/>
  <c r="H340" i="6"/>
  <c r="Z339" i="6"/>
  <c r="Y339" i="6"/>
  <c r="X339" i="6"/>
  <c r="W339" i="6"/>
  <c r="R339" i="6"/>
  <c r="M339" i="6"/>
  <c r="N339" i="6"/>
  <c r="I339" i="6"/>
  <c r="H339" i="6"/>
  <c r="Z338" i="6"/>
  <c r="Y338" i="6"/>
  <c r="X338" i="6"/>
  <c r="W338" i="6"/>
  <c r="R338" i="6"/>
  <c r="N338" i="6"/>
  <c r="M338" i="6"/>
  <c r="I338" i="6"/>
  <c r="H338" i="6"/>
  <c r="Z337" i="6"/>
  <c r="Y337" i="6"/>
  <c r="X337" i="6"/>
  <c r="W337" i="6"/>
  <c r="R337" i="6"/>
  <c r="M337" i="6"/>
  <c r="N337" i="6"/>
  <c r="I337" i="6"/>
  <c r="H337" i="6"/>
  <c r="Z336" i="6"/>
  <c r="Y336" i="6"/>
  <c r="X336" i="6"/>
  <c r="W336" i="6"/>
  <c r="R336" i="6"/>
  <c r="M336" i="6"/>
  <c r="N336" i="6"/>
  <c r="I336" i="6"/>
  <c r="H336" i="6"/>
  <c r="Z335" i="6"/>
  <c r="Y335" i="6"/>
  <c r="X335" i="6"/>
  <c r="W335" i="6"/>
  <c r="R335" i="6"/>
  <c r="M335" i="6"/>
  <c r="N335" i="6"/>
  <c r="I335" i="6"/>
  <c r="H335" i="6"/>
  <c r="Z334" i="6"/>
  <c r="Y334" i="6"/>
  <c r="X334" i="6"/>
  <c r="W334" i="6"/>
  <c r="R334" i="6"/>
  <c r="M334" i="6"/>
  <c r="N334" i="6"/>
  <c r="I334" i="6"/>
  <c r="H334" i="6"/>
  <c r="Z333" i="6"/>
  <c r="Y333" i="6"/>
  <c r="X333" i="6"/>
  <c r="W333" i="6"/>
  <c r="R333" i="6"/>
  <c r="N333" i="6"/>
  <c r="M333" i="6"/>
  <c r="I333" i="6"/>
  <c r="H333" i="6"/>
  <c r="Z332" i="6"/>
  <c r="Y332" i="6"/>
  <c r="X332" i="6"/>
  <c r="W332" i="6"/>
  <c r="R332" i="6"/>
  <c r="N332" i="6"/>
  <c r="M332" i="6"/>
  <c r="I332" i="6"/>
  <c r="H332" i="6"/>
  <c r="Z331" i="6"/>
  <c r="Y331" i="6"/>
  <c r="X331" i="6"/>
  <c r="W331" i="6"/>
  <c r="R331" i="6"/>
  <c r="M331" i="6"/>
  <c r="N331" i="6"/>
  <c r="I331" i="6"/>
  <c r="H331" i="6"/>
  <c r="Z330" i="6"/>
  <c r="Y330" i="6"/>
  <c r="X330" i="6"/>
  <c r="W330" i="6"/>
  <c r="R330" i="6"/>
  <c r="M330" i="6"/>
  <c r="N330" i="6"/>
  <c r="I330" i="6"/>
  <c r="H330" i="6"/>
  <c r="Z329" i="6"/>
  <c r="Y329" i="6"/>
  <c r="X329" i="6"/>
  <c r="W329" i="6"/>
  <c r="R329" i="6"/>
  <c r="M329" i="6"/>
  <c r="N329" i="6"/>
  <c r="I329" i="6"/>
  <c r="H329" i="6"/>
  <c r="Z328" i="6"/>
  <c r="Y328" i="6"/>
  <c r="X328" i="6"/>
  <c r="W328" i="6"/>
  <c r="R328" i="6"/>
  <c r="M328" i="6"/>
  <c r="N328" i="6"/>
  <c r="I328" i="6"/>
  <c r="H328" i="6"/>
  <c r="Z327" i="6"/>
  <c r="Y327" i="6"/>
  <c r="X327" i="6"/>
  <c r="W327" i="6"/>
  <c r="R327" i="6"/>
  <c r="N327" i="6"/>
  <c r="M327" i="6"/>
  <c r="I327" i="6"/>
  <c r="H327" i="6"/>
  <c r="Z326" i="6"/>
  <c r="Y326" i="6"/>
  <c r="X326" i="6"/>
  <c r="W326" i="6"/>
  <c r="R326" i="6"/>
  <c r="M326" i="6"/>
  <c r="N326" i="6"/>
  <c r="I326" i="6"/>
  <c r="H326" i="6"/>
  <c r="Z325" i="6"/>
  <c r="Y325" i="6"/>
  <c r="X325" i="6"/>
  <c r="W325" i="6"/>
  <c r="R325" i="6"/>
  <c r="M325" i="6"/>
  <c r="N325" i="6"/>
  <c r="I325" i="6"/>
  <c r="H325" i="6"/>
  <c r="Z324" i="6"/>
  <c r="Y324" i="6"/>
  <c r="X324" i="6"/>
  <c r="W324" i="6"/>
  <c r="R324" i="6"/>
  <c r="M324" i="6"/>
  <c r="N324" i="6"/>
  <c r="I324" i="6"/>
  <c r="H324" i="6"/>
  <c r="Z323" i="6"/>
  <c r="Y323" i="6"/>
  <c r="X323" i="6"/>
  <c r="W323" i="6"/>
  <c r="R323" i="6"/>
  <c r="N323" i="6"/>
  <c r="M323" i="6"/>
  <c r="I323" i="6"/>
  <c r="H323" i="6"/>
  <c r="Z322" i="6"/>
  <c r="Y322" i="6"/>
  <c r="X322" i="6"/>
  <c r="W322" i="6"/>
  <c r="R322" i="6"/>
  <c r="M322" i="6"/>
  <c r="N322" i="6"/>
  <c r="I322" i="6"/>
  <c r="H322" i="6"/>
  <c r="Z321" i="6"/>
  <c r="Y321" i="6"/>
  <c r="X321" i="6"/>
  <c r="W321" i="6"/>
  <c r="R321" i="6"/>
  <c r="M321" i="6"/>
  <c r="N321" i="6"/>
  <c r="I321" i="6"/>
  <c r="H321" i="6"/>
  <c r="Z320" i="6"/>
  <c r="Y320" i="6"/>
  <c r="X320" i="6"/>
  <c r="W320" i="6"/>
  <c r="R320" i="6"/>
  <c r="M320" i="6"/>
  <c r="N320" i="6"/>
  <c r="I320" i="6"/>
  <c r="H320" i="6"/>
  <c r="Z319" i="6"/>
  <c r="Y319" i="6"/>
  <c r="X319" i="6"/>
  <c r="W319" i="6"/>
  <c r="R319" i="6"/>
  <c r="M319" i="6"/>
  <c r="N319" i="6"/>
  <c r="I319" i="6"/>
  <c r="H319" i="6"/>
  <c r="Z318" i="6"/>
  <c r="Y318" i="6"/>
  <c r="X318" i="6"/>
  <c r="W318" i="6"/>
  <c r="R318" i="6"/>
  <c r="M318" i="6"/>
  <c r="N318" i="6"/>
  <c r="I318" i="6"/>
  <c r="H318" i="6"/>
  <c r="Z317" i="6"/>
  <c r="Y317" i="6"/>
  <c r="X317" i="6"/>
  <c r="W317" i="6"/>
  <c r="R317" i="6"/>
  <c r="N317" i="6"/>
  <c r="M317" i="6"/>
  <c r="I317" i="6"/>
  <c r="H317" i="6"/>
  <c r="Z316" i="6"/>
  <c r="Y316" i="6"/>
  <c r="X316" i="6"/>
  <c r="W316" i="6"/>
  <c r="R316" i="6"/>
  <c r="M316" i="6"/>
  <c r="N316" i="6"/>
  <c r="I316" i="6"/>
  <c r="H316" i="6"/>
  <c r="Z315" i="6"/>
  <c r="Y315" i="6"/>
  <c r="X315" i="6"/>
  <c r="W315" i="6"/>
  <c r="R315" i="6"/>
  <c r="M315" i="6"/>
  <c r="N315" i="6"/>
  <c r="I315" i="6"/>
  <c r="H315" i="6"/>
  <c r="Z314" i="6"/>
  <c r="Y314" i="6"/>
  <c r="X314" i="6"/>
  <c r="W314" i="6"/>
  <c r="R314" i="6"/>
  <c r="M314" i="6"/>
  <c r="N314" i="6"/>
  <c r="I314" i="6"/>
  <c r="H314" i="6"/>
  <c r="Z313" i="6"/>
  <c r="Y313" i="6"/>
  <c r="X313" i="6"/>
  <c r="W313" i="6"/>
  <c r="R313" i="6"/>
  <c r="M313" i="6"/>
  <c r="N313" i="6"/>
  <c r="I313" i="6"/>
  <c r="H313" i="6"/>
  <c r="Z312" i="6"/>
  <c r="Y312" i="6"/>
  <c r="X312" i="6"/>
  <c r="W312" i="6"/>
  <c r="R312" i="6"/>
  <c r="M312" i="6"/>
  <c r="N312" i="6"/>
  <c r="I312" i="6"/>
  <c r="H312" i="6"/>
  <c r="Z311" i="6"/>
  <c r="Y311" i="6"/>
  <c r="X311" i="6"/>
  <c r="W311" i="6"/>
  <c r="R311" i="6"/>
  <c r="M311" i="6"/>
  <c r="N311" i="6"/>
  <c r="I311" i="6"/>
  <c r="H311" i="6"/>
  <c r="Z310" i="6"/>
  <c r="Y310" i="6"/>
  <c r="X310" i="6"/>
  <c r="W310" i="6"/>
  <c r="R310" i="6"/>
  <c r="M310" i="6"/>
  <c r="N310" i="6"/>
  <c r="I310" i="6"/>
  <c r="H310" i="6"/>
  <c r="Z309" i="6"/>
  <c r="Y309" i="6"/>
  <c r="X309" i="6"/>
  <c r="W309" i="6"/>
  <c r="R309" i="6"/>
  <c r="M309" i="6"/>
  <c r="N309" i="6"/>
  <c r="I309" i="6"/>
  <c r="H309" i="6"/>
  <c r="Z308" i="6"/>
  <c r="Y308" i="6"/>
  <c r="X308" i="6"/>
  <c r="W308" i="6"/>
  <c r="R308" i="6"/>
  <c r="M308" i="6"/>
  <c r="N308" i="6"/>
  <c r="I308" i="6"/>
  <c r="H308" i="6"/>
  <c r="Z307" i="6"/>
  <c r="Y307" i="6"/>
  <c r="X307" i="6"/>
  <c r="W307" i="6"/>
  <c r="R307" i="6"/>
  <c r="M307" i="6"/>
  <c r="N307" i="6"/>
  <c r="I307" i="6"/>
  <c r="H307" i="6"/>
  <c r="Z306" i="6"/>
  <c r="Y306" i="6"/>
  <c r="X306" i="6"/>
  <c r="W306" i="6"/>
  <c r="R306" i="6"/>
  <c r="M306" i="6"/>
  <c r="N306" i="6"/>
  <c r="I306" i="6"/>
  <c r="H306" i="6"/>
  <c r="Z305" i="6"/>
  <c r="Y305" i="6"/>
  <c r="X305" i="6"/>
  <c r="W305" i="6"/>
  <c r="R305" i="6"/>
  <c r="M305" i="6"/>
  <c r="N305" i="6"/>
  <c r="I305" i="6"/>
  <c r="H305" i="6"/>
  <c r="Z304" i="6"/>
  <c r="Y304" i="6"/>
  <c r="X304" i="6"/>
  <c r="W304" i="6"/>
  <c r="R304" i="6"/>
  <c r="M304" i="6"/>
  <c r="N304" i="6"/>
  <c r="I304" i="6"/>
  <c r="H304" i="6"/>
  <c r="Z303" i="6"/>
  <c r="Y303" i="6"/>
  <c r="X303" i="6"/>
  <c r="W303" i="6"/>
  <c r="R303" i="6"/>
  <c r="M303" i="6"/>
  <c r="N303" i="6"/>
  <c r="I303" i="6"/>
  <c r="H303" i="6"/>
  <c r="Z302" i="6"/>
  <c r="Y302" i="6"/>
  <c r="X302" i="6"/>
  <c r="W302" i="6"/>
  <c r="R302" i="6"/>
  <c r="M302" i="6"/>
  <c r="N302" i="6"/>
  <c r="I302" i="6"/>
  <c r="H302" i="6"/>
  <c r="Z301" i="6"/>
  <c r="Y301" i="6"/>
  <c r="X301" i="6"/>
  <c r="W301" i="6"/>
  <c r="R301" i="6"/>
  <c r="M301" i="6"/>
  <c r="N301" i="6"/>
  <c r="I301" i="6"/>
  <c r="H301" i="6"/>
  <c r="Z300" i="6"/>
  <c r="Y300" i="6"/>
  <c r="X300" i="6"/>
  <c r="W300" i="6"/>
  <c r="R300" i="6"/>
  <c r="M300" i="6"/>
  <c r="N300" i="6"/>
  <c r="I300" i="6"/>
  <c r="H300" i="6"/>
  <c r="Z299" i="6"/>
  <c r="Y299" i="6"/>
  <c r="X299" i="6"/>
  <c r="W299" i="6"/>
  <c r="R299" i="6"/>
  <c r="M299" i="6"/>
  <c r="N299" i="6"/>
  <c r="I299" i="6"/>
  <c r="H299" i="6"/>
  <c r="Z298" i="6"/>
  <c r="Y298" i="6"/>
  <c r="X298" i="6"/>
  <c r="W298" i="6"/>
  <c r="R298" i="6"/>
  <c r="N298" i="6"/>
  <c r="M298" i="6"/>
  <c r="I298" i="6"/>
  <c r="H298" i="6"/>
  <c r="Z297" i="6"/>
  <c r="Y297" i="6"/>
  <c r="X297" i="6"/>
  <c r="W297" i="6"/>
  <c r="R297" i="6"/>
  <c r="M297" i="6"/>
  <c r="N297" i="6"/>
  <c r="I297" i="6"/>
  <c r="H297" i="6"/>
  <c r="Z296" i="6"/>
  <c r="Y296" i="6"/>
  <c r="X296" i="6"/>
  <c r="W296" i="6"/>
  <c r="R296" i="6"/>
  <c r="M296" i="6"/>
  <c r="N296" i="6"/>
  <c r="I296" i="6"/>
  <c r="H296" i="6"/>
  <c r="Z295" i="6"/>
  <c r="Y295" i="6"/>
  <c r="X295" i="6"/>
  <c r="W295" i="6"/>
  <c r="R295" i="6"/>
  <c r="N295" i="6"/>
  <c r="M295" i="6"/>
  <c r="I295" i="6"/>
  <c r="H295" i="6"/>
  <c r="Z294" i="6"/>
  <c r="Y294" i="6"/>
  <c r="X294" i="6"/>
  <c r="W294" i="6"/>
  <c r="R294" i="6"/>
  <c r="M294" i="6"/>
  <c r="N294" i="6"/>
  <c r="I294" i="6"/>
  <c r="H294" i="6"/>
  <c r="Z293" i="6"/>
  <c r="Y293" i="6"/>
  <c r="X293" i="6"/>
  <c r="W293" i="6"/>
  <c r="R293" i="6"/>
  <c r="N293" i="6"/>
  <c r="M293" i="6"/>
  <c r="I293" i="6"/>
  <c r="H293" i="6"/>
  <c r="Z292" i="6"/>
  <c r="Y292" i="6"/>
  <c r="X292" i="6"/>
  <c r="W292" i="6"/>
  <c r="R292" i="6"/>
  <c r="M292" i="6"/>
  <c r="N292" i="6"/>
  <c r="I292" i="6"/>
  <c r="H292" i="6"/>
  <c r="Z291" i="6"/>
  <c r="Y291" i="6"/>
  <c r="X291" i="6"/>
  <c r="W291" i="6"/>
  <c r="R291" i="6"/>
  <c r="M291" i="6"/>
  <c r="N291" i="6"/>
  <c r="I291" i="6"/>
  <c r="H291" i="6"/>
  <c r="Z290" i="6"/>
  <c r="Y290" i="6"/>
  <c r="X290" i="6"/>
  <c r="W290" i="6"/>
  <c r="R290" i="6"/>
  <c r="M290" i="6"/>
  <c r="N290" i="6"/>
  <c r="I290" i="6"/>
  <c r="H290" i="6"/>
  <c r="Z289" i="6"/>
  <c r="Y289" i="6"/>
  <c r="X289" i="6"/>
  <c r="W289" i="6"/>
  <c r="R289" i="6"/>
  <c r="M289" i="6"/>
  <c r="N289" i="6"/>
  <c r="I289" i="6"/>
  <c r="H289" i="6"/>
  <c r="Z288" i="6"/>
  <c r="Y288" i="6"/>
  <c r="X288" i="6"/>
  <c r="W288" i="6"/>
  <c r="R288" i="6"/>
  <c r="M288" i="6"/>
  <c r="N288" i="6"/>
  <c r="I288" i="6"/>
  <c r="H288" i="6"/>
  <c r="Z287" i="6"/>
  <c r="Y287" i="6"/>
  <c r="X287" i="6"/>
  <c r="W287" i="6"/>
  <c r="R287" i="6"/>
  <c r="M287" i="6"/>
  <c r="N287" i="6"/>
  <c r="I287" i="6"/>
  <c r="H287" i="6"/>
  <c r="Z286" i="6"/>
  <c r="Y286" i="6"/>
  <c r="X286" i="6"/>
  <c r="W286" i="6"/>
  <c r="R286" i="6"/>
  <c r="M286" i="6"/>
  <c r="N286" i="6"/>
  <c r="I286" i="6"/>
  <c r="H286" i="6"/>
  <c r="Z285" i="6"/>
  <c r="Y285" i="6"/>
  <c r="X285" i="6"/>
  <c r="W285" i="6"/>
  <c r="R285" i="6"/>
  <c r="M285" i="6"/>
  <c r="N285" i="6"/>
  <c r="I285" i="6"/>
  <c r="H285" i="6"/>
  <c r="Z284" i="6"/>
  <c r="Y284" i="6"/>
  <c r="X284" i="6"/>
  <c r="W284" i="6"/>
  <c r="R284" i="6"/>
  <c r="M284" i="6"/>
  <c r="N284" i="6"/>
  <c r="I284" i="6"/>
  <c r="H284" i="6"/>
  <c r="Z283" i="6"/>
  <c r="Y283" i="6"/>
  <c r="X283" i="6"/>
  <c r="W283" i="6"/>
  <c r="R283" i="6"/>
  <c r="M283" i="6"/>
  <c r="N283" i="6"/>
  <c r="I283" i="6"/>
  <c r="H283" i="6"/>
  <c r="Z282" i="6"/>
  <c r="Y282" i="6"/>
  <c r="X282" i="6"/>
  <c r="W282" i="6"/>
  <c r="R282" i="6"/>
  <c r="N282" i="6"/>
  <c r="M282" i="6"/>
  <c r="I282" i="6"/>
  <c r="H282" i="6"/>
  <c r="Z281" i="6"/>
  <c r="Y281" i="6"/>
  <c r="X281" i="6"/>
  <c r="W281" i="6"/>
  <c r="R281" i="6"/>
  <c r="M281" i="6"/>
  <c r="N281" i="6"/>
  <c r="I281" i="6"/>
  <c r="H281" i="6"/>
  <c r="Z280" i="6"/>
  <c r="Y280" i="6"/>
  <c r="X280" i="6"/>
  <c r="W280" i="6"/>
  <c r="R280" i="6"/>
  <c r="M280" i="6"/>
  <c r="N280" i="6"/>
  <c r="I280" i="6"/>
  <c r="H280" i="6"/>
  <c r="Z279" i="6"/>
  <c r="Y279" i="6"/>
  <c r="X279" i="6"/>
  <c r="W279" i="6"/>
  <c r="R279" i="6"/>
  <c r="M279" i="6"/>
  <c r="N279" i="6"/>
  <c r="I279" i="6"/>
  <c r="H279" i="6"/>
  <c r="Z278" i="6"/>
  <c r="Y278" i="6"/>
  <c r="X278" i="6"/>
  <c r="W278" i="6"/>
  <c r="R278" i="6"/>
  <c r="M278" i="6"/>
  <c r="N278" i="6"/>
  <c r="I278" i="6"/>
  <c r="H278" i="6"/>
  <c r="Z277" i="6"/>
  <c r="Y277" i="6"/>
  <c r="X277" i="6"/>
  <c r="W277" i="6"/>
  <c r="R277" i="6"/>
  <c r="N277" i="6"/>
  <c r="M277" i="6"/>
  <c r="I277" i="6"/>
  <c r="H277" i="6"/>
  <c r="Z276" i="6"/>
  <c r="Y276" i="6"/>
  <c r="X276" i="6"/>
  <c r="W276" i="6"/>
  <c r="R276" i="6"/>
  <c r="M276" i="6"/>
  <c r="N276" i="6"/>
  <c r="I276" i="6"/>
  <c r="H276" i="6"/>
  <c r="Z275" i="6"/>
  <c r="Y275" i="6"/>
  <c r="X275" i="6"/>
  <c r="W275" i="6"/>
  <c r="R275" i="6"/>
  <c r="N275" i="6"/>
  <c r="M275" i="6"/>
  <c r="I275" i="6"/>
  <c r="H275" i="6"/>
  <c r="Z274" i="6"/>
  <c r="Y274" i="6"/>
  <c r="X274" i="6"/>
  <c r="W274" i="6"/>
  <c r="R274" i="6"/>
  <c r="M274" i="6"/>
  <c r="N274" i="6"/>
  <c r="I274" i="6"/>
  <c r="H274" i="6"/>
  <c r="Z273" i="6"/>
  <c r="Y273" i="6"/>
  <c r="X273" i="6"/>
  <c r="W273" i="6"/>
  <c r="R273" i="6"/>
  <c r="M273" i="6"/>
  <c r="N273" i="6"/>
  <c r="I273" i="6"/>
  <c r="H273" i="6"/>
  <c r="Z272" i="6"/>
  <c r="Y272" i="6"/>
  <c r="X272" i="6"/>
  <c r="W272" i="6"/>
  <c r="R272" i="6"/>
  <c r="M272" i="6"/>
  <c r="N272" i="6"/>
  <c r="I272" i="6"/>
  <c r="H272" i="6"/>
  <c r="Z271" i="6"/>
  <c r="Y271" i="6"/>
  <c r="X271" i="6"/>
  <c r="W271" i="6"/>
  <c r="R271" i="6"/>
  <c r="M271" i="6"/>
  <c r="N271" i="6"/>
  <c r="I271" i="6"/>
  <c r="H271" i="6"/>
  <c r="Z270" i="6"/>
  <c r="Y270" i="6"/>
  <c r="X270" i="6"/>
  <c r="W270" i="6"/>
  <c r="R270" i="6"/>
  <c r="M270" i="6"/>
  <c r="N270" i="6"/>
  <c r="I270" i="6"/>
  <c r="H270" i="6"/>
  <c r="Z269" i="6"/>
  <c r="Y269" i="6"/>
  <c r="X269" i="6"/>
  <c r="W269" i="6"/>
  <c r="R269" i="6"/>
  <c r="N269" i="6"/>
  <c r="M269" i="6"/>
  <c r="I269" i="6"/>
  <c r="H269" i="6"/>
  <c r="Z268" i="6"/>
  <c r="Y268" i="6"/>
  <c r="X268" i="6"/>
  <c r="W268" i="6"/>
  <c r="R268" i="6"/>
  <c r="M268" i="6"/>
  <c r="N268" i="6"/>
  <c r="I268" i="6"/>
  <c r="H268" i="6"/>
  <c r="Z267" i="6"/>
  <c r="Y267" i="6"/>
  <c r="X267" i="6"/>
  <c r="W267" i="6"/>
  <c r="R267" i="6"/>
  <c r="M267" i="6"/>
  <c r="N267" i="6"/>
  <c r="I267" i="6"/>
  <c r="H267" i="6"/>
  <c r="Z266" i="6"/>
  <c r="Y266" i="6"/>
  <c r="X266" i="6"/>
  <c r="W266" i="6"/>
  <c r="R266" i="6"/>
  <c r="M266" i="6"/>
  <c r="N266" i="6"/>
  <c r="I266" i="6"/>
  <c r="H266" i="6"/>
  <c r="Z265" i="6"/>
  <c r="Y265" i="6"/>
  <c r="X265" i="6"/>
  <c r="W265" i="6"/>
  <c r="R265" i="6"/>
  <c r="M265" i="6"/>
  <c r="N265" i="6"/>
  <c r="I265" i="6"/>
  <c r="H265" i="6"/>
  <c r="Z264" i="6"/>
  <c r="Y264" i="6"/>
  <c r="X264" i="6"/>
  <c r="W264" i="6"/>
  <c r="R264" i="6"/>
  <c r="M264" i="6"/>
  <c r="N264" i="6"/>
  <c r="I264" i="6"/>
  <c r="H264" i="6"/>
  <c r="Z263" i="6"/>
  <c r="Y263" i="6"/>
  <c r="X263" i="6"/>
  <c r="W263" i="6"/>
  <c r="R263" i="6"/>
  <c r="N263" i="6"/>
  <c r="M263" i="6"/>
  <c r="I263" i="6"/>
  <c r="H263" i="6"/>
  <c r="Z262" i="6"/>
  <c r="Y262" i="6"/>
  <c r="X262" i="6"/>
  <c r="W262" i="6"/>
  <c r="R262" i="6"/>
  <c r="M262" i="6"/>
  <c r="N262" i="6"/>
  <c r="I262" i="6"/>
  <c r="H262" i="6"/>
  <c r="Z261" i="6"/>
  <c r="Y261" i="6"/>
  <c r="X261" i="6"/>
  <c r="W261" i="6"/>
  <c r="R261" i="6"/>
  <c r="M261" i="6"/>
  <c r="N261" i="6"/>
  <c r="I261" i="6"/>
  <c r="H261" i="6"/>
  <c r="Z260" i="6"/>
  <c r="Y260" i="6"/>
  <c r="X260" i="6"/>
  <c r="W260" i="6"/>
  <c r="R260" i="6"/>
  <c r="M260" i="6"/>
  <c r="N260" i="6"/>
  <c r="I260" i="6"/>
  <c r="H260" i="6"/>
  <c r="Z259" i="6"/>
  <c r="Y259" i="6"/>
  <c r="X259" i="6"/>
  <c r="W259" i="6"/>
  <c r="R259" i="6"/>
  <c r="M259" i="6"/>
  <c r="N259" i="6"/>
  <c r="I259" i="6"/>
  <c r="H259" i="6"/>
  <c r="Z258" i="6"/>
  <c r="Y258" i="6"/>
  <c r="X258" i="6"/>
  <c r="W258" i="6"/>
  <c r="R258" i="6"/>
  <c r="M258" i="6"/>
  <c r="N258" i="6"/>
  <c r="I258" i="6"/>
  <c r="H258" i="6"/>
  <c r="Z257" i="6"/>
  <c r="Y257" i="6"/>
  <c r="X257" i="6"/>
  <c r="W257" i="6"/>
  <c r="R257" i="6"/>
  <c r="M257" i="6"/>
  <c r="N257" i="6"/>
  <c r="I257" i="6"/>
  <c r="H257" i="6"/>
  <c r="Z256" i="6"/>
  <c r="Y256" i="6"/>
  <c r="X256" i="6"/>
  <c r="W256" i="6"/>
  <c r="R256" i="6"/>
  <c r="M256" i="6"/>
  <c r="N256" i="6"/>
  <c r="I256" i="6"/>
  <c r="H256" i="6"/>
  <c r="Z255" i="6"/>
  <c r="Y255" i="6"/>
  <c r="X255" i="6"/>
  <c r="W255" i="6"/>
  <c r="R255" i="6"/>
  <c r="M255" i="6"/>
  <c r="N255" i="6"/>
  <c r="I255" i="6"/>
  <c r="H255" i="6"/>
  <c r="Z254" i="6"/>
  <c r="Y254" i="6"/>
  <c r="X254" i="6"/>
  <c r="W254" i="6"/>
  <c r="R254" i="6"/>
  <c r="M254" i="6"/>
  <c r="N254" i="6"/>
  <c r="I254" i="6"/>
  <c r="H254" i="6"/>
  <c r="Z253" i="6"/>
  <c r="Y253" i="6"/>
  <c r="X253" i="6"/>
  <c r="W253" i="6"/>
  <c r="R253" i="6"/>
  <c r="N253" i="6"/>
  <c r="M253" i="6"/>
  <c r="I253" i="6"/>
  <c r="H253" i="6"/>
  <c r="Z252" i="6"/>
  <c r="Y252" i="6"/>
  <c r="X252" i="6"/>
  <c r="W252" i="6"/>
  <c r="R252" i="6"/>
  <c r="M252" i="6"/>
  <c r="N252" i="6"/>
  <c r="I252" i="6"/>
  <c r="H252" i="6"/>
  <c r="Z251" i="6"/>
  <c r="Y251" i="6"/>
  <c r="X251" i="6"/>
  <c r="W251" i="6"/>
  <c r="R251" i="6"/>
  <c r="M251" i="6"/>
  <c r="N251" i="6"/>
  <c r="I251" i="6"/>
  <c r="H251" i="6"/>
  <c r="Z250" i="6"/>
  <c r="Y250" i="6"/>
  <c r="X250" i="6"/>
  <c r="W250" i="6"/>
  <c r="R250" i="6"/>
  <c r="M250" i="6"/>
  <c r="N250" i="6"/>
  <c r="I250" i="6"/>
  <c r="H250" i="6"/>
  <c r="Z249" i="6"/>
  <c r="Y249" i="6"/>
  <c r="X249" i="6"/>
  <c r="W249" i="6"/>
  <c r="R249" i="6"/>
  <c r="M249" i="6"/>
  <c r="N249" i="6"/>
  <c r="I249" i="6"/>
  <c r="H249" i="6"/>
  <c r="Z248" i="6"/>
  <c r="Y248" i="6"/>
  <c r="X248" i="6"/>
  <c r="W248" i="6"/>
  <c r="R248" i="6"/>
  <c r="M248" i="6"/>
  <c r="N248" i="6"/>
  <c r="I248" i="6"/>
  <c r="H248" i="6"/>
  <c r="Z247" i="6"/>
  <c r="Y247" i="6"/>
  <c r="X247" i="6"/>
  <c r="W247" i="6"/>
  <c r="R247" i="6"/>
  <c r="M247" i="6"/>
  <c r="N247" i="6"/>
  <c r="I247" i="6"/>
  <c r="H247" i="6"/>
  <c r="Z246" i="6"/>
  <c r="Y246" i="6"/>
  <c r="X246" i="6"/>
  <c r="W246" i="6"/>
  <c r="R246" i="6"/>
  <c r="M246" i="6"/>
  <c r="N246" i="6"/>
  <c r="I246" i="6"/>
  <c r="H246" i="6"/>
  <c r="Z245" i="6"/>
  <c r="Y245" i="6"/>
  <c r="X245" i="6"/>
  <c r="W245" i="6"/>
  <c r="R245" i="6"/>
  <c r="M245" i="6"/>
  <c r="N245" i="6"/>
  <c r="I245" i="6"/>
  <c r="H245" i="6"/>
  <c r="Z244" i="6"/>
  <c r="Y244" i="6"/>
  <c r="X244" i="6"/>
  <c r="W244" i="6"/>
  <c r="R244" i="6"/>
  <c r="M244" i="6"/>
  <c r="N244" i="6"/>
  <c r="I244" i="6"/>
  <c r="H244" i="6"/>
  <c r="Z243" i="6"/>
  <c r="Y243" i="6"/>
  <c r="X243" i="6"/>
  <c r="W243" i="6"/>
  <c r="R243" i="6"/>
  <c r="M243" i="6"/>
  <c r="N243" i="6"/>
  <c r="I243" i="6"/>
  <c r="H243" i="6"/>
  <c r="Z242" i="6"/>
  <c r="Y242" i="6"/>
  <c r="X242" i="6"/>
  <c r="W242" i="6"/>
  <c r="R242" i="6"/>
  <c r="M242" i="6"/>
  <c r="N242" i="6"/>
  <c r="I242" i="6"/>
  <c r="H242" i="6"/>
  <c r="Z241" i="6"/>
  <c r="Y241" i="6"/>
  <c r="X241" i="6"/>
  <c r="W241" i="6"/>
  <c r="R241" i="6"/>
  <c r="N241" i="6"/>
  <c r="M241" i="6"/>
  <c r="I241" i="6"/>
  <c r="H241" i="6"/>
  <c r="Z240" i="6"/>
  <c r="Y240" i="6"/>
  <c r="X240" i="6"/>
  <c r="W240" i="6"/>
  <c r="R240" i="6"/>
  <c r="M240" i="6"/>
  <c r="N240" i="6"/>
  <c r="I240" i="6"/>
  <c r="H240" i="6"/>
  <c r="Z239" i="6"/>
  <c r="Y239" i="6"/>
  <c r="X239" i="6"/>
  <c r="W239" i="6"/>
  <c r="R239" i="6"/>
  <c r="M239" i="6"/>
  <c r="N239" i="6"/>
  <c r="I239" i="6"/>
  <c r="H239" i="6"/>
  <c r="Z238" i="6"/>
  <c r="Y238" i="6"/>
  <c r="X238" i="6"/>
  <c r="W238" i="6"/>
  <c r="R238" i="6"/>
  <c r="N238" i="6"/>
  <c r="M238" i="6"/>
  <c r="I238" i="6"/>
  <c r="H238" i="6"/>
  <c r="Z237" i="6"/>
  <c r="Y237" i="6"/>
  <c r="X237" i="6"/>
  <c r="W237" i="6"/>
  <c r="R237" i="6"/>
  <c r="M237" i="6"/>
  <c r="N237" i="6"/>
  <c r="I237" i="6"/>
  <c r="H237" i="6"/>
  <c r="Z236" i="6"/>
  <c r="Y236" i="6"/>
  <c r="X236" i="6"/>
  <c r="W236" i="6"/>
  <c r="R236" i="6"/>
  <c r="M236" i="6"/>
  <c r="N236" i="6"/>
  <c r="I236" i="6"/>
  <c r="H236" i="6"/>
  <c r="Z235" i="6"/>
  <c r="Y235" i="6"/>
  <c r="X235" i="6"/>
  <c r="W235" i="6"/>
  <c r="R235" i="6"/>
  <c r="M235" i="6"/>
  <c r="N235" i="6"/>
  <c r="I235" i="6"/>
  <c r="H235" i="6"/>
  <c r="Z234" i="6"/>
  <c r="Y234" i="6"/>
  <c r="X234" i="6"/>
  <c r="W234" i="6"/>
  <c r="R234" i="6"/>
  <c r="M234" i="6"/>
  <c r="N234" i="6"/>
  <c r="I234" i="6"/>
  <c r="H234" i="6"/>
  <c r="Z233" i="6"/>
  <c r="Y233" i="6"/>
  <c r="X233" i="6"/>
  <c r="W233" i="6"/>
  <c r="R233" i="6"/>
  <c r="M233" i="6"/>
  <c r="N233" i="6"/>
  <c r="I233" i="6"/>
  <c r="H233" i="6"/>
  <c r="Z232" i="6"/>
  <c r="Y232" i="6"/>
  <c r="X232" i="6"/>
  <c r="W232" i="6"/>
  <c r="R232" i="6"/>
  <c r="M232" i="6"/>
  <c r="N232" i="6"/>
  <c r="I232" i="6"/>
  <c r="H232" i="6"/>
  <c r="Z231" i="6"/>
  <c r="Y231" i="6"/>
  <c r="X231" i="6"/>
  <c r="W231" i="6"/>
  <c r="R231" i="6"/>
  <c r="M231" i="6"/>
  <c r="N231" i="6"/>
  <c r="I231" i="6"/>
  <c r="H231" i="6"/>
  <c r="Z230" i="6"/>
  <c r="Y230" i="6"/>
  <c r="X230" i="6"/>
  <c r="W230" i="6"/>
  <c r="R230" i="6"/>
  <c r="M230" i="6"/>
  <c r="N230" i="6"/>
  <c r="I230" i="6"/>
  <c r="H230" i="6"/>
  <c r="Z229" i="6"/>
  <c r="Y229" i="6"/>
  <c r="X229" i="6"/>
  <c r="W229" i="6"/>
  <c r="R229" i="6"/>
  <c r="M229" i="6"/>
  <c r="N229" i="6"/>
  <c r="I229" i="6"/>
  <c r="H229" i="6"/>
  <c r="Z228" i="6"/>
  <c r="Y228" i="6"/>
  <c r="X228" i="6"/>
  <c r="W228" i="6"/>
  <c r="R228" i="6"/>
  <c r="N228" i="6"/>
  <c r="M228" i="6"/>
  <c r="I228" i="6"/>
  <c r="H228" i="6"/>
  <c r="Z227" i="6"/>
  <c r="Y227" i="6"/>
  <c r="X227" i="6"/>
  <c r="W227" i="6"/>
  <c r="R227" i="6"/>
  <c r="M227" i="6"/>
  <c r="N227" i="6"/>
  <c r="I227" i="6"/>
  <c r="H227" i="6"/>
  <c r="Z226" i="6"/>
  <c r="Y226" i="6"/>
  <c r="X226" i="6"/>
  <c r="W226" i="6"/>
  <c r="R226" i="6"/>
  <c r="M226" i="6"/>
  <c r="N226" i="6"/>
  <c r="I226" i="6"/>
  <c r="H226" i="6"/>
  <c r="Z225" i="6"/>
  <c r="Y225" i="6"/>
  <c r="X225" i="6"/>
  <c r="W225" i="6"/>
  <c r="R225" i="6"/>
  <c r="M225" i="6"/>
  <c r="N225" i="6"/>
  <c r="I225" i="6"/>
  <c r="H225" i="6"/>
  <c r="Z224" i="6"/>
  <c r="Y224" i="6"/>
  <c r="X224" i="6"/>
  <c r="W224" i="6"/>
  <c r="R224" i="6"/>
  <c r="M224" i="6"/>
  <c r="N224" i="6"/>
  <c r="I224" i="6"/>
  <c r="H224" i="6"/>
  <c r="Z223" i="6"/>
  <c r="Y223" i="6"/>
  <c r="X223" i="6"/>
  <c r="W223" i="6"/>
  <c r="R223" i="6"/>
  <c r="M223" i="6"/>
  <c r="N223" i="6"/>
  <c r="I223" i="6"/>
  <c r="H223" i="6"/>
  <c r="Z222" i="6"/>
  <c r="Y222" i="6"/>
  <c r="X222" i="6"/>
  <c r="W222" i="6"/>
  <c r="R222" i="6"/>
  <c r="M222" i="6"/>
  <c r="N222" i="6"/>
  <c r="I222" i="6"/>
  <c r="H222" i="6"/>
  <c r="Z221" i="6"/>
  <c r="Y221" i="6"/>
  <c r="X221" i="6"/>
  <c r="W221" i="6"/>
  <c r="R221" i="6"/>
  <c r="N221" i="6"/>
  <c r="M221" i="6"/>
  <c r="I221" i="6"/>
  <c r="H221" i="6"/>
  <c r="Z220" i="6"/>
  <c r="Y220" i="6"/>
  <c r="X220" i="6"/>
  <c r="W220" i="6"/>
  <c r="R220" i="6"/>
  <c r="M220" i="6"/>
  <c r="N220" i="6"/>
  <c r="I220" i="6"/>
  <c r="H220" i="6"/>
  <c r="Z219" i="6"/>
  <c r="Y219" i="6"/>
  <c r="X219" i="6"/>
  <c r="W219" i="6"/>
  <c r="R219" i="6"/>
  <c r="M219" i="6"/>
  <c r="N219" i="6"/>
  <c r="I219" i="6"/>
  <c r="H219" i="6"/>
  <c r="Z218" i="6"/>
  <c r="Y218" i="6"/>
  <c r="X218" i="6"/>
  <c r="W218" i="6"/>
  <c r="R218" i="6"/>
  <c r="M218" i="6"/>
  <c r="N218" i="6"/>
  <c r="I218" i="6"/>
  <c r="H218" i="6"/>
  <c r="Z217" i="6"/>
  <c r="Y217" i="6"/>
  <c r="X217" i="6"/>
  <c r="W217" i="6"/>
  <c r="R217" i="6"/>
  <c r="N217" i="6"/>
  <c r="M217" i="6"/>
  <c r="I217" i="6"/>
  <c r="H217" i="6"/>
  <c r="Z216" i="6"/>
  <c r="Y216" i="6"/>
  <c r="X216" i="6"/>
  <c r="W216" i="6"/>
  <c r="R216" i="6"/>
  <c r="M216" i="6"/>
  <c r="N216" i="6"/>
  <c r="I216" i="6"/>
  <c r="H216" i="6"/>
  <c r="Z215" i="6"/>
  <c r="Y215" i="6"/>
  <c r="X215" i="6"/>
  <c r="W215" i="6"/>
  <c r="R215" i="6"/>
  <c r="M215" i="6"/>
  <c r="N215" i="6"/>
  <c r="I215" i="6"/>
  <c r="H215" i="6"/>
  <c r="Z214" i="6"/>
  <c r="Y214" i="6"/>
  <c r="X214" i="6"/>
  <c r="W214" i="6"/>
  <c r="R214" i="6"/>
  <c r="M214" i="6"/>
  <c r="N214" i="6"/>
  <c r="I214" i="6"/>
  <c r="H214" i="6"/>
  <c r="Z213" i="6"/>
  <c r="Y213" i="6"/>
  <c r="X213" i="6"/>
  <c r="W213" i="6"/>
  <c r="R213" i="6"/>
  <c r="N213" i="6"/>
  <c r="M213" i="6"/>
  <c r="I213" i="6"/>
  <c r="H213" i="6"/>
  <c r="Z212" i="6"/>
  <c r="Y212" i="6"/>
  <c r="X212" i="6"/>
  <c r="W212" i="6"/>
  <c r="R212" i="6"/>
  <c r="M212" i="6"/>
  <c r="N212" i="6"/>
  <c r="I212" i="6"/>
  <c r="H212" i="6"/>
  <c r="Z211" i="6"/>
  <c r="Y211" i="6"/>
  <c r="X211" i="6"/>
  <c r="W211" i="6"/>
  <c r="R211" i="6"/>
  <c r="M211" i="6"/>
  <c r="N211" i="6"/>
  <c r="I211" i="6"/>
  <c r="H211" i="6"/>
  <c r="Z210" i="6"/>
  <c r="Y210" i="6"/>
  <c r="X210" i="6"/>
  <c r="W210" i="6"/>
  <c r="R210" i="6"/>
  <c r="M210" i="6"/>
  <c r="N210" i="6"/>
  <c r="I210" i="6"/>
  <c r="H210" i="6"/>
  <c r="Z209" i="6"/>
  <c r="Y209" i="6"/>
  <c r="X209" i="6"/>
  <c r="W209" i="6"/>
  <c r="R209" i="6"/>
  <c r="M209" i="6"/>
  <c r="N209" i="6"/>
  <c r="I209" i="6"/>
  <c r="H209" i="6"/>
  <c r="Z208" i="6"/>
  <c r="Y208" i="6"/>
  <c r="X208" i="6"/>
  <c r="W208" i="6"/>
  <c r="R208" i="6"/>
  <c r="M208" i="6"/>
  <c r="N208" i="6"/>
  <c r="I208" i="6"/>
  <c r="H208" i="6"/>
  <c r="Z207" i="6"/>
  <c r="Y207" i="6"/>
  <c r="X207" i="6"/>
  <c r="W207" i="6"/>
  <c r="R207" i="6"/>
  <c r="M207" i="6"/>
  <c r="N207" i="6"/>
  <c r="I207" i="6"/>
  <c r="H207" i="6"/>
  <c r="Z206" i="6"/>
  <c r="Y206" i="6"/>
  <c r="X206" i="6"/>
  <c r="W206" i="6"/>
  <c r="R206" i="6"/>
  <c r="M206" i="6"/>
  <c r="N206" i="6"/>
  <c r="I206" i="6"/>
  <c r="H206" i="6"/>
  <c r="Z205" i="6"/>
  <c r="Y205" i="6"/>
  <c r="X205" i="6"/>
  <c r="W205" i="6"/>
  <c r="R205" i="6"/>
  <c r="N205" i="6"/>
  <c r="M205" i="6"/>
  <c r="I205" i="6"/>
  <c r="H205" i="6"/>
  <c r="Z204" i="6"/>
  <c r="Y204" i="6"/>
  <c r="X204" i="6"/>
  <c r="W204" i="6"/>
  <c r="R204" i="6"/>
  <c r="M204" i="6"/>
  <c r="N204" i="6"/>
  <c r="I204" i="6"/>
  <c r="H204" i="6"/>
  <c r="Z203" i="6"/>
  <c r="Y203" i="6"/>
  <c r="X203" i="6"/>
  <c r="W203" i="6"/>
  <c r="R203" i="6"/>
  <c r="M203" i="6"/>
  <c r="N203" i="6"/>
  <c r="I203" i="6"/>
  <c r="H203" i="6"/>
  <c r="Z202" i="6"/>
  <c r="Y202" i="6"/>
  <c r="X202" i="6"/>
  <c r="W202" i="6"/>
  <c r="R202" i="6"/>
  <c r="M202" i="6"/>
  <c r="N202" i="6"/>
  <c r="I202" i="6"/>
  <c r="H202" i="6"/>
  <c r="Z201" i="6"/>
  <c r="Y201" i="6"/>
  <c r="X201" i="6"/>
  <c r="W201" i="6"/>
  <c r="R201" i="6"/>
  <c r="M201" i="6"/>
  <c r="N201" i="6"/>
  <c r="I201" i="6"/>
  <c r="H201" i="6"/>
  <c r="Z200" i="6"/>
  <c r="Y200" i="6"/>
  <c r="X200" i="6"/>
  <c r="W200" i="6"/>
  <c r="R200" i="6"/>
  <c r="M200" i="6"/>
  <c r="N200" i="6"/>
  <c r="I200" i="6"/>
  <c r="H200" i="6"/>
  <c r="Z199" i="6"/>
  <c r="Y199" i="6"/>
  <c r="X199" i="6"/>
  <c r="W199" i="6"/>
  <c r="R199" i="6"/>
  <c r="N199" i="6"/>
  <c r="M199" i="6"/>
  <c r="I199" i="6"/>
  <c r="H199" i="6"/>
  <c r="Z198" i="6"/>
  <c r="Y198" i="6"/>
  <c r="X198" i="6"/>
  <c r="W198" i="6"/>
  <c r="R198" i="6"/>
  <c r="M198" i="6"/>
  <c r="N198" i="6"/>
  <c r="I198" i="6"/>
  <c r="H198" i="6"/>
  <c r="Z197" i="6"/>
  <c r="Y197" i="6"/>
  <c r="X197" i="6"/>
  <c r="W197" i="6"/>
  <c r="R197" i="6"/>
  <c r="M197" i="6"/>
  <c r="N197" i="6"/>
  <c r="I197" i="6"/>
  <c r="H197" i="6"/>
  <c r="Z196" i="6"/>
  <c r="Y196" i="6"/>
  <c r="X196" i="6"/>
  <c r="W196" i="6"/>
  <c r="R196" i="6"/>
  <c r="M196" i="6"/>
  <c r="N196" i="6"/>
  <c r="I196" i="6"/>
  <c r="H196" i="6"/>
  <c r="Z195" i="6"/>
  <c r="Y195" i="6"/>
  <c r="X195" i="6"/>
  <c r="W195" i="6"/>
  <c r="R195" i="6"/>
  <c r="N195" i="6"/>
  <c r="M195" i="6"/>
  <c r="I195" i="6"/>
  <c r="H195" i="6"/>
  <c r="Z194" i="6"/>
  <c r="Y194" i="6"/>
  <c r="X194" i="6"/>
  <c r="W194" i="6"/>
  <c r="R194" i="6"/>
  <c r="M194" i="6"/>
  <c r="N194" i="6"/>
  <c r="I194" i="6"/>
  <c r="H194" i="6"/>
  <c r="Z193" i="6"/>
  <c r="Y193" i="6"/>
  <c r="X193" i="6"/>
  <c r="W193" i="6"/>
  <c r="R193" i="6"/>
  <c r="M193" i="6"/>
  <c r="N193" i="6"/>
  <c r="I193" i="6"/>
  <c r="H193" i="6"/>
  <c r="Z192" i="6"/>
  <c r="Y192" i="6"/>
  <c r="X192" i="6"/>
  <c r="W192" i="6"/>
  <c r="R192" i="6"/>
  <c r="M192" i="6"/>
  <c r="N192" i="6"/>
  <c r="I192" i="6"/>
  <c r="H192" i="6"/>
  <c r="Z191" i="6"/>
  <c r="Y191" i="6"/>
  <c r="X191" i="6"/>
  <c r="W191" i="6"/>
  <c r="R191" i="6"/>
  <c r="M191" i="6"/>
  <c r="N191" i="6"/>
  <c r="I191" i="6"/>
  <c r="H191" i="6"/>
  <c r="Z190" i="6"/>
  <c r="Y190" i="6"/>
  <c r="X190" i="6"/>
  <c r="W190" i="6"/>
  <c r="R190" i="6"/>
  <c r="M190" i="6"/>
  <c r="N190" i="6"/>
  <c r="I190" i="6"/>
  <c r="H190" i="6"/>
  <c r="Z189" i="6"/>
  <c r="Y189" i="6"/>
  <c r="X189" i="6"/>
  <c r="W189" i="6"/>
  <c r="R189" i="6"/>
  <c r="N189" i="6"/>
  <c r="M189" i="6"/>
  <c r="I189" i="6"/>
  <c r="H189" i="6"/>
  <c r="Z188" i="6"/>
  <c r="Y188" i="6"/>
  <c r="X188" i="6"/>
  <c r="W188" i="6"/>
  <c r="R188" i="6"/>
  <c r="M188" i="6"/>
  <c r="N188" i="6"/>
  <c r="I188" i="6"/>
  <c r="H188" i="6"/>
  <c r="Z187" i="6"/>
  <c r="Y187" i="6"/>
  <c r="X187" i="6"/>
  <c r="W187" i="6"/>
  <c r="R187" i="6"/>
  <c r="M187" i="6"/>
  <c r="N187" i="6"/>
  <c r="I187" i="6"/>
  <c r="H187" i="6"/>
  <c r="Z186" i="6"/>
  <c r="Y186" i="6"/>
  <c r="X186" i="6"/>
  <c r="W186" i="6"/>
  <c r="R186" i="6"/>
  <c r="M186" i="6"/>
  <c r="N186" i="6"/>
  <c r="I186" i="6"/>
  <c r="H186" i="6"/>
  <c r="Z185" i="6"/>
  <c r="Y185" i="6"/>
  <c r="X185" i="6"/>
  <c r="W185" i="6"/>
  <c r="R185" i="6"/>
  <c r="M185" i="6"/>
  <c r="N185" i="6"/>
  <c r="I185" i="6"/>
  <c r="H185" i="6"/>
  <c r="Z184" i="6"/>
  <c r="Y184" i="6"/>
  <c r="X184" i="6"/>
  <c r="W184" i="6"/>
  <c r="R184" i="6"/>
  <c r="M184" i="6"/>
  <c r="N184" i="6"/>
  <c r="I184" i="6"/>
  <c r="H184" i="6"/>
  <c r="Z183" i="6"/>
  <c r="Y183" i="6"/>
  <c r="X183" i="6"/>
  <c r="W183" i="6"/>
  <c r="R183" i="6"/>
  <c r="M183" i="6"/>
  <c r="N183" i="6"/>
  <c r="I183" i="6"/>
  <c r="H183" i="6"/>
  <c r="Z182" i="6"/>
  <c r="Y182" i="6"/>
  <c r="X182" i="6"/>
  <c r="W182" i="6"/>
  <c r="R182" i="6"/>
  <c r="M182" i="6"/>
  <c r="N182" i="6"/>
  <c r="I182" i="6"/>
  <c r="H182" i="6"/>
  <c r="Z181" i="6"/>
  <c r="Y181" i="6"/>
  <c r="X181" i="6"/>
  <c r="W181" i="6"/>
  <c r="R181" i="6"/>
  <c r="N181" i="6"/>
  <c r="M181" i="6"/>
  <c r="I181" i="6"/>
  <c r="H181" i="6"/>
  <c r="Z180" i="6"/>
  <c r="Y180" i="6"/>
  <c r="X180" i="6"/>
  <c r="W180" i="6"/>
  <c r="R180" i="6"/>
  <c r="M180" i="6"/>
  <c r="N180" i="6"/>
  <c r="I180" i="6"/>
  <c r="H180" i="6"/>
  <c r="Z179" i="6"/>
  <c r="Y179" i="6"/>
  <c r="X179" i="6"/>
  <c r="W179" i="6"/>
  <c r="R179" i="6"/>
  <c r="M179" i="6"/>
  <c r="N179" i="6"/>
  <c r="I179" i="6"/>
  <c r="H179" i="6"/>
  <c r="Z178" i="6"/>
  <c r="Y178" i="6"/>
  <c r="X178" i="6"/>
  <c r="W178" i="6"/>
  <c r="R178" i="6"/>
  <c r="M178" i="6"/>
  <c r="N178" i="6"/>
  <c r="I178" i="6"/>
  <c r="H178" i="6"/>
  <c r="Z177" i="6"/>
  <c r="Y177" i="6"/>
  <c r="X177" i="6"/>
  <c r="W177" i="6"/>
  <c r="R177" i="6"/>
  <c r="M177" i="6"/>
  <c r="N177" i="6"/>
  <c r="I177" i="6"/>
  <c r="H177" i="6"/>
  <c r="Z176" i="6"/>
  <c r="Y176" i="6"/>
  <c r="X176" i="6"/>
  <c r="W176" i="6"/>
  <c r="R176" i="6"/>
  <c r="M176" i="6"/>
  <c r="N176" i="6"/>
  <c r="I176" i="6"/>
  <c r="H176" i="6"/>
  <c r="Z175" i="6"/>
  <c r="Y175" i="6"/>
  <c r="X175" i="6"/>
  <c r="W175" i="6"/>
  <c r="R175" i="6"/>
  <c r="M175" i="6"/>
  <c r="N175" i="6"/>
  <c r="I175" i="6"/>
  <c r="H175" i="6"/>
  <c r="Z174" i="6"/>
  <c r="Y174" i="6"/>
  <c r="X174" i="6"/>
  <c r="W174" i="6"/>
  <c r="R174" i="6"/>
  <c r="M174" i="6"/>
  <c r="N174" i="6"/>
  <c r="I174" i="6"/>
  <c r="H174" i="6"/>
  <c r="Z173" i="6"/>
  <c r="Y173" i="6"/>
  <c r="X173" i="6"/>
  <c r="W173" i="6"/>
  <c r="R173" i="6"/>
  <c r="M173" i="6"/>
  <c r="N173" i="6"/>
  <c r="I173" i="6"/>
  <c r="H173" i="6"/>
  <c r="Z172" i="6"/>
  <c r="Y172" i="6"/>
  <c r="X172" i="6"/>
  <c r="W172" i="6"/>
  <c r="R172" i="6"/>
  <c r="M172" i="6"/>
  <c r="N172" i="6"/>
  <c r="I172" i="6"/>
  <c r="H172" i="6"/>
  <c r="Z171" i="6"/>
  <c r="Y171" i="6"/>
  <c r="X171" i="6"/>
  <c r="W171" i="6"/>
  <c r="R171" i="6"/>
  <c r="N171" i="6"/>
  <c r="M171" i="6"/>
  <c r="I171" i="6"/>
  <c r="H171" i="6"/>
  <c r="Z170" i="6"/>
  <c r="Y170" i="6"/>
  <c r="X170" i="6"/>
  <c r="W170" i="6"/>
  <c r="R170" i="6"/>
  <c r="M170" i="6"/>
  <c r="N170" i="6"/>
  <c r="I170" i="6"/>
  <c r="H170" i="6"/>
  <c r="Z169" i="6"/>
  <c r="Y169" i="6"/>
  <c r="X169" i="6"/>
  <c r="W169" i="6"/>
  <c r="R169" i="6"/>
  <c r="M169" i="6"/>
  <c r="N169" i="6"/>
  <c r="I169" i="6"/>
  <c r="H169" i="6"/>
  <c r="Z168" i="6"/>
  <c r="Y168" i="6"/>
  <c r="X168" i="6"/>
  <c r="W168" i="6"/>
  <c r="R168" i="6"/>
  <c r="M168" i="6"/>
  <c r="N168" i="6"/>
  <c r="I168" i="6"/>
  <c r="H168" i="6"/>
  <c r="Z167" i="6"/>
  <c r="Y167" i="6"/>
  <c r="X167" i="6"/>
  <c r="W167" i="6"/>
  <c r="R167" i="6"/>
  <c r="M167" i="6"/>
  <c r="N167" i="6"/>
  <c r="I167" i="6"/>
  <c r="H167" i="6"/>
  <c r="Z166" i="6"/>
  <c r="Y166" i="6"/>
  <c r="X166" i="6"/>
  <c r="W166" i="6"/>
  <c r="R166" i="6"/>
  <c r="M166" i="6"/>
  <c r="N166" i="6"/>
  <c r="I166" i="6"/>
  <c r="H166" i="6"/>
  <c r="Z165" i="6"/>
  <c r="Y165" i="6"/>
  <c r="X165" i="6"/>
  <c r="W165" i="6"/>
  <c r="R165" i="6"/>
  <c r="M165" i="6"/>
  <c r="N165" i="6"/>
  <c r="I165" i="6"/>
  <c r="H165" i="6"/>
  <c r="Z164" i="6"/>
  <c r="Y164" i="6"/>
  <c r="X164" i="6"/>
  <c r="W164" i="6"/>
  <c r="R164" i="6"/>
  <c r="N164" i="6"/>
  <c r="M164" i="6"/>
  <c r="I164" i="6"/>
  <c r="H164" i="6"/>
  <c r="Z163" i="6"/>
  <c r="Y163" i="6"/>
  <c r="X163" i="6"/>
  <c r="W163" i="6"/>
  <c r="R163" i="6"/>
  <c r="N163" i="6"/>
  <c r="M163" i="6"/>
  <c r="I163" i="6"/>
  <c r="H163" i="6"/>
  <c r="Z162" i="6"/>
  <c r="Y162" i="6"/>
  <c r="X162" i="6"/>
  <c r="W162" i="6"/>
  <c r="R162" i="6"/>
  <c r="M162" i="6"/>
  <c r="N162" i="6"/>
  <c r="I162" i="6"/>
  <c r="H162" i="6"/>
  <c r="Z161" i="6"/>
  <c r="Y161" i="6"/>
  <c r="X161" i="6"/>
  <c r="W161" i="6"/>
  <c r="R161" i="6"/>
  <c r="M161" i="6"/>
  <c r="N161" i="6"/>
  <c r="I161" i="6"/>
  <c r="H161" i="6"/>
  <c r="Z160" i="6"/>
  <c r="Y160" i="6"/>
  <c r="X160" i="6"/>
  <c r="W160" i="6"/>
  <c r="R160" i="6"/>
  <c r="M160" i="6"/>
  <c r="N160" i="6"/>
  <c r="I160" i="6"/>
  <c r="H160" i="6"/>
  <c r="Z159" i="6"/>
  <c r="Y159" i="6"/>
  <c r="X159" i="6"/>
  <c r="W159" i="6"/>
  <c r="R159" i="6"/>
  <c r="M159" i="6"/>
  <c r="N159" i="6"/>
  <c r="I159" i="6"/>
  <c r="H159" i="6"/>
  <c r="Z158" i="6"/>
  <c r="Y158" i="6"/>
  <c r="X158" i="6"/>
  <c r="W158" i="6"/>
  <c r="R158" i="6"/>
  <c r="M158" i="6"/>
  <c r="N158" i="6"/>
  <c r="I158" i="6"/>
  <c r="H158" i="6"/>
  <c r="Z157" i="6"/>
  <c r="Y157" i="6"/>
  <c r="X157" i="6"/>
  <c r="W157" i="6"/>
  <c r="R157" i="6"/>
  <c r="N157" i="6"/>
  <c r="M157" i="6"/>
  <c r="I157" i="6"/>
  <c r="H157" i="6"/>
  <c r="Z156" i="6"/>
  <c r="Y156" i="6"/>
  <c r="X156" i="6"/>
  <c r="W156" i="6"/>
  <c r="R156" i="6"/>
  <c r="M156" i="6"/>
  <c r="N156" i="6"/>
  <c r="I156" i="6"/>
  <c r="H156" i="6"/>
  <c r="Z155" i="6"/>
  <c r="Y155" i="6"/>
  <c r="X155" i="6"/>
  <c r="W155" i="6"/>
  <c r="R155" i="6"/>
  <c r="M155" i="6"/>
  <c r="N155" i="6"/>
  <c r="I155" i="6"/>
  <c r="H155" i="6"/>
  <c r="Z154" i="6"/>
  <c r="Y154" i="6"/>
  <c r="X154" i="6"/>
  <c r="W154" i="6"/>
  <c r="R154" i="6"/>
  <c r="M154" i="6"/>
  <c r="N154" i="6"/>
  <c r="I154" i="6"/>
  <c r="H154" i="6"/>
  <c r="Z153" i="6"/>
  <c r="Y153" i="6"/>
  <c r="X153" i="6"/>
  <c r="W153" i="6"/>
  <c r="R153" i="6"/>
  <c r="M153" i="6"/>
  <c r="N153" i="6"/>
  <c r="I153" i="6"/>
  <c r="H153" i="6"/>
  <c r="Z152" i="6"/>
  <c r="Y152" i="6"/>
  <c r="X152" i="6"/>
  <c r="W152" i="6"/>
  <c r="R152" i="6"/>
  <c r="M152" i="6"/>
  <c r="N152" i="6"/>
  <c r="I152" i="6"/>
  <c r="H152" i="6"/>
  <c r="Z151" i="6"/>
  <c r="Y151" i="6"/>
  <c r="X151" i="6"/>
  <c r="W151" i="6"/>
  <c r="R151" i="6"/>
  <c r="M151" i="6"/>
  <c r="N151" i="6"/>
  <c r="I151" i="6"/>
  <c r="H151" i="6"/>
  <c r="Z150" i="6"/>
  <c r="Y150" i="6"/>
  <c r="X150" i="6"/>
  <c r="W150" i="6"/>
  <c r="R150" i="6"/>
  <c r="M150" i="6"/>
  <c r="N150" i="6"/>
  <c r="I150" i="6"/>
  <c r="H150" i="6"/>
  <c r="Z149" i="6"/>
  <c r="Y149" i="6"/>
  <c r="X149" i="6"/>
  <c r="W149" i="6"/>
  <c r="R149" i="6"/>
  <c r="N149" i="6"/>
  <c r="M149" i="6"/>
  <c r="I149" i="6"/>
  <c r="H149" i="6"/>
  <c r="Z148" i="6"/>
  <c r="Y148" i="6"/>
  <c r="X148" i="6"/>
  <c r="W148" i="6"/>
  <c r="R148" i="6"/>
  <c r="M148" i="6"/>
  <c r="N148" i="6"/>
  <c r="I148" i="6"/>
  <c r="H148" i="6"/>
  <c r="Z147" i="6"/>
  <c r="Y147" i="6"/>
  <c r="X147" i="6"/>
  <c r="W147" i="6"/>
  <c r="R147" i="6"/>
  <c r="M147" i="6"/>
  <c r="N147" i="6"/>
  <c r="I147" i="6"/>
  <c r="H147" i="6"/>
  <c r="Z146" i="6"/>
  <c r="Y146" i="6"/>
  <c r="X146" i="6"/>
  <c r="W146" i="6"/>
  <c r="R146" i="6"/>
  <c r="M146" i="6"/>
  <c r="N146" i="6"/>
  <c r="I146" i="6"/>
  <c r="H146" i="6"/>
  <c r="Z145" i="6"/>
  <c r="Y145" i="6"/>
  <c r="X145" i="6"/>
  <c r="W145" i="6"/>
  <c r="R145" i="6"/>
  <c r="N145" i="6"/>
  <c r="M145" i="6"/>
  <c r="I145" i="6"/>
  <c r="H145" i="6"/>
  <c r="Z144" i="6"/>
  <c r="Y144" i="6"/>
  <c r="X144" i="6"/>
  <c r="W144" i="6"/>
  <c r="R144" i="6"/>
  <c r="M144" i="6"/>
  <c r="N144" i="6"/>
  <c r="I144" i="6"/>
  <c r="H144" i="6"/>
  <c r="Z143" i="6"/>
  <c r="Y143" i="6"/>
  <c r="X143" i="6"/>
  <c r="W143" i="6"/>
  <c r="R143" i="6"/>
  <c r="M143" i="6"/>
  <c r="N143" i="6"/>
  <c r="I143" i="6"/>
  <c r="H143" i="6"/>
  <c r="Z142" i="6"/>
  <c r="Y142" i="6"/>
  <c r="X142" i="6"/>
  <c r="W142" i="6"/>
  <c r="R142" i="6"/>
  <c r="M142" i="6"/>
  <c r="N142" i="6"/>
  <c r="I142" i="6"/>
  <c r="H142" i="6"/>
  <c r="Z141" i="6"/>
  <c r="Y141" i="6"/>
  <c r="X141" i="6"/>
  <c r="W141" i="6"/>
  <c r="R141" i="6"/>
  <c r="M141" i="6"/>
  <c r="N141" i="6"/>
  <c r="I141" i="6"/>
  <c r="H141" i="6"/>
  <c r="Z140" i="6"/>
  <c r="Y140" i="6"/>
  <c r="X140" i="6"/>
  <c r="W140" i="6"/>
  <c r="R140" i="6"/>
  <c r="M140" i="6"/>
  <c r="N140" i="6"/>
  <c r="I140" i="6"/>
  <c r="H140" i="6"/>
  <c r="Z139" i="6"/>
  <c r="Y139" i="6"/>
  <c r="X139" i="6"/>
  <c r="W139" i="6"/>
  <c r="R139" i="6"/>
  <c r="M139" i="6"/>
  <c r="N139" i="6"/>
  <c r="I139" i="6"/>
  <c r="H139" i="6"/>
  <c r="Z138" i="6"/>
  <c r="Y138" i="6"/>
  <c r="X138" i="6"/>
  <c r="W138" i="6"/>
  <c r="R138" i="6"/>
  <c r="M138" i="6"/>
  <c r="N138" i="6"/>
  <c r="I138" i="6"/>
  <c r="H138" i="6"/>
  <c r="Z137" i="6"/>
  <c r="Y137" i="6"/>
  <c r="X137" i="6"/>
  <c r="W137" i="6"/>
  <c r="R137" i="6"/>
  <c r="M137" i="6"/>
  <c r="N137" i="6"/>
  <c r="I137" i="6"/>
  <c r="H137" i="6"/>
  <c r="Z136" i="6"/>
  <c r="Y136" i="6"/>
  <c r="X136" i="6"/>
  <c r="W136" i="6"/>
  <c r="R136" i="6"/>
  <c r="M136" i="6"/>
  <c r="N136" i="6"/>
  <c r="I136" i="6"/>
  <c r="H136" i="6"/>
  <c r="Z135" i="6"/>
  <c r="Y135" i="6"/>
  <c r="X135" i="6"/>
  <c r="W135" i="6"/>
  <c r="R135" i="6"/>
  <c r="M135" i="6"/>
  <c r="N135" i="6"/>
  <c r="I135" i="6"/>
  <c r="H135" i="6"/>
  <c r="Z134" i="6"/>
  <c r="Y134" i="6"/>
  <c r="X134" i="6"/>
  <c r="W134" i="6"/>
  <c r="R134" i="6"/>
  <c r="M134" i="6"/>
  <c r="N134" i="6"/>
  <c r="I134" i="6"/>
  <c r="H134" i="6"/>
  <c r="Z133" i="6"/>
  <c r="Y133" i="6"/>
  <c r="X133" i="6"/>
  <c r="W133" i="6"/>
  <c r="R133" i="6"/>
  <c r="N133" i="6"/>
  <c r="M133" i="6"/>
  <c r="I133" i="6"/>
  <c r="H133" i="6"/>
  <c r="Z132" i="6"/>
  <c r="Y132" i="6"/>
  <c r="X132" i="6"/>
  <c r="W132" i="6"/>
  <c r="R132" i="6"/>
  <c r="M132" i="6"/>
  <c r="N132" i="6"/>
  <c r="I132" i="6"/>
  <c r="H132" i="6"/>
  <c r="Z131" i="6"/>
  <c r="Y131" i="6"/>
  <c r="X131" i="6"/>
  <c r="W131" i="6"/>
  <c r="R131" i="6"/>
  <c r="M131" i="6"/>
  <c r="N131" i="6"/>
  <c r="I131" i="6"/>
  <c r="H131" i="6"/>
  <c r="Z130" i="6"/>
  <c r="Y130" i="6"/>
  <c r="X130" i="6"/>
  <c r="W130" i="6"/>
  <c r="R130" i="6"/>
  <c r="M130" i="6"/>
  <c r="N130" i="6"/>
  <c r="I130" i="6"/>
  <c r="H130" i="6"/>
  <c r="Z129" i="6"/>
  <c r="Y129" i="6"/>
  <c r="X129" i="6"/>
  <c r="W129" i="6"/>
  <c r="R129" i="6"/>
  <c r="N129" i="6"/>
  <c r="M129" i="6"/>
  <c r="I129" i="6"/>
  <c r="H129" i="6"/>
  <c r="Z128" i="6"/>
  <c r="Y128" i="6"/>
  <c r="X128" i="6"/>
  <c r="W128" i="6"/>
  <c r="R128" i="6"/>
  <c r="M128" i="6"/>
  <c r="N128" i="6"/>
  <c r="I128" i="6"/>
  <c r="H128" i="6"/>
  <c r="Z127" i="6"/>
  <c r="Y127" i="6"/>
  <c r="X127" i="6"/>
  <c r="W127" i="6"/>
  <c r="R127" i="6"/>
  <c r="M127" i="6"/>
  <c r="N127" i="6"/>
  <c r="I127" i="6"/>
  <c r="H127" i="6"/>
  <c r="Z126" i="6"/>
  <c r="Y126" i="6"/>
  <c r="X126" i="6"/>
  <c r="W126" i="6"/>
  <c r="R126" i="6"/>
  <c r="M126" i="6"/>
  <c r="N126" i="6"/>
  <c r="I126" i="6"/>
  <c r="H126" i="6"/>
  <c r="Z125" i="6"/>
  <c r="Y125" i="6"/>
  <c r="X125" i="6"/>
  <c r="W125" i="6"/>
  <c r="R125" i="6"/>
  <c r="M125" i="6"/>
  <c r="N125" i="6"/>
  <c r="I125" i="6"/>
  <c r="H125" i="6"/>
  <c r="Z124" i="6"/>
  <c r="Y124" i="6"/>
  <c r="X124" i="6"/>
  <c r="W124" i="6"/>
  <c r="R124" i="6"/>
  <c r="M124" i="6"/>
  <c r="N124" i="6"/>
  <c r="I124" i="6"/>
  <c r="H124" i="6"/>
  <c r="Z123" i="6"/>
  <c r="Y123" i="6"/>
  <c r="X123" i="6"/>
  <c r="W123" i="6"/>
  <c r="R123" i="6"/>
  <c r="M123" i="6"/>
  <c r="N123" i="6"/>
  <c r="I123" i="6"/>
  <c r="H123" i="6"/>
  <c r="Z122" i="6"/>
  <c r="Y122" i="6"/>
  <c r="X122" i="6"/>
  <c r="W122" i="6"/>
  <c r="R122" i="6"/>
  <c r="M122" i="6"/>
  <c r="N122" i="6"/>
  <c r="I122" i="6"/>
  <c r="H122" i="6"/>
  <c r="Z121" i="6"/>
  <c r="Y121" i="6"/>
  <c r="X121" i="6"/>
  <c r="W121" i="6"/>
  <c r="R121" i="6"/>
  <c r="M121" i="6"/>
  <c r="N121" i="6"/>
  <c r="I121" i="6"/>
  <c r="H121" i="6"/>
  <c r="Z120" i="6"/>
  <c r="Y120" i="6"/>
  <c r="X120" i="6"/>
  <c r="W120" i="6"/>
  <c r="R120" i="6"/>
  <c r="N120" i="6"/>
  <c r="M120" i="6"/>
  <c r="I120" i="6"/>
  <c r="H120" i="6"/>
  <c r="Z119" i="6"/>
  <c r="Y119" i="6"/>
  <c r="X119" i="6"/>
  <c r="W119" i="6"/>
  <c r="R119" i="6"/>
  <c r="M119" i="6"/>
  <c r="N119" i="6"/>
  <c r="I119" i="6"/>
  <c r="H119" i="6"/>
  <c r="Z118" i="6"/>
  <c r="Y118" i="6"/>
  <c r="X118" i="6"/>
  <c r="W118" i="6"/>
  <c r="R118" i="6"/>
  <c r="N118" i="6"/>
  <c r="M118" i="6"/>
  <c r="I118" i="6"/>
  <c r="H118" i="6"/>
  <c r="Z117" i="6"/>
  <c r="Y117" i="6"/>
  <c r="X117" i="6"/>
  <c r="W117" i="6"/>
  <c r="R117" i="6"/>
  <c r="N117" i="6"/>
  <c r="M117" i="6"/>
  <c r="I117" i="6"/>
  <c r="H117" i="6"/>
  <c r="Z116" i="6"/>
  <c r="Y116" i="6"/>
  <c r="X116" i="6"/>
  <c r="W116" i="6"/>
  <c r="R116" i="6"/>
  <c r="M116" i="6"/>
  <c r="N116" i="6"/>
  <c r="I116" i="6"/>
  <c r="H116" i="6"/>
  <c r="Z115" i="6"/>
  <c r="Y115" i="6"/>
  <c r="X115" i="6"/>
  <c r="W115" i="6"/>
  <c r="R115" i="6"/>
  <c r="M115" i="6"/>
  <c r="N115" i="6"/>
  <c r="I115" i="6"/>
  <c r="H115" i="6"/>
  <c r="Z114" i="6"/>
  <c r="Y114" i="6"/>
  <c r="X114" i="6"/>
  <c r="W114" i="6"/>
  <c r="R114" i="6"/>
  <c r="M114" i="6"/>
  <c r="N114" i="6"/>
  <c r="I114" i="6"/>
  <c r="H114" i="6"/>
  <c r="Z113" i="6"/>
  <c r="Y113" i="6"/>
  <c r="X113" i="6"/>
  <c r="W113" i="6"/>
  <c r="R113" i="6"/>
  <c r="N113" i="6"/>
  <c r="M113" i="6"/>
  <c r="I113" i="6"/>
  <c r="H113" i="6"/>
  <c r="Z112" i="6"/>
  <c r="Y112" i="6"/>
  <c r="X112" i="6"/>
  <c r="W112" i="6"/>
  <c r="R112" i="6"/>
  <c r="M112" i="6"/>
  <c r="N112" i="6"/>
  <c r="I112" i="6"/>
  <c r="H112" i="6"/>
  <c r="Z111" i="6"/>
  <c r="Y111" i="6"/>
  <c r="X111" i="6"/>
  <c r="W111" i="6"/>
  <c r="R111" i="6"/>
  <c r="M111" i="6"/>
  <c r="N111" i="6"/>
  <c r="I111" i="6"/>
  <c r="H111" i="6"/>
  <c r="Z110" i="6"/>
  <c r="Y110" i="6"/>
  <c r="X110" i="6"/>
  <c r="W110" i="6"/>
  <c r="R110" i="6"/>
  <c r="M110" i="6"/>
  <c r="N110" i="6"/>
  <c r="I110" i="6"/>
  <c r="H110" i="6"/>
  <c r="Z109" i="6"/>
  <c r="Y109" i="6"/>
  <c r="X109" i="6"/>
  <c r="W109" i="6"/>
  <c r="R109" i="6"/>
  <c r="N109" i="6"/>
  <c r="M109" i="6"/>
  <c r="I109" i="6"/>
  <c r="H109" i="6"/>
  <c r="Z108" i="6"/>
  <c r="Y108" i="6"/>
  <c r="X108" i="6"/>
  <c r="W108" i="6"/>
  <c r="R108" i="6"/>
  <c r="M108" i="6"/>
  <c r="N108" i="6"/>
  <c r="I108" i="6"/>
  <c r="H108" i="6"/>
  <c r="Z107" i="6"/>
  <c r="Y107" i="6"/>
  <c r="X107" i="6"/>
  <c r="W107" i="6"/>
  <c r="R107" i="6"/>
  <c r="M107" i="6"/>
  <c r="N107" i="6"/>
  <c r="I107" i="6"/>
  <c r="H107" i="6"/>
  <c r="Z106" i="6"/>
  <c r="Y106" i="6"/>
  <c r="X106" i="6"/>
  <c r="W106" i="6"/>
  <c r="R106" i="6"/>
  <c r="M106" i="6"/>
  <c r="N106" i="6"/>
  <c r="I106" i="6"/>
  <c r="H106" i="6"/>
  <c r="Z105" i="6"/>
  <c r="Y105" i="6"/>
  <c r="X105" i="6"/>
  <c r="W105" i="6"/>
  <c r="R105" i="6"/>
  <c r="M105" i="6"/>
  <c r="N105" i="6"/>
  <c r="I105" i="6"/>
  <c r="H105" i="6"/>
  <c r="Z104" i="6"/>
  <c r="Y104" i="6"/>
  <c r="X104" i="6"/>
  <c r="W104" i="6"/>
  <c r="R104" i="6"/>
  <c r="M104" i="6"/>
  <c r="N104" i="6"/>
  <c r="I104" i="6"/>
  <c r="H104" i="6"/>
  <c r="Z103" i="6"/>
  <c r="Y103" i="6"/>
  <c r="X103" i="6"/>
  <c r="W103" i="6"/>
  <c r="R103" i="6"/>
  <c r="M103" i="6"/>
  <c r="N103" i="6"/>
  <c r="I103" i="6"/>
  <c r="H103" i="6"/>
  <c r="Z102" i="6"/>
  <c r="Y102" i="6"/>
  <c r="X102" i="6"/>
  <c r="W102" i="6"/>
  <c r="R102" i="6"/>
  <c r="M102" i="6"/>
  <c r="N102" i="6"/>
  <c r="I102" i="6"/>
  <c r="H102" i="6"/>
  <c r="Z101" i="6"/>
  <c r="Y101" i="6"/>
  <c r="X101" i="6"/>
  <c r="W101" i="6"/>
  <c r="R101" i="6"/>
  <c r="M101" i="6"/>
  <c r="N101" i="6"/>
  <c r="I101" i="6"/>
  <c r="H101" i="6"/>
  <c r="Z100" i="6"/>
  <c r="Y100" i="6"/>
  <c r="X100" i="6"/>
  <c r="W100" i="6"/>
  <c r="R100" i="6"/>
  <c r="M100" i="6"/>
  <c r="N100" i="6"/>
  <c r="I100" i="6"/>
  <c r="H100" i="6"/>
  <c r="Z99" i="6"/>
  <c r="Y99" i="6"/>
  <c r="X99" i="6"/>
  <c r="W99" i="6"/>
  <c r="R99" i="6"/>
  <c r="M99" i="6"/>
  <c r="N99" i="6"/>
  <c r="I99" i="6"/>
  <c r="H99" i="6"/>
  <c r="Z98" i="6"/>
  <c r="Y98" i="6"/>
  <c r="X98" i="6"/>
  <c r="W98" i="6"/>
  <c r="R98" i="6"/>
  <c r="M98" i="6"/>
  <c r="N98" i="6"/>
  <c r="I98" i="6"/>
  <c r="H98" i="6"/>
  <c r="Z97" i="6"/>
  <c r="Y97" i="6"/>
  <c r="X97" i="6"/>
  <c r="W97" i="6"/>
  <c r="R97" i="6"/>
  <c r="M97" i="6"/>
  <c r="N97" i="6"/>
  <c r="I97" i="6"/>
  <c r="H97" i="6"/>
  <c r="Z96" i="6"/>
  <c r="Y96" i="6"/>
  <c r="X96" i="6"/>
  <c r="W96" i="6"/>
  <c r="R96" i="6"/>
  <c r="M96" i="6"/>
  <c r="N96" i="6"/>
  <c r="I96" i="6"/>
  <c r="H96" i="6"/>
  <c r="Z95" i="6"/>
  <c r="Y95" i="6"/>
  <c r="X95" i="6"/>
  <c r="W95" i="6"/>
  <c r="R95" i="6"/>
  <c r="M95" i="6"/>
  <c r="N95" i="6"/>
  <c r="I95" i="6"/>
  <c r="H95" i="6"/>
  <c r="Z94" i="6"/>
  <c r="Y94" i="6"/>
  <c r="X94" i="6"/>
  <c r="W94" i="6"/>
  <c r="R94" i="6"/>
  <c r="M94" i="6"/>
  <c r="N94" i="6"/>
  <c r="I94" i="6"/>
  <c r="H94" i="6"/>
  <c r="Z93" i="6"/>
  <c r="Y93" i="6"/>
  <c r="X93" i="6"/>
  <c r="W93" i="6"/>
  <c r="R93" i="6"/>
  <c r="M93" i="6"/>
  <c r="N93" i="6"/>
  <c r="I93" i="6"/>
  <c r="H93" i="6"/>
  <c r="Z92" i="6"/>
  <c r="Y92" i="6"/>
  <c r="X92" i="6"/>
  <c r="W92" i="6"/>
  <c r="R92" i="6"/>
  <c r="M92" i="6"/>
  <c r="N92" i="6"/>
  <c r="I92" i="6"/>
  <c r="H92" i="6"/>
  <c r="Z91" i="6"/>
  <c r="Y91" i="6"/>
  <c r="X91" i="6"/>
  <c r="W91" i="6"/>
  <c r="R91" i="6"/>
  <c r="M91" i="6"/>
  <c r="N91" i="6"/>
  <c r="I91" i="6"/>
  <c r="H91" i="6"/>
  <c r="Z90" i="6"/>
  <c r="Y90" i="6"/>
  <c r="X90" i="6"/>
  <c r="W90" i="6"/>
  <c r="R90" i="6"/>
  <c r="N90" i="6"/>
  <c r="M90" i="6"/>
  <c r="I90" i="6"/>
  <c r="H90" i="6"/>
  <c r="Z89" i="6"/>
  <c r="Y89" i="6"/>
  <c r="X89" i="6"/>
  <c r="W89" i="6"/>
  <c r="R89" i="6"/>
  <c r="M89" i="6"/>
  <c r="N89" i="6"/>
  <c r="I89" i="6"/>
  <c r="H89" i="6"/>
  <c r="Z88" i="6"/>
  <c r="Y88" i="6"/>
  <c r="X88" i="6"/>
  <c r="W88" i="6"/>
  <c r="R88" i="6"/>
  <c r="M88" i="6"/>
  <c r="N88" i="6"/>
  <c r="I88" i="6"/>
  <c r="H88" i="6"/>
  <c r="Z87" i="6"/>
  <c r="Y87" i="6"/>
  <c r="X87" i="6"/>
  <c r="W87" i="6"/>
  <c r="R87" i="6"/>
  <c r="M87" i="6"/>
  <c r="N87" i="6"/>
  <c r="I87" i="6"/>
  <c r="H87" i="6"/>
  <c r="Z86" i="6"/>
  <c r="Y86" i="6"/>
  <c r="X86" i="6"/>
  <c r="W86" i="6"/>
  <c r="R86" i="6"/>
  <c r="M86" i="6"/>
  <c r="N86" i="6"/>
  <c r="I86" i="6"/>
  <c r="H86" i="6"/>
  <c r="Z85" i="6"/>
  <c r="Y85" i="6"/>
  <c r="X85" i="6"/>
  <c r="W85" i="6"/>
  <c r="R85" i="6"/>
  <c r="M85" i="6"/>
  <c r="N85" i="6"/>
  <c r="I85" i="6"/>
  <c r="H85" i="6"/>
  <c r="Z84" i="6"/>
  <c r="Y84" i="6"/>
  <c r="X84" i="6"/>
  <c r="W84" i="6"/>
  <c r="R84" i="6"/>
  <c r="N84" i="6"/>
  <c r="M84" i="6"/>
  <c r="I84" i="6"/>
  <c r="H84" i="6"/>
  <c r="Z83" i="6"/>
  <c r="Y83" i="6"/>
  <c r="X83" i="6"/>
  <c r="W83" i="6"/>
  <c r="R83" i="6"/>
  <c r="N83" i="6"/>
  <c r="M83" i="6"/>
  <c r="I83" i="6"/>
  <c r="H83" i="6"/>
  <c r="Z82" i="6"/>
  <c r="Y82" i="6"/>
  <c r="X82" i="6"/>
  <c r="W82" i="6"/>
  <c r="R82" i="6"/>
  <c r="M82" i="6"/>
  <c r="N82" i="6"/>
  <c r="I82" i="6"/>
  <c r="H82" i="6"/>
  <c r="Z81" i="6"/>
  <c r="Y81" i="6"/>
  <c r="X81" i="6"/>
  <c r="W81" i="6"/>
  <c r="R81" i="6"/>
  <c r="M81" i="6"/>
  <c r="N81" i="6"/>
  <c r="I81" i="6"/>
  <c r="H81" i="6"/>
  <c r="Z80" i="6"/>
  <c r="Y80" i="6"/>
  <c r="X80" i="6"/>
  <c r="W80" i="6"/>
  <c r="R80" i="6"/>
  <c r="M80" i="6"/>
  <c r="N80" i="6"/>
  <c r="I80" i="6"/>
  <c r="H80" i="6"/>
  <c r="Z79" i="6"/>
  <c r="Y79" i="6"/>
  <c r="X79" i="6"/>
  <c r="W79" i="6"/>
  <c r="R79" i="6"/>
  <c r="M79" i="6"/>
  <c r="N79" i="6"/>
  <c r="I79" i="6"/>
  <c r="H79" i="6"/>
  <c r="Z78" i="6"/>
  <c r="Y78" i="6"/>
  <c r="X78" i="6"/>
  <c r="W78" i="6"/>
  <c r="R78" i="6"/>
  <c r="M78" i="6"/>
  <c r="N78" i="6"/>
  <c r="I78" i="6"/>
  <c r="H78" i="6"/>
  <c r="Z77" i="6"/>
  <c r="Y77" i="6"/>
  <c r="X77" i="6"/>
  <c r="W77" i="6"/>
  <c r="R77" i="6"/>
  <c r="M77" i="6"/>
  <c r="N77" i="6"/>
  <c r="I77" i="6"/>
  <c r="H77" i="6"/>
  <c r="Z76" i="6"/>
  <c r="Y76" i="6"/>
  <c r="X76" i="6"/>
  <c r="W76" i="6"/>
  <c r="R76" i="6"/>
  <c r="N76" i="6"/>
  <c r="M76" i="6"/>
  <c r="I76" i="6"/>
  <c r="H76" i="6"/>
  <c r="Z75" i="6"/>
  <c r="Y75" i="6"/>
  <c r="X75" i="6"/>
  <c r="W75" i="6"/>
  <c r="R75" i="6"/>
  <c r="M75" i="6"/>
  <c r="N75" i="6"/>
  <c r="I75" i="6"/>
  <c r="H75" i="6"/>
  <c r="Z74" i="6"/>
  <c r="Y74" i="6"/>
  <c r="X74" i="6"/>
  <c r="W74" i="6"/>
  <c r="R74" i="6"/>
  <c r="M74" i="6"/>
  <c r="N74" i="6"/>
  <c r="I74" i="6"/>
  <c r="H74" i="6"/>
  <c r="Z73" i="6"/>
  <c r="Y73" i="6"/>
  <c r="X73" i="6"/>
  <c r="W73" i="6"/>
  <c r="R73" i="6"/>
  <c r="M73" i="6"/>
  <c r="N73" i="6"/>
  <c r="I73" i="6"/>
  <c r="H73" i="6"/>
  <c r="Z72" i="6"/>
  <c r="Y72" i="6"/>
  <c r="X72" i="6"/>
  <c r="W72" i="6"/>
  <c r="R72" i="6"/>
  <c r="M72" i="6"/>
  <c r="N72" i="6"/>
  <c r="I72" i="6"/>
  <c r="H72" i="6"/>
  <c r="Z71" i="6"/>
  <c r="Y71" i="6"/>
  <c r="X71" i="6"/>
  <c r="W71" i="6"/>
  <c r="R71" i="6"/>
  <c r="M71" i="6"/>
  <c r="N71" i="6"/>
  <c r="I71" i="6"/>
  <c r="H71" i="6"/>
  <c r="Z70" i="6"/>
  <c r="Y70" i="6"/>
  <c r="X70" i="6"/>
  <c r="W70" i="6"/>
  <c r="R70" i="6"/>
  <c r="M70" i="6"/>
  <c r="N70" i="6"/>
  <c r="I70" i="6"/>
  <c r="H70" i="6"/>
  <c r="Z69" i="6"/>
  <c r="Y69" i="6"/>
  <c r="X69" i="6"/>
  <c r="W69" i="6"/>
  <c r="R69" i="6"/>
  <c r="M69" i="6"/>
  <c r="N69" i="6"/>
  <c r="I69" i="6"/>
  <c r="H69" i="6"/>
  <c r="Z68" i="6"/>
  <c r="Y68" i="6"/>
  <c r="X68" i="6"/>
  <c r="W68" i="6"/>
  <c r="R68" i="6"/>
  <c r="M68" i="6"/>
  <c r="N68" i="6"/>
  <c r="I68" i="6"/>
  <c r="H68" i="6"/>
  <c r="Z67" i="6"/>
  <c r="Y67" i="6"/>
  <c r="X67" i="6"/>
  <c r="W67" i="6"/>
  <c r="R67" i="6"/>
  <c r="M67" i="6"/>
  <c r="N67" i="6"/>
  <c r="I67" i="6"/>
  <c r="H67" i="6"/>
  <c r="Z66" i="6"/>
  <c r="Y66" i="6"/>
  <c r="X66" i="6"/>
  <c r="W66" i="6"/>
  <c r="R66" i="6"/>
  <c r="M66" i="6"/>
  <c r="N66" i="6"/>
  <c r="I66" i="6"/>
  <c r="H66" i="6"/>
  <c r="Z65" i="6"/>
  <c r="Y65" i="6"/>
  <c r="X65" i="6"/>
  <c r="W65" i="6"/>
  <c r="R65" i="6"/>
  <c r="M65" i="6"/>
  <c r="N65" i="6"/>
  <c r="I65" i="6"/>
  <c r="H65" i="6"/>
  <c r="Z64" i="6"/>
  <c r="Y64" i="6"/>
  <c r="X64" i="6"/>
  <c r="W64" i="6"/>
  <c r="R64" i="6"/>
  <c r="M64" i="6"/>
  <c r="N64" i="6"/>
  <c r="I64" i="6"/>
  <c r="H64" i="6"/>
  <c r="Z63" i="6"/>
  <c r="Y63" i="6"/>
  <c r="X63" i="6"/>
  <c r="W63" i="6"/>
  <c r="R63" i="6"/>
  <c r="M63" i="6"/>
  <c r="N63" i="6"/>
  <c r="I63" i="6"/>
  <c r="H63" i="6"/>
  <c r="Z62" i="6"/>
  <c r="Y62" i="6"/>
  <c r="X62" i="6"/>
  <c r="W62" i="6"/>
  <c r="R62" i="6"/>
  <c r="M62" i="6"/>
  <c r="N62" i="6"/>
  <c r="I62" i="6"/>
  <c r="H62" i="6"/>
  <c r="Z61" i="6"/>
  <c r="Y61" i="6"/>
  <c r="X61" i="6"/>
  <c r="W61" i="6"/>
  <c r="R61" i="6"/>
  <c r="M61" i="6"/>
  <c r="N61" i="6"/>
  <c r="I61" i="6"/>
  <c r="H61" i="6"/>
  <c r="Z60" i="6"/>
  <c r="Y60" i="6"/>
  <c r="X60" i="6"/>
  <c r="W60" i="6"/>
  <c r="R60" i="6"/>
  <c r="M60" i="6"/>
  <c r="N60" i="6"/>
  <c r="I60" i="6"/>
  <c r="H60" i="6"/>
  <c r="Z59" i="6"/>
  <c r="Y59" i="6"/>
  <c r="X59" i="6"/>
  <c r="W59" i="6"/>
  <c r="R59" i="6"/>
  <c r="M59" i="6"/>
  <c r="N59" i="6"/>
  <c r="I59" i="6"/>
  <c r="H59" i="6"/>
  <c r="Z58" i="6"/>
  <c r="Y58" i="6"/>
  <c r="X58" i="6"/>
  <c r="W58" i="6"/>
  <c r="R58" i="6"/>
  <c r="M58" i="6"/>
  <c r="N58" i="6"/>
  <c r="I58" i="6"/>
  <c r="H58" i="6"/>
  <c r="Z57" i="6"/>
  <c r="Y57" i="6"/>
  <c r="X57" i="6"/>
  <c r="W57" i="6"/>
  <c r="R57" i="6"/>
  <c r="M57" i="6"/>
  <c r="N57" i="6"/>
  <c r="I57" i="6"/>
  <c r="H57" i="6"/>
  <c r="Z56" i="6"/>
  <c r="Y56" i="6"/>
  <c r="X56" i="6"/>
  <c r="W56" i="6"/>
  <c r="R56" i="6"/>
  <c r="M56" i="6"/>
  <c r="N56" i="6"/>
  <c r="I56" i="6"/>
  <c r="H56" i="6"/>
  <c r="Z55" i="6"/>
  <c r="Y55" i="6"/>
  <c r="X55" i="6"/>
  <c r="W55" i="6"/>
  <c r="R55" i="6"/>
  <c r="M55" i="6"/>
  <c r="N55" i="6"/>
  <c r="I55" i="6"/>
  <c r="H55" i="6"/>
  <c r="Z54" i="6"/>
  <c r="Y54" i="6"/>
  <c r="X54" i="6"/>
  <c r="W54" i="6"/>
  <c r="R54" i="6"/>
  <c r="M54" i="6"/>
  <c r="N54" i="6"/>
  <c r="I54" i="6"/>
  <c r="H54" i="6"/>
  <c r="Z53" i="6"/>
  <c r="Y53" i="6"/>
  <c r="X53" i="6"/>
  <c r="W53" i="6"/>
  <c r="R53" i="6"/>
  <c r="M53" i="6"/>
  <c r="N53" i="6"/>
  <c r="I53" i="6"/>
  <c r="H53" i="6"/>
  <c r="Z52" i="6"/>
  <c r="Y52" i="6"/>
  <c r="X52" i="6"/>
  <c r="W52" i="6"/>
  <c r="R52" i="6"/>
  <c r="M52" i="6"/>
  <c r="N52" i="6"/>
  <c r="I52" i="6"/>
  <c r="H52" i="6"/>
  <c r="Z51" i="6"/>
  <c r="Y51" i="6"/>
  <c r="X51" i="6"/>
  <c r="W51" i="6"/>
  <c r="R51" i="6"/>
  <c r="M51" i="6"/>
  <c r="N51" i="6"/>
  <c r="I51" i="6"/>
  <c r="H51" i="6"/>
  <c r="Z50" i="6"/>
  <c r="Y50" i="6"/>
  <c r="X50" i="6"/>
  <c r="W50" i="6"/>
  <c r="R50" i="6"/>
  <c r="M50" i="6"/>
  <c r="N50" i="6"/>
  <c r="I50" i="6"/>
  <c r="H50" i="6"/>
  <c r="Z49" i="6"/>
  <c r="Y49" i="6"/>
  <c r="X49" i="6"/>
  <c r="W49" i="6"/>
  <c r="R49" i="6"/>
  <c r="M49" i="6"/>
  <c r="N49" i="6"/>
  <c r="I49" i="6"/>
  <c r="H49" i="6"/>
  <c r="Z48" i="6"/>
  <c r="Y48" i="6"/>
  <c r="X48" i="6"/>
  <c r="W48" i="6"/>
  <c r="R48" i="6"/>
  <c r="M48" i="6"/>
  <c r="N48" i="6"/>
  <c r="I48" i="6"/>
  <c r="H48" i="6"/>
  <c r="Z47" i="6"/>
  <c r="Y47" i="6"/>
  <c r="X47" i="6"/>
  <c r="W47" i="6"/>
  <c r="R47" i="6"/>
  <c r="M47" i="6"/>
  <c r="N47" i="6"/>
  <c r="I47" i="6"/>
  <c r="H47" i="6"/>
  <c r="Z46" i="6"/>
  <c r="Y46" i="6"/>
  <c r="X46" i="6"/>
  <c r="W46" i="6"/>
  <c r="R46" i="6"/>
  <c r="N46" i="6"/>
  <c r="M46" i="6"/>
  <c r="I46" i="6"/>
  <c r="H46" i="6"/>
  <c r="Z45" i="6"/>
  <c r="Y45" i="6"/>
  <c r="X45" i="6"/>
  <c r="W45" i="6"/>
  <c r="R45" i="6"/>
  <c r="M45" i="6"/>
  <c r="N45" i="6"/>
  <c r="I45" i="6"/>
  <c r="H45" i="6"/>
  <c r="Z44" i="6"/>
  <c r="Y44" i="6"/>
  <c r="X44" i="6"/>
  <c r="W44" i="6"/>
  <c r="R44" i="6"/>
  <c r="M44" i="6"/>
  <c r="N44" i="6"/>
  <c r="I44" i="6"/>
  <c r="H44" i="6"/>
  <c r="Z43" i="6"/>
  <c r="Y43" i="6"/>
  <c r="X43" i="6"/>
  <c r="W43" i="6"/>
  <c r="R43" i="6"/>
  <c r="M43" i="6"/>
  <c r="N43" i="6"/>
  <c r="I43" i="6"/>
  <c r="H43" i="6"/>
  <c r="Z42" i="6"/>
  <c r="Y42" i="6"/>
  <c r="X42" i="6"/>
  <c r="W42" i="6"/>
  <c r="R42" i="6"/>
  <c r="M42" i="6"/>
  <c r="N42" i="6"/>
  <c r="I42" i="6"/>
  <c r="H42" i="6"/>
  <c r="Z41" i="6"/>
  <c r="Y41" i="6"/>
  <c r="X41" i="6"/>
  <c r="W41" i="6"/>
  <c r="R41" i="6"/>
  <c r="M41" i="6"/>
  <c r="N41" i="6"/>
  <c r="I41" i="6"/>
  <c r="H41" i="6"/>
  <c r="Z40" i="6"/>
  <c r="Y40" i="6"/>
  <c r="X40" i="6"/>
  <c r="W40" i="6"/>
  <c r="R40" i="6"/>
  <c r="M40" i="6"/>
  <c r="N40" i="6"/>
  <c r="I40" i="6"/>
  <c r="H40" i="6"/>
  <c r="Z39" i="6"/>
  <c r="Y39" i="6"/>
  <c r="X39" i="6"/>
  <c r="W39" i="6"/>
  <c r="R39" i="6"/>
  <c r="M39" i="6"/>
  <c r="N39" i="6"/>
  <c r="I39" i="6"/>
  <c r="H39" i="6"/>
  <c r="Z38" i="6"/>
  <c r="Y38" i="6"/>
  <c r="X38" i="6"/>
  <c r="W38" i="6"/>
  <c r="R38" i="6"/>
  <c r="M38" i="6"/>
  <c r="N38" i="6"/>
  <c r="I38" i="6"/>
  <c r="H38" i="6"/>
  <c r="Z37" i="6"/>
  <c r="Y37" i="6"/>
  <c r="X37" i="6"/>
  <c r="W37" i="6"/>
  <c r="R37" i="6"/>
  <c r="N37" i="6"/>
  <c r="M37" i="6"/>
  <c r="I37" i="6"/>
  <c r="H37" i="6"/>
  <c r="Z36" i="6"/>
  <c r="Y36" i="6"/>
  <c r="X36" i="6"/>
  <c r="W36" i="6"/>
  <c r="R36" i="6"/>
  <c r="M36" i="6"/>
  <c r="N36" i="6"/>
  <c r="I36" i="6"/>
  <c r="H36" i="6"/>
  <c r="Z35" i="6"/>
  <c r="Y35" i="6"/>
  <c r="X35" i="6"/>
  <c r="W35" i="6"/>
  <c r="R35" i="6"/>
  <c r="M35" i="6"/>
  <c r="N35" i="6"/>
  <c r="I35" i="6"/>
  <c r="H35" i="6"/>
  <c r="Z34" i="6"/>
  <c r="Y34" i="6"/>
  <c r="X34" i="6"/>
  <c r="W34" i="6"/>
  <c r="R34" i="6"/>
  <c r="M34" i="6"/>
  <c r="N34" i="6"/>
  <c r="I34" i="6"/>
  <c r="H34" i="6"/>
  <c r="Z33" i="6"/>
  <c r="Y33" i="6"/>
  <c r="X33" i="6"/>
  <c r="W33" i="6"/>
  <c r="R33" i="6"/>
  <c r="M33" i="6"/>
  <c r="N33" i="6"/>
  <c r="I33" i="6"/>
  <c r="H33" i="6"/>
  <c r="Z32" i="6"/>
  <c r="Y32" i="6"/>
  <c r="X32" i="6"/>
  <c r="W32" i="6"/>
  <c r="R32" i="6"/>
  <c r="M32" i="6"/>
  <c r="N32" i="6"/>
  <c r="I32" i="6"/>
  <c r="H32" i="6"/>
  <c r="Z31" i="6"/>
  <c r="Y31" i="6"/>
  <c r="X31" i="6"/>
  <c r="W31" i="6"/>
  <c r="R31" i="6"/>
  <c r="M31" i="6"/>
  <c r="N31" i="6"/>
  <c r="I31" i="6"/>
  <c r="H31" i="6"/>
  <c r="Z30" i="6"/>
  <c r="Y30" i="6"/>
  <c r="X30" i="6"/>
  <c r="W30" i="6"/>
  <c r="R30" i="6"/>
  <c r="M30" i="6"/>
  <c r="N30" i="6"/>
  <c r="I30" i="6"/>
  <c r="H30" i="6"/>
  <c r="Z29" i="6"/>
  <c r="Y29" i="6"/>
  <c r="X29" i="6"/>
  <c r="W29" i="6"/>
  <c r="R29" i="6"/>
  <c r="M29" i="6"/>
  <c r="N29" i="6"/>
  <c r="I29" i="6"/>
  <c r="H29" i="6"/>
  <c r="Z28" i="6"/>
  <c r="Y28" i="6"/>
  <c r="X28" i="6"/>
  <c r="W28" i="6"/>
  <c r="R28" i="6"/>
  <c r="M28" i="6"/>
  <c r="N28" i="6"/>
  <c r="I28" i="6"/>
  <c r="H28" i="6"/>
  <c r="Z27" i="6"/>
  <c r="Y27" i="6"/>
  <c r="X27" i="6"/>
  <c r="W27" i="6"/>
  <c r="R27" i="6"/>
  <c r="M27" i="6"/>
  <c r="N27" i="6"/>
  <c r="I27" i="6"/>
  <c r="H27" i="6"/>
  <c r="Z26" i="6"/>
  <c r="Y26" i="6"/>
  <c r="X26" i="6"/>
  <c r="W26" i="6"/>
  <c r="R26" i="6"/>
  <c r="M26" i="6"/>
  <c r="N26" i="6"/>
  <c r="I26" i="6"/>
  <c r="H26" i="6"/>
  <c r="Z25" i="6"/>
  <c r="Y25" i="6"/>
  <c r="X25" i="6"/>
  <c r="W25" i="6"/>
  <c r="R25" i="6"/>
  <c r="N25" i="6"/>
  <c r="M25" i="6"/>
  <c r="I25" i="6"/>
  <c r="H25" i="6"/>
  <c r="Z24" i="6"/>
  <c r="Y24" i="6"/>
  <c r="X24" i="6"/>
  <c r="W24" i="6"/>
  <c r="R24" i="6"/>
  <c r="M24" i="6"/>
  <c r="N24" i="6"/>
  <c r="I24" i="6"/>
  <c r="H24" i="6"/>
  <c r="Z23" i="6"/>
  <c r="Y23" i="6"/>
  <c r="X23" i="6"/>
  <c r="W23" i="6"/>
  <c r="R23" i="6"/>
  <c r="M23" i="6"/>
  <c r="N23" i="6"/>
  <c r="I23" i="6"/>
  <c r="H23" i="6"/>
  <c r="Z22" i="6"/>
  <c r="Y22" i="6"/>
  <c r="X22" i="6"/>
  <c r="W22" i="6"/>
  <c r="R22" i="6"/>
  <c r="M22" i="6"/>
  <c r="N22" i="6"/>
  <c r="I22" i="6"/>
  <c r="H22" i="6"/>
  <c r="Z21" i="6"/>
  <c r="Y21" i="6"/>
  <c r="X21" i="6"/>
  <c r="W21" i="6"/>
  <c r="R21" i="6"/>
  <c r="M21" i="6"/>
  <c r="N21" i="6"/>
  <c r="I21" i="6"/>
  <c r="H21" i="6"/>
  <c r="Z20" i="6"/>
  <c r="Y20" i="6"/>
  <c r="X20" i="6"/>
  <c r="W20" i="6"/>
  <c r="R20" i="6"/>
  <c r="M20" i="6"/>
  <c r="N20" i="6"/>
  <c r="I20" i="6"/>
  <c r="H20" i="6"/>
  <c r="Z19" i="6"/>
  <c r="Y19" i="6"/>
  <c r="X19" i="6"/>
  <c r="W19" i="6"/>
  <c r="R19" i="6"/>
  <c r="M19" i="6"/>
  <c r="N19" i="6"/>
  <c r="I19" i="6"/>
  <c r="H19" i="6"/>
  <c r="Z18" i="6"/>
  <c r="Y18" i="6"/>
  <c r="X18" i="6"/>
  <c r="W18" i="6"/>
  <c r="R18" i="6"/>
  <c r="M18" i="6"/>
  <c r="N18" i="6"/>
  <c r="I18" i="6"/>
  <c r="H18" i="6"/>
  <c r="Z17" i="6"/>
  <c r="Y17" i="6"/>
  <c r="X17" i="6"/>
  <c r="W17" i="6"/>
  <c r="R17" i="6"/>
  <c r="M17" i="6"/>
  <c r="N17" i="6"/>
  <c r="I17" i="6"/>
  <c r="H17" i="6"/>
  <c r="Z16" i="6"/>
  <c r="Y16" i="6"/>
  <c r="X16" i="6"/>
  <c r="W16" i="6"/>
  <c r="R16" i="6"/>
  <c r="M16" i="6"/>
  <c r="N16" i="6"/>
  <c r="I16" i="6"/>
  <c r="H16" i="6"/>
  <c r="Z15" i="6"/>
  <c r="Y15" i="6"/>
  <c r="X15" i="6"/>
  <c r="W15" i="6"/>
  <c r="R15" i="6"/>
  <c r="M15" i="6"/>
  <c r="N15" i="6"/>
  <c r="I15" i="6"/>
  <c r="H15" i="6"/>
  <c r="Z14" i="6"/>
  <c r="Y14" i="6"/>
  <c r="X14" i="6"/>
  <c r="W14" i="6"/>
  <c r="R14" i="6"/>
  <c r="N14" i="6"/>
  <c r="M14" i="6"/>
  <c r="I14" i="6"/>
  <c r="H14" i="6"/>
  <c r="Z13" i="6"/>
  <c r="Y13" i="6"/>
  <c r="X13" i="6"/>
  <c r="W13" i="6"/>
  <c r="R13" i="6"/>
  <c r="M13" i="6"/>
  <c r="N13" i="6"/>
  <c r="I13" i="6"/>
  <c r="H13" i="6"/>
  <c r="Z12" i="6"/>
  <c r="Y12" i="6"/>
  <c r="X12" i="6"/>
  <c r="W12" i="6"/>
  <c r="M12" i="6"/>
  <c r="N12" i="6"/>
  <c r="I12" i="6"/>
  <c r="H12" i="6"/>
  <c r="Z11" i="6"/>
  <c r="Y11" i="6"/>
  <c r="X11" i="6"/>
  <c r="W11" i="6"/>
  <c r="M11" i="6"/>
  <c r="N11" i="6"/>
  <c r="I11" i="6"/>
  <c r="H11" i="6"/>
  <c r="Z10" i="6"/>
  <c r="Y10" i="6"/>
  <c r="X10" i="6"/>
  <c r="W10" i="6"/>
  <c r="M10" i="6"/>
  <c r="N10" i="6"/>
  <c r="I10" i="6"/>
  <c r="H10" i="6"/>
  <c r="Z9" i="6"/>
  <c r="Y9" i="6"/>
  <c r="X9" i="6"/>
  <c r="W9" i="6"/>
  <c r="M9" i="6"/>
  <c r="N9" i="6"/>
  <c r="I9" i="6"/>
  <c r="H9" i="6"/>
  <c r="Z8" i="6"/>
  <c r="Y8" i="6"/>
  <c r="X8" i="6"/>
  <c r="W8" i="6"/>
  <c r="M8" i="6"/>
  <c r="I8" i="6"/>
  <c r="H8" i="6"/>
  <c r="Z7" i="6"/>
  <c r="Y7" i="6"/>
  <c r="X7" i="6"/>
  <c r="W7" i="6"/>
  <c r="AA7" i="6"/>
  <c r="M7" i="6"/>
  <c r="N7" i="6"/>
  <c r="I7" i="6"/>
  <c r="H7" i="6"/>
  <c r="F8" i="1" s="1"/>
  <c r="Z6" i="6"/>
  <c r="Y6" i="6"/>
  <c r="X6" i="6"/>
  <c r="W6" i="6"/>
  <c r="M6" i="6"/>
  <c r="N6" i="6"/>
  <c r="V6" i="6"/>
  <c r="AA6" i="6" s="1"/>
  <c r="I6" i="6"/>
  <c r="H6" i="6"/>
  <c r="Z5" i="6"/>
  <c r="Y5" i="6"/>
  <c r="W5" i="6"/>
  <c r="R5" i="6"/>
  <c r="M5" i="6"/>
  <c r="N5" i="6"/>
  <c r="V5" i="6"/>
  <c r="AA5" i="6" s="1"/>
  <c r="AB5" i="6" s="1"/>
  <c r="I5" i="6"/>
  <c r="H5" i="6"/>
  <c r="B15" i="5"/>
  <c r="G13" i="5"/>
  <c r="G12" i="5"/>
  <c r="G10" i="5"/>
  <c r="G11" i="5"/>
  <c r="G8" i="5"/>
  <c r="G9" i="5"/>
  <c r="F303" i="4"/>
  <c r="I303" i="4"/>
  <c r="F302" i="4"/>
  <c r="I302" i="4"/>
  <c r="F301" i="4"/>
  <c r="I301" i="4"/>
  <c r="F300" i="4"/>
  <c r="I300" i="4"/>
  <c r="F299" i="4"/>
  <c r="I299" i="4"/>
  <c r="I298" i="4"/>
  <c r="F298" i="4"/>
  <c r="F297" i="4"/>
  <c r="I297" i="4"/>
  <c r="F296" i="4"/>
  <c r="I296" i="4"/>
  <c r="F295" i="4"/>
  <c r="I295" i="4"/>
  <c r="F294" i="4"/>
  <c r="I294" i="4"/>
  <c r="I293" i="4"/>
  <c r="F293" i="4"/>
  <c r="F292" i="4"/>
  <c r="I292" i="4"/>
  <c r="F291" i="4"/>
  <c r="I291" i="4"/>
  <c r="I290" i="4"/>
  <c r="F290" i="4"/>
  <c r="F289" i="4"/>
  <c r="I289" i="4"/>
  <c r="F288" i="4"/>
  <c r="I288" i="4"/>
  <c r="F287" i="4"/>
  <c r="I287" i="4"/>
  <c r="F286" i="4"/>
  <c r="I286" i="4"/>
  <c r="F285" i="4"/>
  <c r="I285" i="4"/>
  <c r="I284" i="4"/>
  <c r="F284" i="4"/>
  <c r="F283" i="4"/>
  <c r="I283" i="4"/>
  <c r="F282" i="4"/>
  <c r="I282" i="4"/>
  <c r="I281" i="4"/>
  <c r="F281" i="4"/>
  <c r="F280" i="4"/>
  <c r="I280" i="4"/>
  <c r="F279" i="4"/>
  <c r="I279" i="4"/>
  <c r="F278" i="4"/>
  <c r="I278" i="4"/>
  <c r="F277" i="4"/>
  <c r="I277" i="4"/>
  <c r="F276" i="4"/>
  <c r="I276" i="4"/>
  <c r="F275" i="4"/>
  <c r="I275" i="4"/>
  <c r="F274" i="4"/>
  <c r="I274" i="4"/>
  <c r="F273" i="4"/>
  <c r="I273" i="4"/>
  <c r="I272" i="4"/>
  <c r="F272" i="4"/>
  <c r="F271" i="4"/>
  <c r="I271" i="4"/>
  <c r="F270" i="4"/>
  <c r="I270" i="4"/>
  <c r="I269" i="4"/>
  <c r="F269" i="4"/>
  <c r="F268" i="4"/>
  <c r="I268" i="4"/>
  <c r="F267" i="4"/>
  <c r="I267" i="4"/>
  <c r="F266" i="4"/>
  <c r="I266" i="4"/>
  <c r="F265" i="4"/>
  <c r="I265" i="4"/>
  <c r="F264" i="4"/>
  <c r="I264" i="4"/>
  <c r="F263" i="4"/>
  <c r="I263" i="4"/>
  <c r="F262" i="4"/>
  <c r="I262" i="4"/>
  <c r="I261" i="4"/>
  <c r="F261" i="4"/>
  <c r="F260" i="4"/>
  <c r="I260" i="4"/>
  <c r="F259" i="4"/>
  <c r="I259" i="4"/>
  <c r="I258" i="4"/>
  <c r="F258" i="4"/>
  <c r="F257" i="4"/>
  <c r="I257" i="4"/>
  <c r="F256" i="4"/>
  <c r="I256" i="4"/>
  <c r="F255" i="4"/>
  <c r="I255" i="4"/>
  <c r="F254" i="4"/>
  <c r="I254" i="4"/>
  <c r="F253" i="4"/>
  <c r="I253" i="4"/>
  <c r="F252" i="4"/>
  <c r="I252" i="4"/>
  <c r="F251" i="4"/>
  <c r="I251" i="4"/>
  <c r="F250" i="4"/>
  <c r="I250" i="4"/>
  <c r="I249" i="4"/>
  <c r="F249" i="4"/>
  <c r="F248" i="4"/>
  <c r="I248" i="4"/>
  <c r="F247" i="4"/>
  <c r="I247" i="4"/>
  <c r="F246" i="4"/>
  <c r="I246" i="4"/>
  <c r="I245" i="4"/>
  <c r="F245" i="4"/>
  <c r="F244" i="4"/>
  <c r="I244" i="4"/>
  <c r="F243" i="4"/>
  <c r="I243" i="4"/>
  <c r="F242" i="4"/>
  <c r="I242" i="4"/>
  <c r="F241" i="4"/>
  <c r="I241" i="4"/>
  <c r="I240" i="4"/>
  <c r="F240" i="4"/>
  <c r="F239" i="4"/>
  <c r="I239" i="4"/>
  <c r="F238" i="4"/>
  <c r="I238" i="4"/>
  <c r="F237" i="4"/>
  <c r="I237" i="4"/>
  <c r="F236" i="4"/>
  <c r="I236" i="4"/>
  <c r="F235" i="4"/>
  <c r="I235" i="4"/>
  <c r="F234" i="4"/>
  <c r="I234" i="4"/>
  <c r="F233" i="4"/>
  <c r="I233" i="4"/>
  <c r="F232" i="4"/>
  <c r="I232" i="4"/>
  <c r="F231" i="4"/>
  <c r="I231" i="4"/>
  <c r="F230" i="4"/>
  <c r="I230" i="4"/>
  <c r="F229" i="4"/>
  <c r="I229" i="4"/>
  <c r="F228" i="4"/>
  <c r="I228" i="4"/>
  <c r="F227" i="4"/>
  <c r="I227" i="4"/>
  <c r="I226" i="4"/>
  <c r="F226" i="4"/>
  <c r="F225" i="4"/>
  <c r="I225" i="4"/>
  <c r="F224" i="4"/>
  <c r="I224" i="4"/>
  <c r="F223" i="4"/>
  <c r="I223" i="4"/>
  <c r="F222" i="4"/>
  <c r="I222" i="4"/>
  <c r="F221" i="4"/>
  <c r="I221" i="4"/>
  <c r="F220" i="4"/>
  <c r="I220" i="4"/>
  <c r="F219" i="4"/>
  <c r="I219" i="4"/>
  <c r="F218" i="4"/>
  <c r="I218" i="4"/>
  <c r="I217" i="4"/>
  <c r="F217" i="4"/>
  <c r="I216" i="4"/>
  <c r="F216" i="4"/>
  <c r="F215" i="4"/>
  <c r="I215" i="4"/>
  <c r="F214" i="4"/>
  <c r="I214" i="4"/>
  <c r="F213" i="4"/>
  <c r="I213" i="4"/>
  <c r="F212" i="4"/>
  <c r="I212" i="4"/>
  <c r="F211" i="4"/>
  <c r="I211" i="4"/>
  <c r="F210" i="4"/>
  <c r="I210" i="4"/>
  <c r="F209" i="4"/>
  <c r="I209" i="4"/>
  <c r="I208" i="4"/>
  <c r="F208" i="4"/>
  <c r="F207" i="4"/>
  <c r="I207" i="4"/>
  <c r="I206" i="4"/>
  <c r="F206" i="4"/>
  <c r="F205" i="4"/>
  <c r="I205" i="4"/>
  <c r="F204" i="4"/>
  <c r="I204" i="4"/>
  <c r="F203" i="4"/>
  <c r="I203" i="4"/>
  <c r="F202" i="4"/>
  <c r="I202" i="4"/>
  <c r="F201" i="4"/>
  <c r="I201" i="4"/>
  <c r="F200" i="4"/>
  <c r="I200" i="4"/>
  <c r="F199" i="4"/>
  <c r="I199" i="4"/>
  <c r="F198" i="4"/>
  <c r="I198" i="4"/>
  <c r="F197" i="4"/>
  <c r="I197" i="4"/>
  <c r="F196" i="4"/>
  <c r="I196" i="4"/>
  <c r="F195" i="4"/>
  <c r="I195" i="4"/>
  <c r="I194" i="4"/>
  <c r="F194" i="4"/>
  <c r="F193" i="4"/>
  <c r="I193" i="4"/>
  <c r="I192" i="4"/>
  <c r="F192" i="4"/>
  <c r="F191" i="4"/>
  <c r="I191" i="4"/>
  <c r="F190" i="4"/>
  <c r="I190" i="4"/>
  <c r="F189" i="4"/>
  <c r="I189" i="4"/>
  <c r="F188" i="4"/>
  <c r="I188" i="4"/>
  <c r="F187" i="4"/>
  <c r="I187" i="4"/>
  <c r="F186" i="4"/>
  <c r="I186" i="4"/>
  <c r="I185" i="4"/>
  <c r="F185" i="4"/>
  <c r="F184" i="4"/>
  <c r="I184" i="4"/>
  <c r="F183" i="4"/>
  <c r="I183" i="4"/>
  <c r="I182" i="4"/>
  <c r="F182" i="4"/>
  <c r="F181" i="4"/>
  <c r="I181" i="4"/>
  <c r="F180" i="4"/>
  <c r="I180" i="4"/>
  <c r="F179" i="4"/>
  <c r="I179" i="4"/>
  <c r="F178" i="4"/>
  <c r="I178" i="4"/>
  <c r="I177" i="4"/>
  <c r="F177" i="4"/>
  <c r="I176" i="4"/>
  <c r="F176" i="4"/>
  <c r="F175" i="4"/>
  <c r="I175" i="4"/>
  <c r="I174" i="4"/>
  <c r="F174" i="4"/>
  <c r="I173" i="4"/>
  <c r="F173" i="4"/>
  <c r="F172" i="4"/>
  <c r="I172" i="4"/>
  <c r="F171" i="4"/>
  <c r="I171" i="4"/>
  <c r="F170" i="4"/>
  <c r="I170" i="4"/>
  <c r="I169" i="4"/>
  <c r="F169" i="4"/>
  <c r="I168" i="4"/>
  <c r="F168" i="4"/>
  <c r="F167" i="4"/>
  <c r="I167" i="4"/>
  <c r="F166" i="4"/>
  <c r="I166" i="4"/>
  <c r="F165" i="4"/>
  <c r="I165" i="4"/>
  <c r="F164" i="4"/>
  <c r="I164" i="4"/>
  <c r="F163" i="4"/>
  <c r="I163" i="4"/>
  <c r="I162" i="4"/>
  <c r="F162" i="4"/>
  <c r="F161" i="4"/>
  <c r="I161" i="4"/>
  <c r="F160" i="4"/>
  <c r="I160" i="4"/>
  <c r="F159" i="4"/>
  <c r="I159" i="4"/>
  <c r="I158" i="4"/>
  <c r="F158" i="4"/>
  <c r="F157" i="4"/>
  <c r="I157" i="4"/>
  <c r="F156" i="4"/>
  <c r="I156" i="4"/>
  <c r="F155" i="4"/>
  <c r="I155" i="4"/>
  <c r="F154" i="4"/>
  <c r="I154" i="4"/>
  <c r="I153" i="4"/>
  <c r="F153" i="4"/>
  <c r="F152" i="4"/>
  <c r="I152" i="4"/>
  <c r="F151" i="4"/>
  <c r="I151" i="4"/>
  <c r="F150" i="4"/>
  <c r="I150" i="4"/>
  <c r="F149" i="4"/>
  <c r="I149" i="4"/>
  <c r="F148" i="4"/>
  <c r="I148" i="4"/>
  <c r="F147" i="4"/>
  <c r="I147" i="4"/>
  <c r="F146" i="4"/>
  <c r="I146" i="4"/>
  <c r="F145" i="4"/>
  <c r="I145" i="4"/>
  <c r="I144" i="4"/>
  <c r="F144" i="4"/>
  <c r="F143" i="4"/>
  <c r="I143" i="4"/>
  <c r="F142" i="4"/>
  <c r="I142" i="4"/>
  <c r="F141" i="4"/>
  <c r="I141" i="4"/>
  <c r="F140" i="4"/>
  <c r="I140" i="4"/>
  <c r="F139" i="4"/>
  <c r="I139" i="4"/>
  <c r="F138" i="4"/>
  <c r="I138" i="4"/>
  <c r="F137" i="4"/>
  <c r="I137" i="4"/>
  <c r="I136" i="4"/>
  <c r="F136" i="4"/>
  <c r="F135" i="4"/>
  <c r="I135" i="4"/>
  <c r="F134" i="4"/>
  <c r="I134" i="4"/>
  <c r="F133" i="4"/>
  <c r="I133" i="4"/>
  <c r="F132" i="4"/>
  <c r="I132" i="4"/>
  <c r="F131" i="4"/>
  <c r="I131" i="4"/>
  <c r="I130" i="4"/>
  <c r="F130" i="4"/>
  <c r="I129" i="4"/>
  <c r="F129" i="4"/>
  <c r="F128" i="4"/>
  <c r="I128" i="4"/>
  <c r="F127" i="4"/>
  <c r="I127" i="4"/>
  <c r="F126" i="4"/>
  <c r="I126" i="4"/>
  <c r="F125" i="4"/>
  <c r="I125" i="4"/>
  <c r="I124" i="4"/>
  <c r="F124" i="4"/>
  <c r="F123" i="4"/>
  <c r="I123" i="4"/>
  <c r="F122" i="4"/>
  <c r="I122" i="4"/>
  <c r="I121" i="4"/>
  <c r="F121" i="4"/>
  <c r="F120" i="4"/>
  <c r="I120" i="4"/>
  <c r="F119" i="4"/>
  <c r="I119" i="4"/>
  <c r="F118" i="4"/>
  <c r="I118" i="4"/>
  <c r="I117" i="4"/>
  <c r="F117" i="4"/>
  <c r="F116" i="4"/>
  <c r="I116" i="4"/>
  <c r="F115" i="4"/>
  <c r="I115" i="4"/>
  <c r="I114" i="4"/>
  <c r="F114" i="4"/>
  <c r="F113" i="4"/>
  <c r="I113" i="4"/>
  <c r="I112" i="4"/>
  <c r="F112" i="4"/>
  <c r="F111" i="4"/>
  <c r="I111" i="4"/>
  <c r="F110" i="4"/>
  <c r="I110" i="4"/>
  <c r="F109" i="4"/>
  <c r="I109" i="4"/>
  <c r="F108" i="4"/>
  <c r="I108" i="4"/>
  <c r="F107" i="4"/>
  <c r="I107" i="4"/>
  <c r="F106" i="4"/>
  <c r="I106" i="4"/>
  <c r="I105" i="4"/>
  <c r="F105" i="4"/>
  <c r="F104" i="4"/>
  <c r="I104" i="4"/>
  <c r="F103" i="4"/>
  <c r="I103" i="4"/>
  <c r="F102" i="4"/>
  <c r="I102" i="4"/>
  <c r="F101" i="4"/>
  <c r="I101" i="4"/>
  <c r="I100" i="4"/>
  <c r="F100" i="4"/>
  <c r="F99" i="4"/>
  <c r="I99" i="4"/>
  <c r="I98" i="4"/>
  <c r="F98" i="4"/>
  <c r="F97" i="4"/>
  <c r="I97" i="4"/>
  <c r="F96" i="4"/>
  <c r="I96" i="4"/>
  <c r="F95" i="4"/>
  <c r="I95" i="4"/>
  <c r="F94" i="4"/>
  <c r="I94" i="4"/>
  <c r="F93" i="4"/>
  <c r="I93" i="4"/>
  <c r="F92" i="4"/>
  <c r="I92" i="4"/>
  <c r="F91" i="4"/>
  <c r="I91" i="4"/>
  <c r="I90" i="4"/>
  <c r="F90" i="4"/>
  <c r="I89" i="4"/>
  <c r="F89" i="4"/>
  <c r="F88" i="4"/>
  <c r="I88" i="4"/>
  <c r="F87" i="4"/>
  <c r="I87" i="4"/>
  <c r="F86" i="4"/>
  <c r="I86" i="4"/>
  <c r="F85" i="4"/>
  <c r="I85" i="4"/>
  <c r="F84" i="4"/>
  <c r="I84" i="4"/>
  <c r="F83" i="4"/>
  <c r="I83" i="4"/>
  <c r="F82" i="4"/>
  <c r="I82" i="4"/>
  <c r="F81" i="4"/>
  <c r="I81" i="4"/>
  <c r="I80" i="4"/>
  <c r="F80" i="4"/>
  <c r="F79" i="4"/>
  <c r="I79" i="4"/>
  <c r="F78" i="4"/>
  <c r="I78" i="4"/>
  <c r="F77" i="4"/>
  <c r="I77" i="4"/>
  <c r="I76" i="4"/>
  <c r="F76" i="4"/>
  <c r="F75" i="4"/>
  <c r="I75" i="4"/>
  <c r="F74" i="4"/>
  <c r="I74" i="4"/>
  <c r="F73" i="4"/>
  <c r="I73" i="4"/>
  <c r="F72" i="4"/>
  <c r="I72" i="4"/>
  <c r="F71" i="4"/>
  <c r="I71" i="4"/>
  <c r="F70" i="4"/>
  <c r="I70" i="4"/>
  <c r="F69" i="4"/>
  <c r="I69" i="4"/>
  <c r="F68" i="4"/>
  <c r="I68" i="4"/>
  <c r="F67" i="4"/>
  <c r="I67" i="4"/>
  <c r="I66" i="4"/>
  <c r="F66" i="4"/>
  <c r="F65" i="4"/>
  <c r="I65" i="4"/>
  <c r="F64" i="4"/>
  <c r="I64" i="4"/>
  <c r="F63" i="4"/>
  <c r="I63" i="4"/>
  <c r="F62" i="4"/>
  <c r="I62" i="4"/>
  <c r="F61" i="4"/>
  <c r="I61" i="4"/>
  <c r="F60" i="4"/>
  <c r="I60" i="4"/>
  <c r="F59" i="4"/>
  <c r="I59" i="4"/>
  <c r="F58" i="4"/>
  <c r="I58" i="4"/>
  <c r="I57" i="4"/>
  <c r="F57" i="4"/>
  <c r="F56" i="4"/>
  <c r="I56" i="4"/>
  <c r="F55" i="4"/>
  <c r="I55" i="4"/>
  <c r="F54" i="4"/>
  <c r="I54" i="4"/>
  <c r="F53" i="4"/>
  <c r="I53" i="4"/>
  <c r="F52" i="4"/>
  <c r="I52" i="4"/>
  <c r="F51" i="4"/>
  <c r="I51" i="4"/>
  <c r="F50" i="4"/>
  <c r="I50" i="4"/>
  <c r="F49" i="4"/>
  <c r="I49" i="4"/>
  <c r="I48" i="4"/>
  <c r="F48" i="4"/>
  <c r="F47" i="4"/>
  <c r="I47" i="4"/>
  <c r="F46" i="4"/>
  <c r="I46" i="4"/>
  <c r="F45" i="4"/>
  <c r="I45" i="4"/>
  <c r="F44" i="4"/>
  <c r="I44" i="4"/>
  <c r="F43" i="4"/>
  <c r="I43" i="4"/>
  <c r="I42" i="4"/>
  <c r="F42" i="4"/>
  <c r="F41" i="4"/>
  <c r="I41" i="4"/>
  <c r="F40" i="4"/>
  <c r="I40" i="4"/>
  <c r="F39" i="4"/>
  <c r="I39" i="4"/>
  <c r="F38" i="4"/>
  <c r="I38" i="4"/>
  <c r="I37" i="4"/>
  <c r="F37" i="4"/>
  <c r="F36" i="4"/>
  <c r="I36" i="4"/>
  <c r="F35" i="4"/>
  <c r="I35" i="4"/>
  <c r="I34" i="4"/>
  <c r="F34" i="4"/>
  <c r="F33" i="4"/>
  <c r="I33" i="4"/>
  <c r="F32" i="4"/>
  <c r="I32" i="4"/>
  <c r="F31" i="4"/>
  <c r="I31" i="4"/>
  <c r="F30" i="4"/>
  <c r="I30" i="4"/>
  <c r="F29" i="4"/>
  <c r="I29" i="4"/>
  <c r="F28" i="4"/>
  <c r="I28" i="4"/>
  <c r="F27" i="4"/>
  <c r="I27" i="4"/>
  <c r="F26" i="4"/>
  <c r="I26" i="4"/>
  <c r="I25" i="4"/>
  <c r="F25" i="4"/>
  <c r="I24" i="4"/>
  <c r="F24" i="4"/>
  <c r="F23" i="4"/>
  <c r="I23" i="4"/>
  <c r="F22" i="4"/>
  <c r="I22" i="4"/>
  <c r="F21" i="4"/>
  <c r="I21" i="4"/>
  <c r="F20" i="4"/>
  <c r="I20" i="4"/>
  <c r="F19" i="4"/>
  <c r="I19" i="4"/>
  <c r="F18" i="4"/>
  <c r="I18" i="4"/>
  <c r="F17" i="4"/>
  <c r="I17" i="4"/>
  <c r="I16" i="4"/>
  <c r="F16" i="4"/>
  <c r="F15" i="4"/>
  <c r="I15" i="4"/>
  <c r="F14" i="4"/>
  <c r="I14" i="4"/>
  <c r="I13" i="4"/>
  <c r="F13" i="4"/>
  <c r="F12" i="4"/>
  <c r="I12" i="4"/>
  <c r="F11" i="4"/>
  <c r="I11" i="4"/>
  <c r="F10" i="4"/>
  <c r="I10" i="4"/>
  <c r="F9" i="4"/>
  <c r="I9" i="4"/>
  <c r="F8" i="4"/>
  <c r="I8" i="4"/>
  <c r="F7" i="4"/>
  <c r="I7" i="4"/>
  <c r="F6" i="4"/>
  <c r="I6" i="4"/>
  <c r="F5" i="4"/>
  <c r="I5" i="4"/>
  <c r="X5" i="6"/>
  <c r="J509" i="3"/>
  <c r="M509" i="3" s="1"/>
  <c r="J508" i="3"/>
  <c r="K508" i="3"/>
  <c r="J507" i="3"/>
  <c r="K507" i="3"/>
  <c r="J506" i="3"/>
  <c r="K506" i="3"/>
  <c r="J505" i="3"/>
  <c r="K505" i="3" s="1"/>
  <c r="J504" i="3"/>
  <c r="M504" i="3"/>
  <c r="J503" i="3"/>
  <c r="M503" i="3" s="1"/>
  <c r="J502" i="3"/>
  <c r="K502" i="3"/>
  <c r="J501" i="3"/>
  <c r="J500" i="3"/>
  <c r="M500" i="3"/>
  <c r="J499" i="3"/>
  <c r="M499" i="3"/>
  <c r="J498" i="3"/>
  <c r="K498" i="3"/>
  <c r="J497" i="3"/>
  <c r="M497" i="3" s="1"/>
  <c r="J496" i="3"/>
  <c r="M496" i="3"/>
  <c r="J495" i="3"/>
  <c r="M495" i="3"/>
  <c r="J494" i="3"/>
  <c r="M494" i="3" s="1"/>
  <c r="J493" i="3"/>
  <c r="M493" i="3" s="1"/>
  <c r="J492" i="3"/>
  <c r="M492" i="3"/>
  <c r="J491" i="3"/>
  <c r="K491" i="3" s="1"/>
  <c r="J490" i="3"/>
  <c r="K490" i="3"/>
  <c r="J489" i="3"/>
  <c r="M489" i="3" s="1"/>
  <c r="J488" i="3"/>
  <c r="K488" i="3"/>
  <c r="J487" i="3"/>
  <c r="M487" i="3" s="1"/>
  <c r="J486" i="3"/>
  <c r="M486" i="3"/>
  <c r="J485" i="3"/>
  <c r="J484" i="3"/>
  <c r="K484" i="3"/>
  <c r="J483" i="3"/>
  <c r="J482" i="3"/>
  <c r="K482" i="3" s="1"/>
  <c r="J481" i="3"/>
  <c r="M481" i="3"/>
  <c r="J480" i="3"/>
  <c r="M480" i="3" s="1"/>
  <c r="J479" i="3"/>
  <c r="M479" i="3"/>
  <c r="J478" i="3"/>
  <c r="K478" i="3" s="1"/>
  <c r="M478" i="3"/>
  <c r="J477" i="3"/>
  <c r="M477" i="3" s="1"/>
  <c r="J476" i="3"/>
  <c r="M476" i="3" s="1"/>
  <c r="K476" i="3"/>
  <c r="J475" i="3"/>
  <c r="M475" i="3"/>
  <c r="J474" i="3"/>
  <c r="K474" i="3"/>
  <c r="J473" i="3"/>
  <c r="K473" i="3" s="1"/>
  <c r="J472" i="3"/>
  <c r="M472" i="3"/>
  <c r="J471" i="3"/>
  <c r="M471" i="3"/>
  <c r="J470" i="3"/>
  <c r="J469" i="3"/>
  <c r="J468" i="3"/>
  <c r="K468" i="3"/>
  <c r="J467" i="3"/>
  <c r="J466" i="3"/>
  <c r="J465" i="3"/>
  <c r="K465" i="3"/>
  <c r="J464" i="3"/>
  <c r="M464" i="3" s="1"/>
  <c r="J463" i="3"/>
  <c r="M463" i="3"/>
  <c r="J462" i="3"/>
  <c r="M462" i="3" s="1"/>
  <c r="J461" i="3"/>
  <c r="M461" i="3"/>
  <c r="J460" i="3"/>
  <c r="M460" i="3"/>
  <c r="J459" i="3"/>
  <c r="J458" i="3"/>
  <c r="K458" i="3"/>
  <c r="J457" i="3"/>
  <c r="M457" i="3"/>
  <c r="J456" i="3"/>
  <c r="M456" i="3"/>
  <c r="J455" i="3"/>
  <c r="J454" i="3"/>
  <c r="M454" i="3"/>
  <c r="J453" i="3"/>
  <c r="M453" i="3"/>
  <c r="J452" i="3"/>
  <c r="J451" i="3"/>
  <c r="M451" i="3" s="1"/>
  <c r="K451" i="3"/>
  <c r="J450" i="3"/>
  <c r="K450" i="3" s="1"/>
  <c r="J449" i="3"/>
  <c r="J448" i="3"/>
  <c r="K448" i="3"/>
  <c r="J447" i="3"/>
  <c r="M447" i="3"/>
  <c r="J446" i="3"/>
  <c r="M446" i="3" s="1"/>
  <c r="J445" i="3"/>
  <c r="K445" i="3" s="1"/>
  <c r="J444" i="3"/>
  <c r="K444" i="3" s="1"/>
  <c r="J443" i="3"/>
  <c r="J442" i="3"/>
  <c r="K442" i="3"/>
  <c r="J441" i="3"/>
  <c r="J440" i="3"/>
  <c r="M440" i="3" s="1"/>
  <c r="J439" i="3"/>
  <c r="M439" i="3" s="1"/>
  <c r="J438" i="3"/>
  <c r="M438" i="3" s="1"/>
  <c r="J437" i="3"/>
  <c r="M437" i="3"/>
  <c r="J436" i="3"/>
  <c r="M436" i="3"/>
  <c r="J435" i="3"/>
  <c r="M435" i="3" s="1"/>
  <c r="J434" i="3"/>
  <c r="M434" i="3" s="1"/>
  <c r="K434" i="3"/>
  <c r="J433" i="3"/>
  <c r="J432" i="3"/>
  <c r="M432" i="3"/>
  <c r="J431" i="3"/>
  <c r="M431" i="3"/>
  <c r="J430" i="3"/>
  <c r="M430" i="3"/>
  <c r="J429" i="3"/>
  <c r="K429" i="3" s="1"/>
  <c r="J428" i="3"/>
  <c r="M428" i="3"/>
  <c r="J427" i="3"/>
  <c r="M427" i="3"/>
  <c r="J426" i="3"/>
  <c r="K426" i="3"/>
  <c r="J425" i="3"/>
  <c r="J424" i="3"/>
  <c r="J423" i="3"/>
  <c r="M423" i="3"/>
  <c r="J422" i="3"/>
  <c r="K422" i="3" s="1"/>
  <c r="J421" i="3"/>
  <c r="M421" i="3" s="1"/>
  <c r="J420" i="3"/>
  <c r="J419" i="3"/>
  <c r="J418" i="3"/>
  <c r="K418" i="3"/>
  <c r="J417" i="3"/>
  <c r="M417" i="3"/>
  <c r="J416" i="3"/>
  <c r="K416" i="3"/>
  <c r="J415" i="3"/>
  <c r="M415" i="3" s="1"/>
  <c r="J414" i="3"/>
  <c r="M414" i="3"/>
  <c r="J413" i="3"/>
  <c r="J412" i="3"/>
  <c r="J411" i="3"/>
  <c r="K411" i="3"/>
  <c r="J410" i="3"/>
  <c r="K410" i="3" s="1"/>
  <c r="J409" i="3"/>
  <c r="K409" i="3"/>
  <c r="J408" i="3"/>
  <c r="M408" i="3"/>
  <c r="J407" i="3"/>
  <c r="M407" i="3"/>
  <c r="J406" i="3"/>
  <c r="K406" i="3" s="1"/>
  <c r="J405" i="3"/>
  <c r="K405" i="3"/>
  <c r="J404" i="3"/>
  <c r="M404" i="3"/>
  <c r="J403" i="3"/>
  <c r="M403" i="3"/>
  <c r="J402" i="3"/>
  <c r="J401" i="3"/>
  <c r="M401" i="3"/>
  <c r="J400" i="3"/>
  <c r="M400" i="3" s="1"/>
  <c r="J399" i="3"/>
  <c r="M399" i="3" s="1"/>
  <c r="J398" i="3"/>
  <c r="M398" i="3"/>
  <c r="J397" i="3"/>
  <c r="M397" i="3" s="1"/>
  <c r="J396" i="3"/>
  <c r="J395" i="3"/>
  <c r="M395" i="3"/>
  <c r="J394" i="3"/>
  <c r="M394" i="3" s="1"/>
  <c r="J393" i="3"/>
  <c r="K393" i="3" s="1"/>
  <c r="J392" i="3"/>
  <c r="J391" i="3"/>
  <c r="M391" i="3" s="1"/>
  <c r="J390" i="3"/>
  <c r="J389" i="3"/>
  <c r="M389" i="3" s="1"/>
  <c r="J388" i="3"/>
  <c r="K388" i="3"/>
  <c r="J387" i="3"/>
  <c r="M387" i="3" s="1"/>
  <c r="J386" i="3"/>
  <c r="K386" i="3"/>
  <c r="J385" i="3"/>
  <c r="M385" i="3" s="1"/>
  <c r="J384" i="3"/>
  <c r="M384" i="3" s="1"/>
  <c r="J383" i="3"/>
  <c r="K383" i="3" s="1"/>
  <c r="J382" i="3"/>
  <c r="K382" i="3" s="1"/>
  <c r="J381" i="3"/>
  <c r="M381" i="3"/>
  <c r="J380" i="3"/>
  <c r="J379" i="3"/>
  <c r="K379" i="3"/>
  <c r="J378" i="3"/>
  <c r="K378" i="3" s="1"/>
  <c r="J377" i="3"/>
  <c r="K377" i="3"/>
  <c r="J376" i="3"/>
  <c r="M376" i="3"/>
  <c r="J375" i="3"/>
  <c r="M375" i="3" s="1"/>
  <c r="J374" i="3"/>
  <c r="K374" i="3" s="1"/>
  <c r="J373" i="3"/>
  <c r="J372" i="3"/>
  <c r="M372" i="3"/>
  <c r="J371" i="3"/>
  <c r="M371" i="3"/>
  <c r="J370" i="3"/>
  <c r="J369" i="3"/>
  <c r="M369" i="3" s="1"/>
  <c r="K369" i="3"/>
  <c r="J368" i="3"/>
  <c r="J367" i="3"/>
  <c r="M367" i="3"/>
  <c r="J366" i="3"/>
  <c r="J365" i="3"/>
  <c r="J364" i="3"/>
  <c r="M364" i="3"/>
  <c r="J363" i="3"/>
  <c r="M363" i="3"/>
  <c r="J362" i="3"/>
  <c r="J361" i="3"/>
  <c r="K361" i="3"/>
  <c r="J360" i="3"/>
  <c r="M360" i="3" s="1"/>
  <c r="J359" i="3"/>
  <c r="J358" i="3"/>
  <c r="M358" i="3"/>
  <c r="J357" i="3"/>
  <c r="M357" i="3"/>
  <c r="J356" i="3"/>
  <c r="M356" i="3" s="1"/>
  <c r="J355" i="3"/>
  <c r="J354" i="3"/>
  <c r="K354" i="3" s="1"/>
  <c r="J353" i="3"/>
  <c r="M353" i="3" s="1"/>
  <c r="J352" i="3"/>
  <c r="M352" i="3"/>
  <c r="J351" i="3"/>
  <c r="M351" i="3"/>
  <c r="J350" i="3"/>
  <c r="M350" i="3" s="1"/>
  <c r="J349" i="3"/>
  <c r="M349" i="3"/>
  <c r="J348" i="3"/>
  <c r="K348" i="3"/>
  <c r="J347" i="3"/>
  <c r="M347" i="3"/>
  <c r="J346" i="3"/>
  <c r="K346" i="3" s="1"/>
  <c r="J345" i="3"/>
  <c r="K345" i="3"/>
  <c r="J344" i="3"/>
  <c r="J343" i="3"/>
  <c r="M343" i="3"/>
  <c r="J342" i="3"/>
  <c r="J341" i="3"/>
  <c r="J340" i="3"/>
  <c r="K340" i="3" s="1"/>
  <c r="J339" i="3"/>
  <c r="M339" i="3"/>
  <c r="J338" i="3"/>
  <c r="K338" i="3"/>
  <c r="J337" i="3"/>
  <c r="M337" i="3" s="1"/>
  <c r="J336" i="3"/>
  <c r="M336" i="3"/>
  <c r="J335" i="3"/>
  <c r="K335" i="3" s="1"/>
  <c r="J334" i="3"/>
  <c r="J333" i="3"/>
  <c r="K333" i="3"/>
  <c r="J332" i="3"/>
  <c r="J331" i="3"/>
  <c r="K331" i="3" s="1"/>
  <c r="J330" i="3"/>
  <c r="M330" i="3" s="1"/>
  <c r="J329" i="3"/>
  <c r="K329" i="3" s="1"/>
  <c r="J328" i="3"/>
  <c r="K328" i="3"/>
  <c r="J327" i="3"/>
  <c r="M327" i="3"/>
  <c r="J326" i="3"/>
  <c r="M326" i="3" s="1"/>
  <c r="K326" i="3"/>
  <c r="J325" i="3"/>
  <c r="M325" i="3" s="1"/>
  <c r="J324" i="3"/>
  <c r="M324" i="3"/>
  <c r="J323" i="3"/>
  <c r="M323" i="3"/>
  <c r="J322" i="3"/>
  <c r="K322" i="3"/>
  <c r="J321" i="3"/>
  <c r="J320" i="3"/>
  <c r="M320" i="3"/>
  <c r="J319" i="3"/>
  <c r="M319" i="3"/>
  <c r="J318" i="3"/>
  <c r="M318" i="3"/>
  <c r="J317" i="3"/>
  <c r="J316" i="3"/>
  <c r="J315" i="3"/>
  <c r="M315" i="3" s="1"/>
  <c r="J314" i="3"/>
  <c r="K314" i="3" s="1"/>
  <c r="J313" i="3"/>
  <c r="J312" i="3"/>
  <c r="K312" i="3" s="1"/>
  <c r="J311" i="3"/>
  <c r="J310" i="3"/>
  <c r="K310" i="3" s="1"/>
  <c r="J309" i="3"/>
  <c r="M309" i="3"/>
  <c r="J308" i="3"/>
  <c r="M308" i="3" s="1"/>
  <c r="J307" i="3"/>
  <c r="M307" i="3"/>
  <c r="J306" i="3"/>
  <c r="K306" i="3" s="1"/>
  <c r="J305" i="3"/>
  <c r="M305" i="3"/>
  <c r="J304" i="3"/>
  <c r="J303" i="3"/>
  <c r="J302" i="3"/>
  <c r="M302" i="3"/>
  <c r="J301" i="3"/>
  <c r="M301" i="3" s="1"/>
  <c r="J300" i="3"/>
  <c r="M300" i="3"/>
  <c r="J299" i="3"/>
  <c r="J298" i="3"/>
  <c r="K298" i="3" s="1"/>
  <c r="J297" i="3"/>
  <c r="J296" i="3"/>
  <c r="M296" i="3"/>
  <c r="J295" i="3"/>
  <c r="M295" i="3"/>
  <c r="J294" i="3"/>
  <c r="M294" i="3" s="1"/>
  <c r="J293" i="3"/>
  <c r="K293" i="3" s="1"/>
  <c r="M293" i="3"/>
  <c r="J292" i="3"/>
  <c r="M292" i="3"/>
  <c r="J291" i="3"/>
  <c r="K291" i="3"/>
  <c r="J290" i="3"/>
  <c r="J289" i="3"/>
  <c r="M289" i="3"/>
  <c r="J288" i="3"/>
  <c r="J287" i="3"/>
  <c r="K287" i="3" s="1"/>
  <c r="M287" i="3"/>
  <c r="J286" i="3"/>
  <c r="M286" i="3"/>
  <c r="J285" i="3"/>
  <c r="M285" i="3" s="1"/>
  <c r="J284" i="3"/>
  <c r="K284" i="3"/>
  <c r="J283" i="3"/>
  <c r="M283" i="3"/>
  <c r="J282" i="3"/>
  <c r="K282" i="3"/>
  <c r="J281" i="3"/>
  <c r="K281" i="3" s="1"/>
  <c r="J280" i="3"/>
  <c r="K280" i="3"/>
  <c r="J279" i="3"/>
  <c r="J278" i="3"/>
  <c r="K278" i="3"/>
  <c r="J277" i="3"/>
  <c r="K277" i="3" s="1"/>
  <c r="M277" i="3"/>
  <c r="J276" i="3"/>
  <c r="J275" i="3"/>
  <c r="M275" i="3"/>
  <c r="J274" i="3"/>
  <c r="K274" i="3"/>
  <c r="J273" i="3"/>
  <c r="M273" i="3"/>
  <c r="J272" i="3"/>
  <c r="M272" i="3" s="1"/>
  <c r="J271" i="3"/>
  <c r="M271" i="3"/>
  <c r="J270" i="3"/>
  <c r="K270" i="3"/>
  <c r="J269" i="3"/>
  <c r="M269" i="3"/>
  <c r="J268" i="3"/>
  <c r="M268" i="3" s="1"/>
  <c r="J267" i="3"/>
  <c r="M267" i="3"/>
  <c r="J266" i="3"/>
  <c r="K266" i="3"/>
  <c r="J265" i="3"/>
  <c r="M265" i="3"/>
  <c r="J264" i="3"/>
  <c r="J263" i="3"/>
  <c r="M263" i="3"/>
  <c r="J262" i="3"/>
  <c r="M262" i="3"/>
  <c r="J261" i="3"/>
  <c r="K261" i="3"/>
  <c r="J260" i="3"/>
  <c r="J259" i="3"/>
  <c r="M259" i="3"/>
  <c r="J258" i="3"/>
  <c r="K258" i="3"/>
  <c r="J257" i="3"/>
  <c r="M257" i="3"/>
  <c r="J256" i="3"/>
  <c r="J255" i="3"/>
  <c r="M255" i="3"/>
  <c r="J254" i="3"/>
  <c r="M254" i="3"/>
  <c r="J253" i="3"/>
  <c r="M253" i="3" s="1"/>
  <c r="K253" i="3"/>
  <c r="J252" i="3"/>
  <c r="K252" i="3" s="1"/>
  <c r="J251" i="3"/>
  <c r="M251" i="3"/>
  <c r="J250" i="3"/>
  <c r="J249" i="3"/>
  <c r="K249" i="3"/>
  <c r="J248" i="3"/>
  <c r="M248" i="3"/>
  <c r="J247" i="3"/>
  <c r="M247" i="3" s="1"/>
  <c r="J246" i="3"/>
  <c r="J245" i="3"/>
  <c r="J244" i="3"/>
  <c r="K244" i="3"/>
  <c r="J243" i="3"/>
  <c r="M243" i="3" s="1"/>
  <c r="J242" i="3"/>
  <c r="K242" i="3" s="1"/>
  <c r="J241" i="3"/>
  <c r="M241" i="3"/>
  <c r="J240" i="3"/>
  <c r="M240" i="3"/>
  <c r="J239" i="3"/>
  <c r="M239" i="3"/>
  <c r="J238" i="3"/>
  <c r="J237" i="3"/>
  <c r="J236" i="3"/>
  <c r="M236" i="3"/>
  <c r="J235" i="3"/>
  <c r="K235" i="3" s="1"/>
  <c r="M235" i="3"/>
  <c r="J234" i="3"/>
  <c r="K234" i="3"/>
  <c r="J233" i="3"/>
  <c r="M233" i="3" s="1"/>
  <c r="J232" i="3"/>
  <c r="M232" i="3"/>
  <c r="J231" i="3"/>
  <c r="M231" i="3" s="1"/>
  <c r="J230" i="3"/>
  <c r="M230" i="3"/>
  <c r="J229" i="3"/>
  <c r="J228" i="3"/>
  <c r="M228" i="3" s="1"/>
  <c r="J227" i="3"/>
  <c r="J226" i="3"/>
  <c r="K226" i="3" s="1"/>
  <c r="J225" i="3"/>
  <c r="J224" i="3"/>
  <c r="J223" i="3"/>
  <c r="M223" i="3"/>
  <c r="J222" i="3"/>
  <c r="K222" i="3" s="1"/>
  <c r="M222" i="3"/>
  <c r="J221" i="3"/>
  <c r="M221" i="3" s="1"/>
  <c r="J220" i="3"/>
  <c r="K220" i="3"/>
  <c r="J219" i="3"/>
  <c r="M219" i="3"/>
  <c r="J218" i="3"/>
  <c r="K218" i="3"/>
  <c r="J217" i="3"/>
  <c r="K217" i="3" s="1"/>
  <c r="J216" i="3"/>
  <c r="J215" i="3"/>
  <c r="M215" i="3" s="1"/>
  <c r="J214" i="3"/>
  <c r="K214" i="3" s="1"/>
  <c r="J213" i="3"/>
  <c r="M213" i="3" s="1"/>
  <c r="J212" i="3"/>
  <c r="M212" i="3" s="1"/>
  <c r="K212" i="3"/>
  <c r="J211" i="3"/>
  <c r="J210" i="3"/>
  <c r="K210" i="3" s="1"/>
  <c r="J209" i="3"/>
  <c r="K209" i="3"/>
  <c r="J208" i="3"/>
  <c r="M208" i="3" s="1"/>
  <c r="J207" i="3"/>
  <c r="M207" i="3" s="1"/>
  <c r="J206" i="3"/>
  <c r="J205" i="3"/>
  <c r="K205" i="3"/>
  <c r="J204" i="3"/>
  <c r="M204" i="3" s="1"/>
  <c r="J203" i="3"/>
  <c r="M203" i="3"/>
  <c r="J202" i="3"/>
  <c r="K202" i="3" s="1"/>
  <c r="J201" i="3"/>
  <c r="J200" i="3"/>
  <c r="K200" i="3" s="1"/>
  <c r="M200" i="3"/>
  <c r="J199" i="3"/>
  <c r="M199" i="3" s="1"/>
  <c r="J198" i="3"/>
  <c r="K198" i="3" s="1"/>
  <c r="J197" i="3"/>
  <c r="M197" i="3" s="1"/>
  <c r="J196" i="3"/>
  <c r="J195" i="3"/>
  <c r="M195" i="3"/>
  <c r="J194" i="3"/>
  <c r="K194" i="3" s="1"/>
  <c r="J193" i="3"/>
  <c r="J192" i="3"/>
  <c r="M192" i="3" s="1"/>
  <c r="J191" i="3"/>
  <c r="M191" i="3"/>
  <c r="J190" i="3"/>
  <c r="J189" i="3"/>
  <c r="M189" i="3" s="1"/>
  <c r="J188" i="3"/>
  <c r="M188" i="3" s="1"/>
  <c r="K188" i="3"/>
  <c r="J187" i="3"/>
  <c r="J186" i="3"/>
  <c r="K186" i="3"/>
  <c r="J185" i="3"/>
  <c r="K185" i="3"/>
  <c r="J184" i="3"/>
  <c r="M184" i="3" s="1"/>
  <c r="J183" i="3"/>
  <c r="J182" i="3"/>
  <c r="J181" i="3"/>
  <c r="K181" i="3"/>
  <c r="J180" i="3"/>
  <c r="M180" i="3" s="1"/>
  <c r="J179" i="3"/>
  <c r="M179" i="3" s="1"/>
  <c r="J178" i="3"/>
  <c r="M178" i="3" s="1"/>
  <c r="K178" i="3"/>
  <c r="J177" i="3"/>
  <c r="J176" i="3"/>
  <c r="M176" i="3"/>
  <c r="J175" i="3"/>
  <c r="M175" i="3" s="1"/>
  <c r="J174" i="3"/>
  <c r="M174" i="3"/>
  <c r="J173" i="3"/>
  <c r="K173" i="3" s="1"/>
  <c r="J172" i="3"/>
  <c r="M172" i="3"/>
  <c r="J171" i="3"/>
  <c r="J170" i="3"/>
  <c r="J169" i="3"/>
  <c r="M169" i="3"/>
  <c r="J168" i="3"/>
  <c r="K168" i="3" s="1"/>
  <c r="J167" i="3"/>
  <c r="J166" i="3"/>
  <c r="M166" i="3"/>
  <c r="J165" i="3"/>
  <c r="M165" i="3" s="1"/>
  <c r="J164" i="3"/>
  <c r="M164" i="3"/>
  <c r="J163" i="3"/>
  <c r="K163" i="3" s="1"/>
  <c r="J162" i="3"/>
  <c r="K162" i="3"/>
  <c r="J161" i="3"/>
  <c r="K161" i="3" s="1"/>
  <c r="J160" i="3"/>
  <c r="K160" i="3"/>
  <c r="J159" i="3"/>
  <c r="M159" i="3" s="1"/>
  <c r="J158" i="3"/>
  <c r="M158" i="3" s="1"/>
  <c r="J157" i="3"/>
  <c r="K157" i="3" s="1"/>
  <c r="M157" i="3"/>
  <c r="J156" i="3"/>
  <c r="J155" i="3"/>
  <c r="M155" i="3"/>
  <c r="J154" i="3"/>
  <c r="J153" i="3"/>
  <c r="K153" i="3" s="1"/>
  <c r="J152" i="3"/>
  <c r="M152" i="3"/>
  <c r="J151" i="3"/>
  <c r="M151" i="3" s="1"/>
  <c r="J150" i="3"/>
  <c r="K150" i="3" s="1"/>
  <c r="J149" i="3"/>
  <c r="M149" i="3"/>
  <c r="J148" i="3"/>
  <c r="K148" i="3"/>
  <c r="J147" i="3"/>
  <c r="M147" i="3" s="1"/>
  <c r="J146" i="3"/>
  <c r="J145" i="3"/>
  <c r="M145" i="3" s="1"/>
  <c r="J144" i="3"/>
  <c r="K144" i="3" s="1"/>
  <c r="J143" i="3"/>
  <c r="M143" i="3" s="1"/>
  <c r="J142" i="3"/>
  <c r="J141" i="3"/>
  <c r="K141" i="3"/>
  <c r="J140" i="3"/>
  <c r="J139" i="3"/>
  <c r="M139" i="3"/>
  <c r="J138" i="3"/>
  <c r="K138" i="3" s="1"/>
  <c r="J137" i="3"/>
  <c r="J136" i="3"/>
  <c r="M136" i="3"/>
  <c r="J135" i="3"/>
  <c r="M135" i="3" s="1"/>
  <c r="J134" i="3"/>
  <c r="K134" i="3" s="1"/>
  <c r="J133" i="3"/>
  <c r="M133" i="3" s="1"/>
  <c r="J132" i="3"/>
  <c r="K132" i="3" s="1"/>
  <c r="J131" i="3"/>
  <c r="M131" i="3"/>
  <c r="J130" i="3"/>
  <c r="K130" i="3" s="1"/>
  <c r="J129" i="3"/>
  <c r="K129" i="3" s="1"/>
  <c r="J128" i="3"/>
  <c r="M128" i="3" s="1"/>
  <c r="J127" i="3"/>
  <c r="M127" i="3"/>
  <c r="J126" i="3"/>
  <c r="J125" i="3"/>
  <c r="M125" i="3"/>
  <c r="J124" i="3"/>
  <c r="J123" i="3"/>
  <c r="K123" i="3"/>
  <c r="J122" i="3"/>
  <c r="J121" i="3"/>
  <c r="K121" i="3" s="1"/>
  <c r="J120" i="3"/>
  <c r="K120" i="3"/>
  <c r="J119" i="3"/>
  <c r="M119" i="3"/>
  <c r="J118" i="3"/>
  <c r="K118" i="3"/>
  <c r="J117" i="3"/>
  <c r="M117" i="3" s="1"/>
  <c r="J116" i="3"/>
  <c r="M116" i="3"/>
  <c r="J115" i="3"/>
  <c r="M115" i="3"/>
  <c r="J114" i="3"/>
  <c r="K114" i="3"/>
  <c r="J113" i="3"/>
  <c r="K113" i="3" s="1"/>
  <c r="J112" i="3"/>
  <c r="J111" i="3"/>
  <c r="M111" i="3" s="1"/>
  <c r="J110" i="3"/>
  <c r="M110" i="3" s="1"/>
  <c r="J109" i="3"/>
  <c r="M109" i="3"/>
  <c r="J108" i="3"/>
  <c r="J107" i="3"/>
  <c r="K107" i="3" s="1"/>
  <c r="J106" i="3"/>
  <c r="J105" i="3"/>
  <c r="M105" i="3" s="1"/>
  <c r="J104" i="3"/>
  <c r="K104" i="3"/>
  <c r="J103" i="3"/>
  <c r="M103" i="3" s="1"/>
  <c r="J102" i="3"/>
  <c r="K102" i="3" s="1"/>
  <c r="J101" i="3"/>
  <c r="M101" i="3" s="1"/>
  <c r="K101" i="3"/>
  <c r="J100" i="3"/>
  <c r="M100" i="3" s="1"/>
  <c r="J99" i="3"/>
  <c r="J98" i="3"/>
  <c r="M98" i="3" s="1"/>
  <c r="K98" i="3"/>
  <c r="J97" i="3"/>
  <c r="M97" i="3"/>
  <c r="J96" i="3"/>
  <c r="J95" i="3"/>
  <c r="J94" i="3"/>
  <c r="J93" i="3"/>
  <c r="K93" i="3" s="1"/>
  <c r="M93" i="3"/>
  <c r="J92" i="3"/>
  <c r="K92" i="3"/>
  <c r="J91" i="3"/>
  <c r="J90" i="3"/>
  <c r="J89" i="3"/>
  <c r="K89" i="3"/>
  <c r="J88" i="3"/>
  <c r="J87" i="3"/>
  <c r="M87" i="3"/>
  <c r="J86" i="3"/>
  <c r="K86" i="3" s="1"/>
  <c r="J85" i="3"/>
  <c r="K85" i="3"/>
  <c r="J84" i="3"/>
  <c r="M84" i="3" s="1"/>
  <c r="K84" i="3"/>
  <c r="J83" i="3"/>
  <c r="M83" i="3"/>
  <c r="J82" i="3"/>
  <c r="J81" i="3"/>
  <c r="M81" i="3"/>
  <c r="J80" i="3"/>
  <c r="M80" i="3"/>
  <c r="J79" i="3"/>
  <c r="J78" i="3"/>
  <c r="J77" i="3"/>
  <c r="J76" i="3"/>
  <c r="K76" i="3"/>
  <c r="J75" i="3"/>
  <c r="M75" i="3"/>
  <c r="J74" i="3"/>
  <c r="K74" i="3"/>
  <c r="J73" i="3"/>
  <c r="J72" i="3"/>
  <c r="M72" i="3"/>
  <c r="J71" i="3"/>
  <c r="J70" i="3"/>
  <c r="K70" i="3" s="1"/>
  <c r="J69" i="3"/>
  <c r="M69" i="3" s="1"/>
  <c r="J68" i="3"/>
  <c r="J67" i="3"/>
  <c r="J66" i="3"/>
  <c r="K66" i="3"/>
  <c r="J65" i="3"/>
  <c r="M65" i="3"/>
  <c r="J64" i="3"/>
  <c r="M64" i="3"/>
  <c r="J63" i="3"/>
  <c r="M63" i="3" s="1"/>
  <c r="J62" i="3"/>
  <c r="J61" i="3"/>
  <c r="M61" i="3" s="1"/>
  <c r="J60" i="3"/>
  <c r="J59" i="3"/>
  <c r="M59" i="3" s="1"/>
  <c r="J58" i="3"/>
  <c r="K58" i="3" s="1"/>
  <c r="J57" i="3"/>
  <c r="J56" i="3"/>
  <c r="M56" i="3" s="1"/>
  <c r="J55" i="3"/>
  <c r="M55" i="3"/>
  <c r="J54" i="3"/>
  <c r="K54" i="3" s="1"/>
  <c r="J53" i="3"/>
  <c r="K53" i="3"/>
  <c r="J52" i="3"/>
  <c r="M52" i="3" s="1"/>
  <c r="J51" i="3"/>
  <c r="M51" i="3"/>
  <c r="J50" i="3"/>
  <c r="J49" i="3"/>
  <c r="J48" i="3"/>
  <c r="M48" i="3" s="1"/>
  <c r="J47" i="3"/>
  <c r="J46" i="3"/>
  <c r="K46" i="3"/>
  <c r="J45" i="3"/>
  <c r="M45" i="3" s="1"/>
  <c r="J44" i="3"/>
  <c r="M44" i="3"/>
  <c r="J43" i="3"/>
  <c r="J42" i="3"/>
  <c r="K42" i="3"/>
  <c r="J41" i="3"/>
  <c r="J40" i="3"/>
  <c r="M40" i="3" s="1"/>
  <c r="J39" i="3"/>
  <c r="M39" i="3" s="1"/>
  <c r="J38" i="3"/>
  <c r="J37" i="3"/>
  <c r="J36" i="3"/>
  <c r="M36" i="3"/>
  <c r="J35" i="3"/>
  <c r="M35" i="3" s="1"/>
  <c r="J34" i="3"/>
  <c r="K34" i="3" s="1"/>
  <c r="J33" i="3"/>
  <c r="M33" i="3"/>
  <c r="J32" i="3"/>
  <c r="M32" i="3"/>
  <c r="J31" i="3"/>
  <c r="K31" i="3" s="1"/>
  <c r="M31" i="3"/>
  <c r="J30" i="3"/>
  <c r="M30" i="3" s="1"/>
  <c r="J29" i="3"/>
  <c r="M29" i="3"/>
  <c r="J28" i="3"/>
  <c r="K28" i="3"/>
  <c r="J27" i="3"/>
  <c r="M27" i="3"/>
  <c r="J26" i="3"/>
  <c r="K26" i="3" s="1"/>
  <c r="J25" i="3"/>
  <c r="J24" i="3"/>
  <c r="J23" i="3"/>
  <c r="J22" i="3"/>
  <c r="K22" i="3"/>
  <c r="J21" i="3"/>
  <c r="K21" i="3" s="1"/>
  <c r="J20" i="3"/>
  <c r="J19" i="3"/>
  <c r="K19" i="3" s="1"/>
  <c r="J18" i="3"/>
  <c r="M18" i="3" s="1"/>
  <c r="J17" i="3"/>
  <c r="V11" i="6" s="1"/>
  <c r="AA11" i="6" s="1"/>
  <c r="AB11" i="6" s="1"/>
  <c r="M17" i="3"/>
  <c r="J16" i="3"/>
  <c r="V10" i="6" s="1"/>
  <c r="AA10" i="6" s="1"/>
  <c r="AB10" i="6" s="1"/>
  <c r="J15" i="3"/>
  <c r="J14" i="3"/>
  <c r="K14" i="3" s="1"/>
  <c r="J13" i="3"/>
  <c r="K13" i="3" s="1"/>
  <c r="J12" i="3"/>
  <c r="M12" i="3"/>
  <c r="J11" i="3"/>
  <c r="V8" i="6" s="1"/>
  <c r="AA8" i="6" s="1"/>
  <c r="M11" i="3"/>
  <c r="J5" i="3"/>
  <c r="M5" i="3" s="1"/>
  <c r="I11" i="1"/>
  <c r="I10" i="1"/>
  <c r="I9" i="1"/>
  <c r="C9" i="1"/>
  <c r="I8" i="1"/>
  <c r="I7" i="1"/>
  <c r="C7" i="1"/>
  <c r="C6" i="1"/>
  <c r="C5" i="1"/>
  <c r="F10" i="1"/>
  <c r="AA473" i="6"/>
  <c r="AB473" i="6" s="1"/>
  <c r="AA666" i="6"/>
  <c r="AA895" i="6"/>
  <c r="AB895" i="6" s="1"/>
  <c r="AC895" i="6" s="1"/>
  <c r="K9" i="3"/>
  <c r="AA511" i="6"/>
  <c r="AA80" i="6"/>
  <c r="AA259" i="6"/>
  <c r="AA360" i="6"/>
  <c r="AB360" i="6" s="1"/>
  <c r="AA579" i="6"/>
  <c r="AA791" i="6"/>
  <c r="AB791" i="6" s="1"/>
  <c r="AA850" i="6"/>
  <c r="AB850" i="6" s="1"/>
  <c r="AC850" i="6" s="1"/>
  <c r="AA907" i="6"/>
  <c r="AA721" i="6"/>
  <c r="AB721" i="6" s="1"/>
  <c r="AA136" i="6"/>
  <c r="AB136" i="6" s="1"/>
  <c r="AA582" i="6"/>
  <c r="AB582" i="6" s="1"/>
  <c r="AC582" i="6" s="1"/>
  <c r="AA161" i="6"/>
  <c r="AB161" i="6" s="1"/>
  <c r="AA341" i="6"/>
  <c r="AB341" i="6" s="1"/>
  <c r="AA487" i="6"/>
  <c r="AB487" i="6" s="1"/>
  <c r="AA313" i="6"/>
  <c r="T313" i="6"/>
  <c r="U313" i="6"/>
  <c r="AA139" i="6"/>
  <c r="AB139" i="6" s="1"/>
  <c r="AA296" i="6"/>
  <c r="AB296" i="6" s="1"/>
  <c r="AA997" i="6"/>
  <c r="AB997" i="6" s="1"/>
  <c r="AC997" i="6" s="1"/>
  <c r="AA76" i="6"/>
  <c r="AB76" i="6" s="1"/>
  <c r="AA937" i="6"/>
  <c r="AA174" i="6"/>
  <c r="AB174" i="6" s="1"/>
  <c r="AA732" i="6"/>
  <c r="AB732" i="6" s="1"/>
  <c r="AA899" i="6"/>
  <c r="AB899" i="6" s="1"/>
  <c r="K8" i="3"/>
  <c r="M141" i="3"/>
  <c r="K172" i="3"/>
  <c r="M379" i="3"/>
  <c r="K6" i="3"/>
  <c r="K477" i="3"/>
  <c r="M53" i="3"/>
  <c r="M107" i="3"/>
  <c r="K7" i="3"/>
  <c r="K301" i="3"/>
  <c r="M473" i="3"/>
  <c r="M181" i="3"/>
  <c r="K52" i="3"/>
  <c r="K125" i="3"/>
  <c r="M138" i="3"/>
  <c r="M405" i="3"/>
  <c r="M205" i="3"/>
  <c r="M333" i="3"/>
  <c r="K453" i="3"/>
  <c r="M488" i="3"/>
  <c r="M209" i="3"/>
  <c r="K232" i="3"/>
  <c r="M507" i="3"/>
  <c r="M361" i="3"/>
  <c r="K343" i="3"/>
  <c r="M484" i="3"/>
  <c r="M354" i="3"/>
  <c r="M46" i="3"/>
  <c r="M148" i="3"/>
  <c r="K166" i="3"/>
  <c r="M226" i="3"/>
  <c r="K437" i="3"/>
  <c r="M21" i="3"/>
  <c r="M120" i="3"/>
  <c r="M210" i="3"/>
  <c r="K221" i="3"/>
  <c r="K349" i="3"/>
  <c r="K400" i="3"/>
  <c r="M502" i="3"/>
  <c r="K427" i="3"/>
  <c r="M162" i="3"/>
  <c r="K241" i="3"/>
  <c r="K259" i="3"/>
  <c r="K376" i="3"/>
  <c r="K415" i="3"/>
  <c r="M244" i="3"/>
  <c r="K133" i="3"/>
  <c r="K191" i="3"/>
  <c r="K421" i="3"/>
  <c r="K479" i="3"/>
  <c r="K110" i="3"/>
  <c r="K139" i="3"/>
  <c r="K197" i="3"/>
  <c r="K223" i="3"/>
  <c r="M278" i="3"/>
  <c r="K357" i="3"/>
  <c r="K461" i="3"/>
  <c r="K61" i="3"/>
  <c r="K152" i="3"/>
  <c r="K169" i="3"/>
  <c r="M173" i="3"/>
  <c r="K213" i="3"/>
  <c r="K219" i="3"/>
  <c r="K397" i="3"/>
  <c r="M416" i="3"/>
  <c r="K493" i="3"/>
  <c r="K56" i="3"/>
  <c r="M129" i="3"/>
  <c r="K255" i="3"/>
  <c r="K384" i="3"/>
  <c r="K481" i="3"/>
  <c r="K11" i="3"/>
  <c r="AA272" i="6"/>
  <c r="AB272" i="6" s="1"/>
  <c r="AC272" i="6"/>
  <c r="T272" i="6"/>
  <c r="U272" i="6"/>
  <c r="AA230" i="6"/>
  <c r="AB230" i="6" s="1"/>
  <c r="M19" i="3"/>
  <c r="K99" i="3"/>
  <c r="M99" i="3"/>
  <c r="K159" i="3"/>
  <c r="M485" i="3"/>
  <c r="K485" i="3"/>
  <c r="K355" i="3"/>
  <c r="M355" i="3"/>
  <c r="K62" i="3"/>
  <c r="M62" i="3"/>
  <c r="K225" i="3"/>
  <c r="M225" i="3"/>
  <c r="K299" i="3"/>
  <c r="M299" i="3"/>
  <c r="M335" i="3"/>
  <c r="K75" i="3"/>
  <c r="M274" i="3"/>
  <c r="K366" i="3"/>
  <c r="M366" i="3"/>
  <c r="M70" i="3"/>
  <c r="K117" i="3"/>
  <c r="K149" i="3"/>
  <c r="K203" i="3"/>
  <c r="K228" i="3"/>
  <c r="K428" i="3"/>
  <c r="M468" i="3"/>
  <c r="M66" i="3"/>
  <c r="M89" i="3"/>
  <c r="M95" i="3"/>
  <c r="K95" i="3"/>
  <c r="M144" i="3"/>
  <c r="K269" i="3"/>
  <c r="K381" i="3"/>
  <c r="M413" i="3"/>
  <c r="K413" i="3"/>
  <c r="K499" i="3"/>
  <c r="K29" i="3"/>
  <c r="K290" i="3"/>
  <c r="M290" i="3"/>
  <c r="M130" i="3"/>
  <c r="K135" i="3"/>
  <c r="M163" i="3"/>
  <c r="K302" i="3"/>
  <c r="M322" i="3"/>
  <c r="M459" i="3"/>
  <c r="K459" i="3"/>
  <c r="K308" i="3"/>
  <c r="M444" i="3"/>
  <c r="K24" i="3"/>
  <c r="M24" i="3"/>
  <c r="K59" i="3"/>
  <c r="M79" i="3"/>
  <c r="K79" i="3"/>
  <c r="M237" i="3"/>
  <c r="K237" i="3"/>
  <c r="K285" i="3"/>
  <c r="K358" i="3"/>
  <c r="K404" i="3"/>
  <c r="M418" i="3"/>
  <c r="M450" i="3"/>
  <c r="K500" i="3"/>
  <c r="K45" i="3"/>
  <c r="K72" i="3"/>
  <c r="K127" i="3"/>
  <c r="K136" i="3"/>
  <c r="M261" i="3"/>
  <c r="K319" i="3"/>
  <c r="K351" i="3"/>
  <c r="M386" i="3"/>
  <c r="M422" i="3"/>
  <c r="K475" i="3"/>
  <c r="M14" i="3"/>
  <c r="K55" i="3"/>
  <c r="M76" i="3"/>
  <c r="K80" i="3"/>
  <c r="M85" i="3"/>
  <c r="M104" i="3"/>
  <c r="K109" i="3"/>
  <c r="M160" i="3"/>
  <c r="K165" i="3"/>
  <c r="M168" i="3"/>
  <c r="M258" i="3"/>
  <c r="K267" i="3"/>
  <c r="M291" i="3"/>
  <c r="K296" i="3"/>
  <c r="K309" i="3"/>
  <c r="K325" i="3"/>
  <c r="K360" i="3"/>
  <c r="K391" i="3"/>
  <c r="K395" i="3"/>
  <c r="M410" i="3"/>
  <c r="K435" i="3"/>
  <c r="K456" i="3"/>
  <c r="M465" i="3"/>
  <c r="K496" i="3"/>
  <c r="K275" i="3"/>
  <c r="M345" i="3"/>
  <c r="K503" i="3"/>
  <c r="AA559" i="6"/>
  <c r="AB559" i="6"/>
  <c r="AC559" i="6" s="1"/>
  <c r="M132" i="3"/>
  <c r="K180" i="3"/>
  <c r="M194" i="3"/>
  <c r="K243" i="3"/>
  <c r="M328" i="3"/>
  <c r="M445" i="3"/>
  <c r="K363" i="3"/>
  <c r="K509" i="3"/>
  <c r="M123" i="3"/>
  <c r="M270" i="3"/>
  <c r="M280" i="3"/>
  <c r="K336" i="3"/>
  <c r="M382" i="3"/>
  <c r="M482" i="3"/>
  <c r="AA157" i="6"/>
  <c r="M388" i="3"/>
  <c r="M411" i="3"/>
  <c r="K447" i="3"/>
  <c r="F9" i="1"/>
  <c r="AA336" i="6"/>
  <c r="AB336" i="6" s="1"/>
  <c r="AA470" i="6"/>
  <c r="AA537" i="6"/>
  <c r="AB537" i="6" s="1"/>
  <c r="AA298" i="6"/>
  <c r="AB298" i="6" s="1"/>
  <c r="AC298" i="6" s="1"/>
  <c r="AA365" i="6"/>
  <c r="AA457" i="6"/>
  <c r="AB457" i="6" s="1"/>
  <c r="T457" i="6"/>
  <c r="U457" i="6"/>
  <c r="AA521" i="6"/>
  <c r="AA177" i="6"/>
  <c r="AB177" i="6" s="1"/>
  <c r="AA171" i="6"/>
  <c r="AB171" i="6" s="1"/>
  <c r="AC171" i="6" s="1"/>
  <c r="AA254" i="6"/>
  <c r="AB254" i="6" s="1"/>
  <c r="AA465" i="6"/>
  <c r="AB465" i="6" s="1"/>
  <c r="F12" i="1"/>
  <c r="AA167" i="6"/>
  <c r="AB167" i="6" s="1"/>
  <c r="AC167" i="6" s="1"/>
  <c r="AA260" i="6"/>
  <c r="AB260" i="6" s="1"/>
  <c r="AC260" i="6" s="1"/>
  <c r="T260" i="6"/>
  <c r="U260" i="6"/>
  <c r="AA261" i="6"/>
  <c r="AB261" i="6" s="1"/>
  <c r="AC261" i="6" s="1"/>
  <c r="T261" i="6"/>
  <c r="U261" i="6"/>
  <c r="AA262" i="6"/>
  <c r="AA429" i="6"/>
  <c r="AB429" i="6" s="1"/>
  <c r="AC429" i="6"/>
  <c r="AA128" i="6"/>
  <c r="AA252" i="6"/>
  <c r="AB252" i="6" s="1"/>
  <c r="AA277" i="6"/>
  <c r="AB277" i="6" s="1"/>
  <c r="AA282" i="6"/>
  <c r="AB282" i="6" s="1"/>
  <c r="AC282" i="6" s="1"/>
  <c r="AA357" i="6"/>
  <c r="AB357" i="6"/>
  <c r="AA549" i="6"/>
  <c r="AA140" i="6"/>
  <c r="T140" i="6"/>
  <c r="U140" i="6"/>
  <c r="AA141" i="6"/>
  <c r="AB141" i="6" s="1"/>
  <c r="AA144" i="6"/>
  <c r="AB144" i="6"/>
  <c r="AA308" i="6"/>
  <c r="AB308" i="6" s="1"/>
  <c r="AA426" i="6"/>
  <c r="AB426" i="6"/>
  <c r="AC426" i="6" s="1"/>
  <c r="AA437" i="6"/>
  <c r="AB437" i="6" s="1"/>
  <c r="AA956" i="6"/>
  <c r="AB956" i="6" s="1"/>
  <c r="AC956" i="6" s="1"/>
  <c r="AA969" i="6"/>
  <c r="T969" i="6"/>
  <c r="U969" i="6"/>
  <c r="AA181" i="6"/>
  <c r="AB181" i="6" s="1"/>
  <c r="AA323" i="6"/>
  <c r="AB323" i="6" s="1"/>
  <c r="AA395" i="6"/>
  <c r="AB395" i="6" s="1"/>
  <c r="AC395" i="6" s="1"/>
  <c r="AA403" i="6"/>
  <c r="AB403" i="6" s="1"/>
  <c r="AA593" i="6"/>
  <c r="AA941" i="6"/>
  <c r="AB941" i="6" s="1"/>
  <c r="AC941" i="6" s="1"/>
  <c r="AA591" i="6"/>
  <c r="AB591" i="6" s="1"/>
  <c r="AC591" i="6" s="1"/>
  <c r="AA617" i="6"/>
  <c r="AB617" i="6" s="1"/>
  <c r="AA871" i="6"/>
  <c r="AA904" i="6"/>
  <c r="AB904" i="6" s="1"/>
  <c r="AC904" i="6" s="1"/>
  <c r="AA940" i="6"/>
  <c r="AB940" i="6" s="1"/>
  <c r="AC940" i="6" s="1"/>
  <c r="T940" i="6"/>
  <c r="U940" i="6"/>
  <c r="AA942" i="6"/>
  <c r="AA800" i="6"/>
  <c r="AB800" i="6" s="1"/>
  <c r="AA514" i="6"/>
  <c r="AB514" i="6" s="1"/>
  <c r="AC514" i="6" s="1"/>
  <c r="T514" i="6"/>
  <c r="U514" i="6"/>
  <c r="AA735" i="6"/>
  <c r="AB735" i="6" s="1"/>
  <c r="AA786" i="6"/>
  <c r="AA420" i="6"/>
  <c r="AB420" i="6" s="1"/>
  <c r="T420" i="6"/>
  <c r="U420" i="6"/>
  <c r="AA682" i="6"/>
  <c r="AB682" i="6" s="1"/>
  <c r="AA688" i="6"/>
  <c r="AB688" i="6" s="1"/>
  <c r="AA703" i="6"/>
  <c r="AB703" i="6" s="1"/>
  <c r="AA740" i="6"/>
  <c r="AA847" i="6"/>
  <c r="AB847" i="6" s="1"/>
  <c r="AA250" i="6"/>
  <c r="AB250" i="6" s="1"/>
  <c r="T250" i="6"/>
  <c r="U250" i="6"/>
  <c r="AA410" i="6"/>
  <c r="AA450" i="6"/>
  <c r="AB450" i="6" s="1"/>
  <c r="T450" i="6"/>
  <c r="U450" i="6"/>
  <c r="AA657" i="6"/>
  <c r="AB657" i="6"/>
  <c r="AA706" i="6"/>
  <c r="T706" i="6"/>
  <c r="U706" i="6"/>
  <c r="AA743" i="6"/>
  <c r="AA198" i="6"/>
  <c r="AB198" i="6" s="1"/>
  <c r="AA621" i="6"/>
  <c r="AB621" i="6" s="1"/>
  <c r="AC621" i="6" s="1"/>
  <c r="T621" i="6"/>
  <c r="U621" i="6"/>
  <c r="AA709" i="6"/>
  <c r="AA955" i="6"/>
  <c r="AB955" i="6"/>
  <c r="T955" i="6"/>
  <c r="U955" i="6"/>
  <c r="AA165" i="6"/>
  <c r="AA304" i="6"/>
  <c r="T304" i="6"/>
  <c r="U304" i="6"/>
  <c r="AA469" i="6"/>
  <c r="AA34" i="6"/>
  <c r="AB34" i="6" s="1"/>
  <c r="AA145" i="6"/>
  <c r="AB145" i="6" s="1"/>
  <c r="AC145" i="6"/>
  <c r="AA206" i="6"/>
  <c r="AA216" i="6"/>
  <c r="AB216" i="6" s="1"/>
  <c r="AC216" i="6" s="1"/>
  <c r="AA229" i="6"/>
  <c r="AA279" i="6"/>
  <c r="AB279" i="6" s="1"/>
  <c r="T279" i="6"/>
  <c r="U279" i="6"/>
  <c r="AA389" i="6"/>
  <c r="AB389" i="6" s="1"/>
  <c r="T389" i="6"/>
  <c r="U389" i="6"/>
  <c r="AA433" i="6"/>
  <c r="AB433" i="6" s="1"/>
  <c r="AA449" i="6"/>
  <c r="AB449" i="6" s="1"/>
  <c r="AA73" i="6"/>
  <c r="AB73" i="6" s="1"/>
  <c r="AC73" i="6"/>
  <c r="AA90" i="6"/>
  <c r="T90" i="6"/>
  <c r="U90" i="6"/>
  <c r="AA152" i="6"/>
  <c r="AB152" i="6" s="1"/>
  <c r="AA186" i="6"/>
  <c r="AB186" i="6"/>
  <c r="AA222" i="6"/>
  <c r="AB222" i="6" s="1"/>
  <c r="AC222" i="6"/>
  <c r="AA314" i="6"/>
  <c r="AB314" i="6" s="1"/>
  <c r="T314" i="6"/>
  <c r="U314" i="6"/>
  <c r="AA378" i="6"/>
  <c r="AB378" i="6"/>
  <c r="AC378" i="6" s="1"/>
  <c r="AA392" i="6"/>
  <c r="AB392" i="6" s="1"/>
  <c r="AC392" i="6" s="1"/>
  <c r="AA402" i="6"/>
  <c r="AA443" i="6"/>
  <c r="AB443" i="6" s="1"/>
  <c r="AA446" i="6"/>
  <c r="AA452" i="6"/>
  <c r="T452" i="6"/>
  <c r="U452" i="6"/>
  <c r="AA478" i="6"/>
  <c r="AB478" i="6" s="1"/>
  <c r="AA516" i="6"/>
  <c r="AA519" i="6"/>
  <c r="AB519" i="6" s="1"/>
  <c r="AA524" i="6"/>
  <c r="AA527" i="6"/>
  <c r="AC527" i="6" s="1"/>
  <c r="AB527" i="6"/>
  <c r="AA556" i="6"/>
  <c r="AB556" i="6" s="1"/>
  <c r="AC556" i="6"/>
  <c r="AA557" i="6"/>
  <c r="AA676" i="6"/>
  <c r="AB676" i="6"/>
  <c r="AC676" i="6" s="1"/>
  <c r="AA807" i="6"/>
  <c r="AA816" i="6"/>
  <c r="AB816" i="6"/>
  <c r="T816" i="6"/>
  <c r="U816" i="6"/>
  <c r="AA819" i="6"/>
  <c r="AB819" i="6" s="1"/>
  <c r="AA873" i="6"/>
  <c r="AB873" i="6"/>
  <c r="T873" i="6"/>
  <c r="U873" i="6"/>
  <c r="AA879" i="6"/>
  <c r="AA885" i="6"/>
  <c r="AA920" i="6"/>
  <c r="AB920" i="6" s="1"/>
  <c r="AA15" i="6"/>
  <c r="AB15" i="6" s="1"/>
  <c r="AC15" i="6" s="1"/>
  <c r="AA71" i="6"/>
  <c r="AA143" i="6"/>
  <c r="AB143" i="6" s="1"/>
  <c r="AC143" i="6" s="1"/>
  <c r="AA710" i="6"/>
  <c r="AB710" i="6" s="1"/>
  <c r="AA28" i="6"/>
  <c r="AB28" i="6" s="1"/>
  <c r="AA122" i="6"/>
  <c r="AB122" i="6" s="1"/>
  <c r="AC122" i="6" s="1"/>
  <c r="T122" i="6"/>
  <c r="U122" i="6"/>
  <c r="AA137" i="6"/>
  <c r="AB137" i="6" s="1"/>
  <c r="AA105" i="6"/>
  <c r="AB105" i="6" s="1"/>
  <c r="AA113" i="6"/>
  <c r="AB113" i="6" s="1"/>
  <c r="T113" i="6"/>
  <c r="U113" i="6"/>
  <c r="AA247" i="6"/>
  <c r="AB247" i="6"/>
  <c r="AC247" i="6" s="1"/>
  <c r="AA301" i="6"/>
  <c r="AA363" i="6"/>
  <c r="AB363" i="6" s="1"/>
  <c r="AA400" i="6"/>
  <c r="AA467" i="6"/>
  <c r="AB467" i="6" s="1"/>
  <c r="AC467" i="6" s="1"/>
  <c r="T467" i="6"/>
  <c r="U467" i="6"/>
  <c r="AA496" i="6"/>
  <c r="AA570" i="6"/>
  <c r="AB570" i="6" s="1"/>
  <c r="AA24" i="6"/>
  <c r="AA27" i="6"/>
  <c r="AB27" i="6" s="1"/>
  <c r="AC27" i="6" s="1"/>
  <c r="T27" i="6"/>
  <c r="U27" i="6"/>
  <c r="AA56" i="6"/>
  <c r="T56" i="6"/>
  <c r="U56" i="6"/>
  <c r="AA99" i="6"/>
  <c r="AB99" i="6" s="1"/>
  <c r="AA164" i="6"/>
  <c r="AB164" i="6" s="1"/>
  <c r="AC164" i="6" s="1"/>
  <c r="AA324" i="6"/>
  <c r="AB324" i="6" s="1"/>
  <c r="AA328" i="6"/>
  <c r="AA355" i="6"/>
  <c r="AB355" i="6" s="1"/>
  <c r="AA424" i="6"/>
  <c r="AA493" i="6"/>
  <c r="AB493" i="6" s="1"/>
  <c r="AA561" i="6"/>
  <c r="AA575" i="6"/>
  <c r="AB575" i="6" s="1"/>
  <c r="AA577" i="6"/>
  <c r="AB577" i="6" s="1"/>
  <c r="AA580" i="6"/>
  <c r="AB580" i="6" s="1"/>
  <c r="AA588" i="6"/>
  <c r="AB588" i="6"/>
  <c r="AA602" i="6"/>
  <c r="AB602" i="6" s="1"/>
  <c r="AA625" i="6"/>
  <c r="AB625" i="6" s="1"/>
  <c r="T625" i="6"/>
  <c r="U625" i="6"/>
  <c r="AA634" i="6"/>
  <c r="AB634" i="6"/>
  <c r="AC634" i="6" s="1"/>
  <c r="AA656" i="6"/>
  <c r="AB656" i="6" s="1"/>
  <c r="AC656" i="6" s="1"/>
  <c r="T656" i="6"/>
  <c r="U656" i="6"/>
  <c r="AA699" i="6"/>
  <c r="AB699" i="6"/>
  <c r="T699" i="6"/>
  <c r="U699" i="6"/>
  <c r="AA777" i="6"/>
  <c r="AB777" i="6" s="1"/>
  <c r="AA784" i="6"/>
  <c r="AA794" i="6"/>
  <c r="AB794" i="6" s="1"/>
  <c r="T794" i="6"/>
  <c r="U794" i="6"/>
  <c r="AA827" i="6"/>
  <c r="AB827" i="6" s="1"/>
  <c r="AC827" i="6" s="1"/>
  <c r="AA832" i="6"/>
  <c r="AB832" i="6" s="1"/>
  <c r="T832" i="6"/>
  <c r="U832" i="6"/>
  <c r="AA859" i="6"/>
  <c r="AA861" i="6"/>
  <c r="AB861" i="6" s="1"/>
  <c r="AA867" i="6"/>
  <c r="AA925" i="6"/>
  <c r="AA929" i="6"/>
  <c r="AB929" i="6"/>
  <c r="T929" i="6"/>
  <c r="U929" i="6"/>
  <c r="AA992" i="6"/>
  <c r="AB992" i="6"/>
  <c r="T992" i="6"/>
  <c r="U992" i="6"/>
  <c r="AA89" i="6"/>
  <c r="AB89" i="6" s="1"/>
  <c r="AA151" i="6"/>
  <c r="AB151" i="6" s="1"/>
  <c r="AA231" i="6"/>
  <c r="AA234" i="6"/>
  <c r="AA306" i="6"/>
  <c r="AB306" i="6"/>
  <c r="AA405" i="6"/>
  <c r="AB405" i="6" s="1"/>
  <c r="AA407" i="6"/>
  <c r="AA409" i="6"/>
  <c r="T409" i="6"/>
  <c r="U409" i="6"/>
  <c r="AA412" i="6"/>
  <c r="AB412" i="6" s="1"/>
  <c r="AC412" i="6" s="1"/>
  <c r="AA415" i="6"/>
  <c r="AB415" i="6"/>
  <c r="T415" i="6"/>
  <c r="U415" i="6"/>
  <c r="AA417" i="6"/>
  <c r="AB417" i="6"/>
  <c r="AC417" i="6" s="1"/>
  <c r="AA462" i="6"/>
  <c r="AB462" i="6" s="1"/>
  <c r="AA466" i="6"/>
  <c r="AB466" i="6" s="1"/>
  <c r="AA508" i="6"/>
  <c r="T508" i="6"/>
  <c r="U508" i="6"/>
  <c r="AA569" i="6"/>
  <c r="AB569" i="6" s="1"/>
  <c r="T569" i="6"/>
  <c r="U569" i="6"/>
  <c r="AA608" i="6"/>
  <c r="AB608" i="6" s="1"/>
  <c r="AA632" i="6"/>
  <c r="AB632" i="6" s="1"/>
  <c r="AC632" i="6"/>
  <c r="AA633" i="6"/>
  <c r="AA661" i="6"/>
  <c r="AB661" i="6" s="1"/>
  <c r="AC661" i="6" s="1"/>
  <c r="AA757" i="6"/>
  <c r="AB757" i="6" s="1"/>
  <c r="AC757" i="6" s="1"/>
  <c r="T757" i="6"/>
  <c r="U757" i="6"/>
  <c r="AA763" i="6"/>
  <c r="AB763" i="6" s="1"/>
  <c r="AC763" i="6" s="1"/>
  <c r="AA821" i="6"/>
  <c r="AB821" i="6" s="1"/>
  <c r="AA835" i="6"/>
  <c r="AA858" i="6"/>
  <c r="AB858" i="6" s="1"/>
  <c r="AA860" i="6"/>
  <c r="T860" i="6"/>
  <c r="U860" i="6"/>
  <c r="AA927" i="6"/>
  <c r="AB927" i="6" s="1"/>
  <c r="AA982" i="6"/>
  <c r="AB982" i="6" s="1"/>
  <c r="AA986" i="6"/>
  <c r="AA990" i="6"/>
  <c r="T990" i="6"/>
  <c r="U990" i="6"/>
  <c r="AA232" i="6"/>
  <c r="AB232" i="6" s="1"/>
  <c r="AA293" i="6"/>
  <c r="AB293" i="6" s="1"/>
  <c r="AA489" i="6"/>
  <c r="AB489" i="6" s="1"/>
  <c r="AA560" i="6"/>
  <c r="AA595" i="6"/>
  <c r="AA627" i="6"/>
  <c r="T627" i="6"/>
  <c r="U627" i="6"/>
  <c r="AA659" i="6"/>
  <c r="AB659" i="6" s="1"/>
  <c r="AA769" i="6"/>
  <c r="AB769" i="6" s="1"/>
  <c r="AA825" i="6"/>
  <c r="AB825" i="6" s="1"/>
  <c r="AC825" i="6" s="1"/>
  <c r="T825" i="6"/>
  <c r="U825" i="6"/>
  <c r="AA888" i="6"/>
  <c r="AB888" i="6" s="1"/>
  <c r="AC888" i="6" s="1"/>
  <c r="AA922" i="6"/>
  <c r="AB922" i="6" s="1"/>
  <c r="AA44" i="6"/>
  <c r="AB44" i="6" s="1"/>
  <c r="AA48" i="6"/>
  <c r="AB48" i="6" s="1"/>
  <c r="AA52" i="6"/>
  <c r="AA55" i="6"/>
  <c r="AB55" i="6" s="1"/>
  <c r="AC55" i="6" s="1"/>
  <c r="AA61" i="6"/>
  <c r="AC61" i="6" s="1"/>
  <c r="AB61" i="6"/>
  <c r="AA72" i="6"/>
  <c r="AB72" i="6" s="1"/>
  <c r="AA101" i="6"/>
  <c r="AA102" i="6"/>
  <c r="AB102" i="6" s="1"/>
  <c r="AA104" i="6"/>
  <c r="AA107" i="6"/>
  <c r="AB107" i="6" s="1"/>
  <c r="AC107" i="6" s="1"/>
  <c r="AA110" i="6"/>
  <c r="T110" i="6"/>
  <c r="U110" i="6"/>
  <c r="AA112" i="6"/>
  <c r="AA118" i="6"/>
  <c r="T118" i="6"/>
  <c r="U118" i="6"/>
  <c r="AA124" i="6"/>
  <c r="AB124" i="6" s="1"/>
  <c r="AA147" i="6"/>
  <c r="AB147" i="6" s="1"/>
  <c r="AA188" i="6"/>
  <c r="AB188" i="6" s="1"/>
  <c r="AA235" i="6"/>
  <c r="AA711" i="6"/>
  <c r="AB711" i="6" s="1"/>
  <c r="AA716" i="6"/>
  <c r="AB716" i="6"/>
  <c r="AC716" i="6" s="1"/>
  <c r="AA909" i="6"/>
  <c r="AB909" i="6"/>
  <c r="AA16" i="6"/>
  <c r="AA20" i="6"/>
  <c r="AB20" i="6" s="1"/>
  <c r="AA41" i="6"/>
  <c r="AB41" i="6" s="1"/>
  <c r="AC41" i="6" s="1"/>
  <c r="AA49" i="6"/>
  <c r="AB49" i="6"/>
  <c r="AA58" i="6"/>
  <c r="AB58" i="6" s="1"/>
  <c r="AC58" i="6" s="1"/>
  <c r="AA62" i="6"/>
  <c r="AB62" i="6"/>
  <c r="AA82" i="6"/>
  <c r="AB82" i="6" s="1"/>
  <c r="T82" i="6"/>
  <c r="U82" i="6"/>
  <c r="AA121" i="6"/>
  <c r="T121" i="6"/>
  <c r="U121" i="6"/>
  <c r="AA134" i="6"/>
  <c r="AB134" i="6" s="1"/>
  <c r="AA213" i="6"/>
  <c r="AA297" i="6"/>
  <c r="AA369" i="6"/>
  <c r="AB369" i="6"/>
  <c r="AA468" i="6"/>
  <c r="AA708" i="6"/>
  <c r="AB708" i="6" s="1"/>
  <c r="AA713" i="6"/>
  <c r="AB713" i="6"/>
  <c r="T713" i="6"/>
  <c r="U713" i="6"/>
  <c r="AA723" i="6"/>
  <c r="AB723" i="6"/>
  <c r="AC723" i="6" s="1"/>
  <c r="AA725" i="6"/>
  <c r="AB725" i="6" s="1"/>
  <c r="T725" i="6"/>
  <c r="U725" i="6"/>
  <c r="AA762" i="6"/>
  <c r="AB762" i="6" s="1"/>
  <c r="AC762" i="6" s="1"/>
  <c r="T762" i="6"/>
  <c r="U762" i="6"/>
  <c r="AA844" i="6"/>
  <c r="AB844" i="6" s="1"/>
  <c r="AC844" i="6" s="1"/>
  <c r="AA906" i="6"/>
  <c r="AB906" i="6" s="1"/>
  <c r="AC906" i="6" s="1"/>
  <c r="T906" i="6"/>
  <c r="U906" i="6"/>
  <c r="AA23" i="6"/>
  <c r="AB23" i="6" s="1"/>
  <c r="AC23" i="6" s="1"/>
  <c r="AA46" i="6"/>
  <c r="AB46" i="6" s="1"/>
  <c r="AC46" i="6" s="1"/>
  <c r="AA53" i="6"/>
  <c r="AB53" i="6" s="1"/>
  <c r="AA59" i="6"/>
  <c r="AA65" i="6"/>
  <c r="AB65" i="6" s="1"/>
  <c r="AC65" i="6" s="1"/>
  <c r="T65" i="6"/>
  <c r="U65" i="6"/>
  <c r="AA66" i="6"/>
  <c r="AA69" i="6"/>
  <c r="AB69" i="6" s="1"/>
  <c r="AC69" i="6" s="1"/>
  <c r="T69" i="6"/>
  <c r="U69" i="6"/>
  <c r="AA79" i="6"/>
  <c r="AA84" i="6"/>
  <c r="AB84" i="6" s="1"/>
  <c r="AC84" i="6" s="1"/>
  <c r="AA88" i="6"/>
  <c r="AB88" i="6" s="1"/>
  <c r="AA14" i="6"/>
  <c r="AB14" i="6" s="1"/>
  <c r="AC14" i="6" s="1"/>
  <c r="AA31" i="6"/>
  <c r="T31" i="6"/>
  <c r="U31" i="6"/>
  <c r="AA36" i="6"/>
  <c r="AA38" i="6"/>
  <c r="AB38" i="6" s="1"/>
  <c r="T38" i="6"/>
  <c r="U38" i="6"/>
  <c r="AA42" i="6"/>
  <c r="AB42" i="6" s="1"/>
  <c r="T42" i="6"/>
  <c r="U42" i="6"/>
  <c r="AA74" i="6"/>
  <c r="AB74" i="6" s="1"/>
  <c r="AA87" i="6"/>
  <c r="AA100" i="6"/>
  <c r="AA108" i="6"/>
  <c r="AB108" i="6"/>
  <c r="AC108" i="6" s="1"/>
  <c r="AA114" i="6"/>
  <c r="AB114" i="6"/>
  <c r="AA117" i="6"/>
  <c r="AA190" i="6"/>
  <c r="AB190" i="6"/>
  <c r="AA257" i="6"/>
  <c r="AB257" i="6" s="1"/>
  <c r="AA292" i="6"/>
  <c r="AB292" i="6" s="1"/>
  <c r="AC292" i="6"/>
  <c r="T292" i="6"/>
  <c r="U292" i="6"/>
  <c r="AA441" i="6"/>
  <c r="AB441" i="6" s="1"/>
  <c r="AC441" i="6" s="1"/>
  <c r="AA497" i="6"/>
  <c r="AB497" i="6" s="1"/>
  <c r="AA501" i="6"/>
  <c r="AB501" i="6" s="1"/>
  <c r="AA597" i="6"/>
  <c r="AB597" i="6" s="1"/>
  <c r="AA700" i="6"/>
  <c r="AB700" i="6" s="1"/>
  <c r="AA809" i="6"/>
  <c r="AB809" i="6" s="1"/>
  <c r="AA822" i="6"/>
  <c r="AA106" i="6"/>
  <c r="AA131" i="6"/>
  <c r="AA184" i="6"/>
  <c r="AB184" i="6"/>
  <c r="T184" i="6"/>
  <c r="U184" i="6"/>
  <c r="AA253" i="6"/>
  <c r="AB253" i="6" s="1"/>
  <c r="AA824" i="6"/>
  <c r="AB824" i="6" s="1"/>
  <c r="AC824" i="6" s="1"/>
  <c r="AA18" i="6"/>
  <c r="AA29" i="6"/>
  <c r="AA45" i="6"/>
  <c r="AB45" i="6" s="1"/>
  <c r="AA47" i="6"/>
  <c r="AB47" i="6" s="1"/>
  <c r="AC47" i="6"/>
  <c r="AA67" i="6"/>
  <c r="AB67" i="6"/>
  <c r="AC67" i="6" s="1"/>
  <c r="AA160" i="6"/>
  <c r="AB160" i="6" s="1"/>
  <c r="T160" i="6"/>
  <c r="U160" i="6"/>
  <c r="AA169" i="6"/>
  <c r="AB169" i="6" s="1"/>
  <c r="AA179" i="6"/>
  <c r="AB179" i="6" s="1"/>
  <c r="AC179" i="6" s="1"/>
  <c r="AA182" i="6"/>
  <c r="AB182" i="6" s="1"/>
  <c r="AA187" i="6"/>
  <c r="AA239" i="6"/>
  <c r="AB239" i="6" s="1"/>
  <c r="AA241" i="6"/>
  <c r="AB241" i="6" s="1"/>
  <c r="AA242" i="6"/>
  <c r="AB242" i="6" s="1"/>
  <c r="AA245" i="6"/>
  <c r="AB245" i="6" s="1"/>
  <c r="AC245" i="6" s="1"/>
  <c r="T245" i="6"/>
  <c r="U245" i="6"/>
  <c r="AA249" i="6"/>
  <c r="AB249" i="6" s="1"/>
  <c r="AC249" i="6" s="1"/>
  <c r="AA319" i="6"/>
  <c r="AB319" i="6" s="1"/>
  <c r="AC319" i="6" s="1"/>
  <c r="AA428" i="6"/>
  <c r="AB428" i="6" s="1"/>
  <c r="AA475" i="6"/>
  <c r="AB475" i="6" s="1"/>
  <c r="AA477" i="6"/>
  <c r="AB477" i="6"/>
  <c r="AC477" i="6" s="1"/>
  <c r="AA872" i="6"/>
  <c r="AB872" i="6" s="1"/>
  <c r="AA881" i="6"/>
  <c r="AB881" i="6"/>
  <c r="T881" i="6"/>
  <c r="U881" i="6"/>
  <c r="AA22" i="6"/>
  <c r="AB22" i="6" s="1"/>
  <c r="AA25" i="6"/>
  <c r="AB25" i="6" s="1"/>
  <c r="T25" i="6"/>
  <c r="U25" i="6"/>
  <c r="AA32" i="6"/>
  <c r="AB32" i="6"/>
  <c r="AC32" i="6" s="1"/>
  <c r="AA39" i="6"/>
  <c r="AB39" i="6"/>
  <c r="AA75" i="6"/>
  <c r="AB75" i="6"/>
  <c r="AA83" i="6"/>
  <c r="AA92" i="6"/>
  <c r="AB92" i="6" s="1"/>
  <c r="AA97" i="6"/>
  <c r="T97" i="6"/>
  <c r="U97" i="6"/>
  <c r="AA109" i="6"/>
  <c r="AB109" i="6" s="1"/>
  <c r="AC109" i="6" s="1"/>
  <c r="AA149" i="6"/>
  <c r="AB149" i="6" s="1"/>
  <c r="AA162" i="6"/>
  <c r="AB162" i="6" s="1"/>
  <c r="AA300" i="6"/>
  <c r="AB300" i="6" s="1"/>
  <c r="AA316" i="6"/>
  <c r="AB316" i="6" s="1"/>
  <c r="T316" i="6"/>
  <c r="U316" i="6"/>
  <c r="AA317" i="6"/>
  <c r="AB317" i="6"/>
  <c r="AC317" i="6" s="1"/>
  <c r="AA399" i="6"/>
  <c r="AB399" i="6" s="1"/>
  <c r="AA471" i="6"/>
  <c r="AB471" i="6" s="1"/>
  <c r="T471" i="6"/>
  <c r="U471" i="6"/>
  <c r="AA472" i="6"/>
  <c r="AB472" i="6" s="1"/>
  <c r="AA495" i="6"/>
  <c r="AB495" i="6" s="1"/>
  <c r="T495" i="6"/>
  <c r="U495" i="6"/>
  <c r="AA563" i="6"/>
  <c r="AA636" i="6"/>
  <c r="AB636" i="6" s="1"/>
  <c r="AA698" i="6"/>
  <c r="T698" i="6"/>
  <c r="U698" i="6"/>
  <c r="AA780" i="6"/>
  <c r="AB780" i="6" s="1"/>
  <c r="AC780" i="6"/>
  <c r="AA785" i="6"/>
  <c r="AA788" i="6"/>
  <c r="AB788" i="6"/>
  <c r="T788" i="6"/>
  <c r="U788" i="6"/>
  <c r="AA790" i="6"/>
  <c r="AB790" i="6" s="1"/>
  <c r="T790" i="6"/>
  <c r="U790" i="6"/>
  <c r="AA19" i="6"/>
  <c r="AB19" i="6" s="1"/>
  <c r="AC19" i="6" s="1"/>
  <c r="AA30" i="6"/>
  <c r="AB30" i="6" s="1"/>
  <c r="AC30" i="6" s="1"/>
  <c r="AA35" i="6"/>
  <c r="T35" i="6"/>
  <c r="U35" i="6"/>
  <c r="AA37" i="6"/>
  <c r="AA40" i="6"/>
  <c r="T40" i="6"/>
  <c r="U40" i="6"/>
  <c r="AA43" i="6"/>
  <c r="AA54" i="6"/>
  <c r="AB54" i="6" s="1"/>
  <c r="AA94" i="6"/>
  <c r="AB94" i="6" s="1"/>
  <c r="T94" i="6"/>
  <c r="U94" i="6"/>
  <c r="AA95" i="6"/>
  <c r="AB95" i="6" s="1"/>
  <c r="T95" i="6"/>
  <c r="U95" i="6"/>
  <c r="AA130" i="6"/>
  <c r="T130" i="6"/>
  <c r="U130" i="6"/>
  <c r="AA148" i="6"/>
  <c r="AB148" i="6"/>
  <c r="AC148" i="6" s="1"/>
  <c r="AA156" i="6"/>
  <c r="AA158" i="6"/>
  <c r="AA168" i="6"/>
  <c r="AB168" i="6" s="1"/>
  <c r="AC168" i="6" s="1"/>
  <c r="AA194" i="6"/>
  <c r="T194" i="6"/>
  <c r="U194" i="6"/>
  <c r="AA200" i="6"/>
  <c r="AA217" i="6"/>
  <c r="AB217" i="6" s="1"/>
  <c r="AA238" i="6"/>
  <c r="AA311" i="6"/>
  <c r="AB311" i="6" s="1"/>
  <c r="T311" i="6"/>
  <c r="U311" i="6"/>
  <c r="AA423" i="6"/>
  <c r="AB423" i="6" s="1"/>
  <c r="AC423" i="6"/>
  <c r="T423" i="6"/>
  <c r="U423" i="6"/>
  <c r="AA534" i="6"/>
  <c r="AB534" i="6" s="1"/>
  <c r="AC534" i="6" s="1"/>
  <c r="T534" i="6"/>
  <c r="U534" i="6"/>
  <c r="AA540" i="6"/>
  <c r="AB540" i="6" s="1"/>
  <c r="AA581" i="6"/>
  <c r="AB581" i="6" s="1"/>
  <c r="AC581" i="6" s="1"/>
  <c r="T581" i="6"/>
  <c r="U581" i="6"/>
  <c r="AA599" i="6"/>
  <c r="AB599" i="6" s="1"/>
  <c r="AA612" i="6"/>
  <c r="AB612" i="6" s="1"/>
  <c r="AC612" i="6" s="1"/>
  <c r="AA681" i="6"/>
  <c r="AB681" i="6" s="1"/>
  <c r="AA742" i="6"/>
  <c r="AB742" i="6" s="1"/>
  <c r="AA744" i="6"/>
  <c r="AA746" i="6"/>
  <c r="T746" i="6"/>
  <c r="U746" i="6"/>
  <c r="AA775" i="6"/>
  <c r="AA779" i="6"/>
  <c r="AB779" i="6"/>
  <c r="AA950" i="6"/>
  <c r="AA338" i="6"/>
  <c r="AB338" i="6" s="1"/>
  <c r="AA348" i="6"/>
  <c r="AB348" i="6" s="1"/>
  <c r="AC348" i="6"/>
  <c r="T348" i="6"/>
  <c r="U348" i="6"/>
  <c r="AA361" i="6"/>
  <c r="T361" i="6"/>
  <c r="U361" i="6"/>
  <c r="AA381" i="6"/>
  <c r="AB381" i="6" s="1"/>
  <c r="AC381" i="6" s="1"/>
  <c r="AA385" i="6"/>
  <c r="AB385" i="6" s="1"/>
  <c r="AA425" i="6"/>
  <c r="AB425" i="6" s="1"/>
  <c r="AA484" i="6"/>
  <c r="AB484" i="6" s="1"/>
  <c r="AA490" i="6"/>
  <c r="AB490" i="6" s="1"/>
  <c r="AA498" i="6"/>
  <c r="AB498" i="6" s="1"/>
  <c r="AC498" i="6" s="1"/>
  <c r="AA503" i="6"/>
  <c r="T503" i="6"/>
  <c r="U503" i="6"/>
  <c r="AA513" i="6"/>
  <c r="AB513" i="6" s="1"/>
  <c r="AC513" i="6" s="1"/>
  <c r="AA531" i="6"/>
  <c r="AB531" i="6" s="1"/>
  <c r="AA539" i="6"/>
  <c r="AA545" i="6"/>
  <c r="AA565" i="6"/>
  <c r="AB565" i="6" s="1"/>
  <c r="AC565" i="6" s="1"/>
  <c r="AA576" i="6"/>
  <c r="AB576" i="6"/>
  <c r="AA587" i="6"/>
  <c r="AA614" i="6"/>
  <c r="AA622" i="6"/>
  <c r="AA624" i="6"/>
  <c r="AB624" i="6" s="1"/>
  <c r="T624" i="6"/>
  <c r="U624" i="6"/>
  <c r="AA639" i="6"/>
  <c r="AB639" i="6" s="1"/>
  <c r="AA668" i="6"/>
  <c r="AA671" i="6"/>
  <c r="AB671" i="6" s="1"/>
  <c r="AC671" i="6" s="1"/>
  <c r="AA678" i="6"/>
  <c r="AB678" i="6" s="1"/>
  <c r="AA689" i="6"/>
  <c r="AB689" i="6" s="1"/>
  <c r="AC689" i="6" s="1"/>
  <c r="AA702" i="6"/>
  <c r="AA720" i="6"/>
  <c r="AB720" i="6"/>
  <c r="T720" i="6"/>
  <c r="U720" i="6"/>
  <c r="AA728" i="6"/>
  <c r="AB728" i="6" s="1"/>
  <c r="AA796" i="6"/>
  <c r="AB796" i="6" s="1"/>
  <c r="AA837" i="6"/>
  <c r="AB837" i="6"/>
  <c r="AC837" i="6" s="1"/>
  <c r="T837" i="6"/>
  <c r="U837" i="6"/>
  <c r="AA877" i="6"/>
  <c r="AB877" i="6" s="1"/>
  <c r="AC877" i="6" s="1"/>
  <c r="AA884" i="6"/>
  <c r="AC884" i="6" s="1"/>
  <c r="AB884" i="6"/>
  <c r="AA892" i="6"/>
  <c r="AB892" i="6" s="1"/>
  <c r="T892" i="6"/>
  <c r="U892" i="6"/>
  <c r="AA900" i="6"/>
  <c r="AB900" i="6" s="1"/>
  <c r="AA917" i="6"/>
  <c r="AB917" i="6" s="1"/>
  <c r="AA924" i="6"/>
  <c r="AB924" i="6" s="1"/>
  <c r="AA932" i="6"/>
  <c r="AB932" i="6" s="1"/>
  <c r="T932" i="6"/>
  <c r="U932" i="6"/>
  <c r="AA944" i="6"/>
  <c r="AB944" i="6" s="1"/>
  <c r="AC944" i="6" s="1"/>
  <c r="AA963" i="6"/>
  <c r="T963" i="6"/>
  <c r="U963" i="6"/>
  <c r="AA965" i="6"/>
  <c r="AB965" i="6" s="1"/>
  <c r="T965" i="6"/>
  <c r="U965" i="6"/>
  <c r="AA978" i="6"/>
  <c r="AB978" i="6"/>
  <c r="AA85" i="6"/>
  <c r="AB85" i="6" s="1"/>
  <c r="AC85" i="6" s="1"/>
  <c r="T85" i="6"/>
  <c r="U85" i="6"/>
  <c r="AA111" i="6"/>
  <c r="AA120" i="6"/>
  <c r="AB120" i="6" s="1"/>
  <c r="AA126" i="6"/>
  <c r="AB126" i="6" s="1"/>
  <c r="AA155" i="6"/>
  <c r="AB155" i="6"/>
  <c r="AA170" i="6"/>
  <c r="AB170" i="6" s="1"/>
  <c r="AC170" i="6" s="1"/>
  <c r="AA172" i="6"/>
  <c r="AB172" i="6" s="1"/>
  <c r="AA175" i="6"/>
  <c r="AA189" i="6"/>
  <c r="T189" i="6"/>
  <c r="U189" i="6"/>
  <c r="AA191" i="6"/>
  <c r="AB191" i="6" s="1"/>
  <c r="T191" i="6"/>
  <c r="U191" i="6"/>
  <c r="AA208" i="6"/>
  <c r="AB208" i="6" s="1"/>
  <c r="AA215" i="6"/>
  <c r="AB215" i="6" s="1"/>
  <c r="AA221" i="6"/>
  <c r="AB221" i="6" s="1"/>
  <c r="AC221" i="6" s="1"/>
  <c r="AA224" i="6"/>
  <c r="AB224" i="6" s="1"/>
  <c r="T224" i="6"/>
  <c r="U224" i="6"/>
  <c r="AA233" i="6"/>
  <c r="AB233" i="6" s="1"/>
  <c r="AC233" i="6" s="1"/>
  <c r="AA237" i="6"/>
  <c r="AB237" i="6" s="1"/>
  <c r="AA270" i="6"/>
  <c r="AB270" i="6"/>
  <c r="AA273" i="6"/>
  <c r="AB273" i="6"/>
  <c r="AC273" i="6" s="1"/>
  <c r="T273" i="6"/>
  <c r="U273" i="6"/>
  <c r="AA276" i="6"/>
  <c r="AB276" i="6" s="1"/>
  <c r="AA278" i="6"/>
  <c r="AA305" i="6"/>
  <c r="AB305" i="6"/>
  <c r="AA374" i="6"/>
  <c r="AB374" i="6"/>
  <c r="T374" i="6"/>
  <c r="U374" i="6"/>
  <c r="AA436" i="6"/>
  <c r="T436" i="6"/>
  <c r="U436" i="6"/>
  <c r="AA442" i="6"/>
  <c r="AA453" i="6"/>
  <c r="T453" i="6"/>
  <c r="U453" i="6"/>
  <c r="AA454" i="6"/>
  <c r="AB454" i="6" s="1"/>
  <c r="AA480" i="6"/>
  <c r="AB480" i="6" s="1"/>
  <c r="AA504" i="6"/>
  <c r="AB504" i="6"/>
  <c r="T504" i="6"/>
  <c r="U504" i="6"/>
  <c r="AA529" i="6"/>
  <c r="AB529" i="6" s="1"/>
  <c r="AA532" i="6"/>
  <c r="AB532" i="6"/>
  <c r="AA542" i="6"/>
  <c r="AB542" i="6" s="1"/>
  <c r="AA548" i="6"/>
  <c r="AB548" i="6" s="1"/>
  <c r="AC548" i="6"/>
  <c r="T548" i="6"/>
  <c r="U548" i="6"/>
  <c r="AA552" i="6"/>
  <c r="AB552" i="6" s="1"/>
  <c r="T552" i="6"/>
  <c r="U552" i="6"/>
  <c r="AA555" i="6"/>
  <c r="AB555" i="6" s="1"/>
  <c r="AC555" i="6" s="1"/>
  <c r="AA598" i="6"/>
  <c r="AA610" i="6"/>
  <c r="AB610" i="6" s="1"/>
  <c r="AA620" i="6"/>
  <c r="AB620" i="6" s="1"/>
  <c r="AA641" i="6"/>
  <c r="AB641" i="6" s="1"/>
  <c r="AA647" i="6"/>
  <c r="AA649" i="6"/>
  <c r="AB649" i="6" s="1"/>
  <c r="T649" i="6"/>
  <c r="U649" i="6"/>
  <c r="AA653" i="6"/>
  <c r="AB653" i="6" s="1"/>
  <c r="T653" i="6"/>
  <c r="U653" i="6"/>
  <c r="AA662" i="6"/>
  <c r="AB662" i="6" s="1"/>
  <c r="AA663" i="6"/>
  <c r="AB663" i="6" s="1"/>
  <c r="AA665" i="6"/>
  <c r="AB665" i="6"/>
  <c r="T665" i="6"/>
  <c r="U665" i="6"/>
  <c r="AA797" i="6"/>
  <c r="AA801" i="6"/>
  <c r="AB801" i="6" s="1"/>
  <c r="T801" i="6"/>
  <c r="U801" i="6"/>
  <c r="AA833" i="6"/>
  <c r="T833" i="6"/>
  <c r="U833" i="6"/>
  <c r="AA836" i="6"/>
  <c r="AB836" i="6" s="1"/>
  <c r="AC836" i="6"/>
  <c r="AA852" i="6"/>
  <c r="AA869" i="6"/>
  <c r="AA880" i="6"/>
  <c r="AB880" i="6" s="1"/>
  <c r="AA890" i="6"/>
  <c r="AB890" i="6" s="1"/>
  <c r="AA898" i="6"/>
  <c r="AB898" i="6" s="1"/>
  <c r="AA911" i="6"/>
  <c r="T911" i="6"/>
  <c r="U911" i="6"/>
  <c r="AA930" i="6"/>
  <c r="AA934" i="6"/>
  <c r="AB934" i="6" s="1"/>
  <c r="AC934" i="6" s="1"/>
  <c r="AA958" i="6"/>
  <c r="AB958" i="6"/>
  <c r="AC958" i="6"/>
  <c r="AA970" i="6"/>
  <c r="AB970" i="6"/>
  <c r="AC970" i="6" s="1"/>
  <c r="AA146" i="6"/>
  <c r="AB146" i="6" s="1"/>
  <c r="AC146" i="6" s="1"/>
  <c r="AA153" i="6"/>
  <c r="AB153" i="6" s="1"/>
  <c r="AA180" i="6"/>
  <c r="T180" i="6"/>
  <c r="U180" i="6"/>
  <c r="AA185" i="6"/>
  <c r="AB185" i="6" s="1"/>
  <c r="AA197" i="6"/>
  <c r="AB197" i="6"/>
  <c r="AC197" i="6" s="1"/>
  <c r="AA204" i="6"/>
  <c r="AB204" i="6" s="1"/>
  <c r="AC204" i="6" s="1"/>
  <c r="AA207" i="6"/>
  <c r="AB207" i="6" s="1"/>
  <c r="AC207" i="6" s="1"/>
  <c r="AA285" i="6"/>
  <c r="AB285" i="6" s="1"/>
  <c r="AA291" i="6"/>
  <c r="AB291" i="6"/>
  <c r="AC291" i="6" s="1"/>
  <c r="AA307" i="6"/>
  <c r="AA309" i="6"/>
  <c r="AB309" i="6" s="1"/>
  <c r="T309" i="6"/>
  <c r="U309" i="6"/>
  <c r="AA320" i="6"/>
  <c r="AB320" i="6"/>
  <c r="AC320" i="6" s="1"/>
  <c r="AA325" i="6"/>
  <c r="AB325" i="6" s="1"/>
  <c r="AA339" i="6"/>
  <c r="AB339" i="6" s="1"/>
  <c r="AA347" i="6"/>
  <c r="T347" i="6"/>
  <c r="U347" i="6"/>
  <c r="AA349" i="6"/>
  <c r="AB349" i="6" s="1"/>
  <c r="AA350" i="6"/>
  <c r="AB350" i="6"/>
  <c r="AA358" i="6"/>
  <c r="AA380" i="6"/>
  <c r="AB380" i="6"/>
  <c r="AC380" i="6" s="1"/>
  <c r="AA387" i="6"/>
  <c r="AB387" i="6" s="1"/>
  <c r="AC387" i="6" s="1"/>
  <c r="AA393" i="6"/>
  <c r="AB393" i="6" s="1"/>
  <c r="T393" i="6"/>
  <c r="U393" i="6"/>
  <c r="AA431" i="6"/>
  <c r="AB431" i="6" s="1"/>
  <c r="AA447" i="6"/>
  <c r="T447" i="6"/>
  <c r="U447" i="6"/>
  <c r="AA460" i="6"/>
  <c r="T460" i="6"/>
  <c r="U460" i="6"/>
  <c r="AA491" i="6"/>
  <c r="AB491" i="6" s="1"/>
  <c r="AA500" i="6"/>
  <c r="AB500" i="6" s="1"/>
  <c r="AC500" i="6" s="1"/>
  <c r="T500" i="6"/>
  <c r="U500" i="6"/>
  <c r="AA512" i="6"/>
  <c r="T512" i="6"/>
  <c r="U512" i="6"/>
  <c r="AA528" i="6"/>
  <c r="AB528" i="6" s="1"/>
  <c r="AA535" i="6"/>
  <c r="AB535" i="6" s="1"/>
  <c r="AC535" i="6"/>
  <c r="AA578" i="6"/>
  <c r="AB578" i="6" s="1"/>
  <c r="AC578" i="6" s="1"/>
  <c r="AA585" i="6"/>
  <c r="T585" i="6"/>
  <c r="U585" i="6"/>
  <c r="AA600" i="6"/>
  <c r="AB600" i="6" s="1"/>
  <c r="AC600" i="6" s="1"/>
  <c r="T600" i="6"/>
  <c r="U600" i="6"/>
  <c r="AA615" i="6"/>
  <c r="AB615" i="6" s="1"/>
  <c r="AA640" i="6"/>
  <c r="AB640" i="6" s="1"/>
  <c r="AA650" i="6"/>
  <c r="AB650" i="6"/>
  <c r="AC650" i="6" s="1"/>
  <c r="AA694" i="6"/>
  <c r="T694" i="6"/>
  <c r="U694" i="6"/>
  <c r="AA697" i="6"/>
  <c r="AA704" i="6"/>
  <c r="AB704" i="6" s="1"/>
  <c r="AA719" i="6"/>
  <c r="AB719" i="6"/>
  <c r="AA729" i="6"/>
  <c r="AA738" i="6"/>
  <c r="AB738" i="6"/>
  <c r="T738" i="6"/>
  <c r="U738" i="6"/>
  <c r="AA747" i="6"/>
  <c r="AB747" i="6" s="1"/>
  <c r="T747" i="6"/>
  <c r="U747" i="6"/>
  <c r="AA749" i="6"/>
  <c r="AB749" i="6" s="1"/>
  <c r="AA760" i="6"/>
  <c r="AB760" i="6" s="1"/>
  <c r="AA768" i="6"/>
  <c r="AB768" i="6"/>
  <c r="AA776" i="6"/>
  <c r="AB776" i="6" s="1"/>
  <c r="AC776" i="6" s="1"/>
  <c r="AA787" i="6"/>
  <c r="AB787" i="6" s="1"/>
  <c r="AA793" i="6"/>
  <c r="AB793" i="6" s="1"/>
  <c r="AA808" i="6"/>
  <c r="AB808" i="6" s="1"/>
  <c r="AC808" i="6" s="1"/>
  <c r="AA915" i="6"/>
  <c r="AB915" i="6"/>
  <c r="AA928" i="6"/>
  <c r="T928" i="6"/>
  <c r="U928" i="6"/>
  <c r="AA945" i="6"/>
  <c r="AB945" i="6" s="1"/>
  <c r="T945" i="6"/>
  <c r="U945" i="6"/>
  <c r="AA954" i="6"/>
  <c r="AB954" i="6" s="1"/>
  <c r="AA975" i="6"/>
  <c r="AA979" i="6"/>
  <c r="AB979" i="6"/>
  <c r="AA985" i="6"/>
  <c r="AB985" i="6" s="1"/>
  <c r="AA995" i="6"/>
  <c r="AB995" i="6"/>
  <c r="T995" i="6"/>
  <c r="U995" i="6"/>
  <c r="AA196" i="6"/>
  <c r="AB196" i="6" s="1"/>
  <c r="AA199" i="6"/>
  <c r="AA201" i="6"/>
  <c r="AA210" i="6"/>
  <c r="AB210" i="6" s="1"/>
  <c r="AC210" i="6"/>
  <c r="AA214" i="6"/>
  <c r="T214" i="6"/>
  <c r="U214" i="6"/>
  <c r="AA225" i="6"/>
  <c r="AB225" i="6" s="1"/>
  <c r="AA228" i="6"/>
  <c r="AB228" i="6" s="1"/>
  <c r="AC228" i="6"/>
  <c r="AA255" i="6"/>
  <c r="AA263" i="6"/>
  <c r="AA267" i="6"/>
  <c r="AB267" i="6" s="1"/>
  <c r="AA271" i="6"/>
  <c r="AB271" i="6" s="1"/>
  <c r="AC271" i="6" s="1"/>
  <c r="AA280" i="6"/>
  <c r="AB280" i="6" s="1"/>
  <c r="AA281" i="6"/>
  <c r="AB281" i="6"/>
  <c r="AC281" i="6" s="1"/>
  <c r="AA290" i="6"/>
  <c r="AB290" i="6" s="1"/>
  <c r="AC290" i="6" s="1"/>
  <c r="T290" i="6"/>
  <c r="U290" i="6"/>
  <c r="AA294" i="6"/>
  <c r="AB294" i="6" s="1"/>
  <c r="AA368" i="6"/>
  <c r="AB368" i="6"/>
  <c r="AC368" i="6" s="1"/>
  <c r="AA376" i="6"/>
  <c r="AA377" i="6"/>
  <c r="AB377" i="6"/>
  <c r="AA379" i="6"/>
  <c r="AB379" i="6"/>
  <c r="AC379" i="6" s="1"/>
  <c r="AA384" i="6"/>
  <c r="AB384" i="6" s="1"/>
  <c r="AC384" i="6" s="1"/>
  <c r="AA386" i="6"/>
  <c r="AB386" i="6" s="1"/>
  <c r="AC386" i="6" s="1"/>
  <c r="T386" i="6"/>
  <c r="U386" i="6"/>
  <c r="AA401" i="6"/>
  <c r="AB401" i="6" s="1"/>
  <c r="AC401" i="6" s="1"/>
  <c r="AA422" i="6"/>
  <c r="AB422" i="6" s="1"/>
  <c r="AA427" i="6"/>
  <c r="AB427" i="6" s="1"/>
  <c r="AC427" i="6" s="1"/>
  <c r="AA499" i="6"/>
  <c r="AA523" i="6"/>
  <c r="AB523" i="6" s="1"/>
  <c r="AA628" i="6"/>
  <c r="AB628" i="6" s="1"/>
  <c r="AC628" i="6" s="1"/>
  <c r="T628" i="6"/>
  <c r="U628" i="6"/>
  <c r="AA629" i="6"/>
  <c r="AA635" i="6"/>
  <c r="AB635" i="6" s="1"/>
  <c r="AC635" i="6"/>
  <c r="T635" i="6"/>
  <c r="U635" i="6"/>
  <c r="AA642" i="6"/>
  <c r="T642" i="6"/>
  <c r="U642" i="6"/>
  <c r="AA652" i="6"/>
  <c r="AA655" i="6"/>
  <c r="AB655" i="6" s="1"/>
  <c r="AA660" i="6"/>
  <c r="AB660" i="6" s="1"/>
  <c r="AC660" i="6" s="1"/>
  <c r="AA667" i="6"/>
  <c r="AB667" i="6"/>
  <c r="AC667" i="6" s="1"/>
  <c r="AA670" i="6"/>
  <c r="AB670" i="6" s="1"/>
  <c r="AA674" i="6"/>
  <c r="AA677" i="6"/>
  <c r="AB677" i="6" s="1"/>
  <c r="AA683" i="6"/>
  <c r="AB683" i="6" s="1"/>
  <c r="AC683" i="6" s="1"/>
  <c r="AA685" i="6"/>
  <c r="AA707" i="6"/>
  <c r="AB707" i="6" s="1"/>
  <c r="AC707" i="6"/>
  <c r="AA727" i="6"/>
  <c r="AA752" i="6"/>
  <c r="AB752" i="6" s="1"/>
  <c r="AC752" i="6"/>
  <c r="AA773" i="6"/>
  <c r="AB773" i="6" s="1"/>
  <c r="AC773" i="6"/>
  <c r="AA851" i="6"/>
  <c r="AB851" i="6" s="1"/>
  <c r="AA856" i="6"/>
  <c r="AB856" i="6" s="1"/>
  <c r="AC856" i="6" s="1"/>
  <c r="AA862" i="6"/>
  <c r="AA870" i="6"/>
  <c r="AB870" i="6" s="1"/>
  <c r="AC870" i="6" s="1"/>
  <c r="AA908" i="6"/>
  <c r="AB908" i="6" s="1"/>
  <c r="AC908" i="6" s="1"/>
  <c r="AA926" i="6"/>
  <c r="AA946" i="6"/>
  <c r="AB946" i="6" s="1"/>
  <c r="AC946" i="6" s="1"/>
  <c r="AA959" i="6"/>
  <c r="AB959" i="6"/>
  <c r="AA980" i="6"/>
  <c r="AA987" i="6"/>
  <c r="AB987" i="6" s="1"/>
  <c r="AA993" i="6"/>
  <c r="AB993" i="6" s="1"/>
  <c r="T993" i="6"/>
  <c r="U993" i="6"/>
  <c r="AA251" i="6"/>
  <c r="AA286" i="6"/>
  <c r="AA302" i="6"/>
  <c r="AB302" i="6" s="1"/>
  <c r="AC302" i="6" s="1"/>
  <c r="AA312" i="6"/>
  <c r="AA326" i="6"/>
  <c r="AA332" i="6"/>
  <c r="AB332" i="6" s="1"/>
  <c r="AA342" i="6"/>
  <c r="AB342" i="6"/>
  <c r="AC342" i="6" s="1"/>
  <c r="AA344" i="6"/>
  <c r="AB344" i="6" s="1"/>
  <c r="AA354" i="6"/>
  <c r="AB354" i="6" s="1"/>
  <c r="T354" i="6"/>
  <c r="U354" i="6"/>
  <c r="AA382" i="6"/>
  <c r="AA391" i="6"/>
  <c r="AB391" i="6" s="1"/>
  <c r="T391" i="6"/>
  <c r="U391" i="6"/>
  <c r="AA398" i="6"/>
  <c r="AA408" i="6"/>
  <c r="AB408" i="6" s="1"/>
  <c r="AA430" i="6"/>
  <c r="AA444" i="6"/>
  <c r="AB444" i="6" s="1"/>
  <c r="AC444" i="6" s="1"/>
  <c r="AA448" i="6"/>
  <c r="AB448" i="6" s="1"/>
  <c r="AA456" i="6"/>
  <c r="AB456" i="6" s="1"/>
  <c r="AA458" i="6"/>
  <c r="AB458" i="6" s="1"/>
  <c r="AC458" i="6" s="1"/>
  <c r="T458" i="6"/>
  <c r="U458" i="6"/>
  <c r="AA463" i="6"/>
  <c r="AB463" i="6" s="1"/>
  <c r="AC463" i="6" s="1"/>
  <c r="T463" i="6"/>
  <c r="U463" i="6"/>
  <c r="AA536" i="6"/>
  <c r="AB536" i="6" s="1"/>
  <c r="AC536" i="6" s="1"/>
  <c r="T536" i="6"/>
  <c r="U536" i="6"/>
  <c r="AA562" i="6"/>
  <c r="AB562" i="6" s="1"/>
  <c r="AC562" i="6"/>
  <c r="AA568" i="6"/>
  <c r="AB568" i="6" s="1"/>
  <c r="AC568" i="6"/>
  <c r="AA584" i="6"/>
  <c r="AB584" i="6"/>
  <c r="AA592" i="6"/>
  <c r="AA594" i="6"/>
  <c r="AB594" i="6" s="1"/>
  <c r="AA631" i="6"/>
  <c r="AB631" i="6"/>
  <c r="AA643" i="6"/>
  <c r="AB643" i="6"/>
  <c r="AA686" i="6"/>
  <c r="AA691" i="6"/>
  <c r="AB691" i="6" s="1"/>
  <c r="T691" i="6"/>
  <c r="U691" i="6"/>
  <c r="AA692" i="6"/>
  <c r="AB692" i="6" s="1"/>
  <c r="AA695" i="6"/>
  <c r="AA741" i="6"/>
  <c r="T741" i="6"/>
  <c r="U741" i="6"/>
  <c r="AA748" i="6"/>
  <c r="AB748" i="6" s="1"/>
  <c r="AC748" i="6" s="1"/>
  <c r="AA750" i="6"/>
  <c r="AB750" i="6" s="1"/>
  <c r="AA758" i="6"/>
  <c r="AB758" i="6" s="1"/>
  <c r="AA848" i="6"/>
  <c r="AA874" i="6"/>
  <c r="AB874" i="6" s="1"/>
  <c r="AA891" i="6"/>
  <c r="AB891" i="6" s="1"/>
  <c r="AC891" i="6" s="1"/>
  <c r="AA894" i="6"/>
  <c r="AA931" i="6"/>
  <c r="AB931" i="6" s="1"/>
  <c r="AA936" i="6"/>
  <c r="AA951" i="6"/>
  <c r="AB951" i="6"/>
  <c r="AC951" i="6" s="1"/>
  <c r="AA957" i="6"/>
  <c r="AB957" i="6"/>
  <c r="AC957" i="6" s="1"/>
  <c r="T957" i="6"/>
  <c r="U957" i="6"/>
  <c r="AA972" i="6"/>
  <c r="AA295" i="6"/>
  <c r="AB295" i="6" s="1"/>
  <c r="AC295" i="6" s="1"/>
  <c r="AA322" i="6"/>
  <c r="AB322" i="6"/>
  <c r="AC322" i="6" s="1"/>
  <c r="AA327" i="6"/>
  <c r="AB327" i="6" s="1"/>
  <c r="AA340" i="6"/>
  <c r="AB340" i="6" s="1"/>
  <c r="AA343" i="6"/>
  <c r="AB343" i="6"/>
  <c r="AC343" i="6" s="1"/>
  <c r="AA352" i="6"/>
  <c r="AB352" i="6" s="1"/>
  <c r="AA359" i="6"/>
  <c r="T359" i="6"/>
  <c r="U359" i="6"/>
  <c r="AA367" i="6"/>
  <c r="AA390" i="6"/>
  <c r="AB390" i="6" s="1"/>
  <c r="AA394" i="6"/>
  <c r="AB394" i="6"/>
  <c r="AA404" i="6"/>
  <c r="AB404" i="6" s="1"/>
  <c r="AA406" i="6"/>
  <c r="AB406" i="6"/>
  <c r="AC406" i="6"/>
  <c r="T406" i="6"/>
  <c r="U406" i="6"/>
  <c r="AA421" i="6"/>
  <c r="T421" i="6"/>
  <c r="U421" i="6"/>
  <c r="AA432" i="6"/>
  <c r="AB432" i="6" s="1"/>
  <c r="AC432" i="6" s="1"/>
  <c r="AA464" i="6"/>
  <c r="AB464" i="6"/>
  <c r="AA506" i="6"/>
  <c r="AB506" i="6" s="1"/>
  <c r="AC506" i="6" s="1"/>
  <c r="AA509" i="6"/>
  <c r="AB509" i="6" s="1"/>
  <c r="AC509" i="6" s="1"/>
  <c r="T509" i="6"/>
  <c r="U509" i="6"/>
  <c r="AA515" i="6"/>
  <c r="AB515" i="6"/>
  <c r="AA520" i="6"/>
  <c r="AA533" i="6"/>
  <c r="AB533" i="6" s="1"/>
  <c r="AC533" i="6" s="1"/>
  <c r="AA603" i="6"/>
  <c r="AB603" i="6" s="1"/>
  <c r="AC603" i="6" s="1"/>
  <c r="AA611" i="6"/>
  <c r="AB611" i="6"/>
  <c r="AC611" i="6" s="1"/>
  <c r="AA613" i="6"/>
  <c r="AB613" i="6" s="1"/>
  <c r="AA616" i="6"/>
  <c r="AB616" i="6" s="1"/>
  <c r="AA623" i="6"/>
  <c r="AA630" i="6"/>
  <c r="AB630" i="6" s="1"/>
  <c r="AA637" i="6"/>
  <c r="AB637" i="6" s="1"/>
  <c r="AA645" i="6"/>
  <c r="AA651" i="6"/>
  <c r="AA664" i="6"/>
  <c r="AA669" i="6"/>
  <c r="AB669" i="6" s="1"/>
  <c r="AC669" i="6" s="1"/>
  <c r="AA680" i="6"/>
  <c r="AB680" i="6" s="1"/>
  <c r="AA701" i="6"/>
  <c r="AB701" i="6" s="1"/>
  <c r="T701" i="6"/>
  <c r="U701" i="6"/>
  <c r="AA753" i="6"/>
  <c r="AB753" i="6" s="1"/>
  <c r="AA759" i="6"/>
  <c r="AB759" i="6" s="1"/>
  <c r="AA764" i="6"/>
  <c r="AB764" i="6" s="1"/>
  <c r="AA771" i="6"/>
  <c r="AA774" i="6"/>
  <c r="AB774" i="6" s="1"/>
  <c r="T774" i="6"/>
  <c r="U774" i="6"/>
  <c r="AA781" i="6"/>
  <c r="AB781" i="6" s="1"/>
  <c r="AA798" i="6"/>
  <c r="AA804" i="6"/>
  <c r="AB804" i="6" s="1"/>
  <c r="AA805" i="6"/>
  <c r="AB805" i="6" s="1"/>
  <c r="AC805" i="6" s="1"/>
  <c r="AA811" i="6"/>
  <c r="AB811" i="6" s="1"/>
  <c r="AA814" i="6"/>
  <c r="AB814" i="6" s="1"/>
  <c r="AA817" i="6"/>
  <c r="AB817" i="6"/>
  <c r="AC817" i="6" s="1"/>
  <c r="T817" i="6"/>
  <c r="U817" i="6"/>
  <c r="AA823" i="6"/>
  <c r="AB823" i="6" s="1"/>
  <c r="T823" i="6"/>
  <c r="U823" i="6"/>
  <c r="AA831" i="6"/>
  <c r="AB831" i="6" s="1"/>
  <c r="T831" i="6"/>
  <c r="U831" i="6"/>
  <c r="AA839" i="6"/>
  <c r="AB839" i="6"/>
  <c r="AA845" i="6"/>
  <c r="AB845" i="6"/>
  <c r="AA853" i="6"/>
  <c r="AB853" i="6"/>
  <c r="AA855" i="6"/>
  <c r="AB855" i="6"/>
  <c r="AA857" i="6"/>
  <c r="AB857" i="6"/>
  <c r="T857" i="6"/>
  <c r="U857" i="6"/>
  <c r="AA876" i="6"/>
  <c r="AB876" i="6"/>
  <c r="AA883" i="6"/>
  <c r="T883" i="6"/>
  <c r="U883" i="6"/>
  <c r="AA886" i="6"/>
  <c r="AB886" i="6" s="1"/>
  <c r="AA896" i="6"/>
  <c r="AB896" i="6" s="1"/>
  <c r="AA903" i="6"/>
  <c r="T903" i="6"/>
  <c r="U903" i="6"/>
  <c r="AA913" i="6"/>
  <c r="AB913" i="6" s="1"/>
  <c r="AA918" i="6"/>
  <c r="AB918" i="6" s="1"/>
  <c r="AA938" i="6"/>
  <c r="AB938" i="6" s="1"/>
  <c r="AA973" i="6"/>
  <c r="AB973" i="6" s="1"/>
  <c r="AA991" i="6"/>
  <c r="AB991" i="6"/>
  <c r="AA998" i="6"/>
  <c r="AB998" i="6"/>
  <c r="AC136" i="6"/>
  <c r="T136" i="6"/>
  <c r="U136" i="6"/>
  <c r="AB128" i="6"/>
  <c r="AC128" i="6" s="1"/>
  <c r="K25" i="3"/>
  <c r="M25" i="3"/>
  <c r="M47" i="3"/>
  <c r="K47" i="3"/>
  <c r="K81" i="3"/>
  <c r="M185" i="3"/>
  <c r="K207" i="3"/>
  <c r="M74" i="3"/>
  <c r="K122" i="3"/>
  <c r="M122" i="3"/>
  <c r="K176" i="3"/>
  <c r="M312" i="3"/>
  <c r="K337" i="3"/>
  <c r="M393" i="3"/>
  <c r="M420" i="3"/>
  <c r="K420" i="3"/>
  <c r="M448" i="3"/>
  <c r="K497" i="3"/>
  <c r="T234" i="6"/>
  <c r="U234" i="6"/>
  <c r="K12" i="3"/>
  <c r="M49" i="3"/>
  <c r="K49" i="3"/>
  <c r="M71" i="3"/>
  <c r="K71" i="3"/>
  <c r="M118" i="3"/>
  <c r="M177" i="3"/>
  <c r="K177" i="3"/>
  <c r="M238" i="3"/>
  <c r="K238" i="3"/>
  <c r="M303" i="3"/>
  <c r="K303" i="3"/>
  <c r="K330" i="3"/>
  <c r="K352" i="3"/>
  <c r="M359" i="3"/>
  <c r="K359" i="3"/>
  <c r="K439" i="3"/>
  <c r="M449" i="3"/>
  <c r="K449" i="3"/>
  <c r="K462" i="3"/>
  <c r="K170" i="3"/>
  <c r="M170" i="3"/>
  <c r="K265" i="3"/>
  <c r="K356" i="3"/>
  <c r="K431" i="3"/>
  <c r="M28" i="3"/>
  <c r="K32" i="3"/>
  <c r="M41" i="3"/>
  <c r="K41" i="3"/>
  <c r="K145" i="3"/>
  <c r="M167" i="3"/>
  <c r="K167" i="3"/>
  <c r="K248" i="3"/>
  <c r="M284" i="3"/>
  <c r="K318" i="3"/>
  <c r="K353" i="3"/>
  <c r="M368" i="3"/>
  <c r="K368" i="3"/>
  <c r="M378" i="3"/>
  <c r="K408" i="3"/>
  <c r="K436" i="3"/>
  <c r="K441" i="3"/>
  <c r="M441" i="3"/>
  <c r="AA21" i="6"/>
  <c r="T72" i="6"/>
  <c r="U72" i="6"/>
  <c r="T229" i="6"/>
  <c r="U229" i="6"/>
  <c r="M23" i="3"/>
  <c r="K23" i="3"/>
  <c r="K90" i="3"/>
  <c r="M90" i="3"/>
  <c r="M137" i="3"/>
  <c r="K137" i="3"/>
  <c r="K164" i="3"/>
  <c r="M214" i="3"/>
  <c r="K262" i="3"/>
  <c r="M279" i="3"/>
  <c r="K279" i="3"/>
  <c r="K315" i="3"/>
  <c r="M344" i="3"/>
  <c r="K344" i="3"/>
  <c r="K432" i="3"/>
  <c r="AA17" i="6"/>
  <c r="AA63" i="6"/>
  <c r="AB63" i="6" s="1"/>
  <c r="AA86" i="6"/>
  <c r="AA334" i="6"/>
  <c r="M134" i="3"/>
  <c r="M142" i="3"/>
  <c r="K142" i="3"/>
  <c r="M211" i="3"/>
  <c r="K211" i="3"/>
  <c r="K216" i="3"/>
  <c r="M216" i="3"/>
  <c r="M276" i="3"/>
  <c r="K276" i="3"/>
  <c r="K316" i="3"/>
  <c r="M316" i="3"/>
  <c r="K370" i="3"/>
  <c r="M370" i="3"/>
  <c r="M396" i="3"/>
  <c r="K396" i="3"/>
  <c r="M452" i="3"/>
  <c r="K452" i="3"/>
  <c r="K470" i="3"/>
  <c r="M470" i="3"/>
  <c r="AB8" i="6"/>
  <c r="AC8" i="6" s="1"/>
  <c r="T52" i="6"/>
  <c r="U52" i="6"/>
  <c r="M20" i="3"/>
  <c r="K20" i="3"/>
  <c r="K100" i="3"/>
  <c r="M121" i="3"/>
  <c r="K271" i="3"/>
  <c r="K362" i="3"/>
  <c r="M362" i="3"/>
  <c r="K401" i="3"/>
  <c r="K466" i="3"/>
  <c r="M466" i="3"/>
  <c r="K504" i="3"/>
  <c r="AB7" i="6"/>
  <c r="AA26" i="6"/>
  <c r="AB26" i="6" s="1"/>
  <c r="T111" i="6"/>
  <c r="U111" i="6"/>
  <c r="K15" i="3"/>
  <c r="K44" i="3"/>
  <c r="M88" i="3"/>
  <c r="K88" i="3"/>
  <c r="K97" i="3"/>
  <c r="M196" i="3"/>
  <c r="K196" i="3"/>
  <c r="M234" i="3"/>
  <c r="T66" i="6"/>
  <c r="U66" i="6"/>
  <c r="AB80" i="6"/>
  <c r="AC80" i="6" s="1"/>
  <c r="M16" i="3"/>
  <c r="K16" i="3"/>
  <c r="M94" i="3"/>
  <c r="K94" i="3"/>
  <c r="K106" i="3"/>
  <c r="M106" i="3"/>
  <c r="M114" i="3"/>
  <c r="M201" i="3"/>
  <c r="K201" i="3"/>
  <c r="K300" i="3"/>
  <c r="M377" i="3"/>
  <c r="K412" i="3"/>
  <c r="M412" i="3"/>
  <c r="AA68" i="6"/>
  <c r="AA154" i="6"/>
  <c r="K103" i="3"/>
  <c r="K156" i="3"/>
  <c r="M156" i="3"/>
  <c r="M193" i="3"/>
  <c r="K193" i="3"/>
  <c r="K250" i="3"/>
  <c r="M250" i="3"/>
  <c r="F7" i="1"/>
  <c r="AA13" i="6"/>
  <c r="AA57" i="6"/>
  <c r="AA64" i="6"/>
  <c r="T71" i="6"/>
  <c r="U71" i="6"/>
  <c r="AA78" i="6"/>
  <c r="AB78" i="6" s="1"/>
  <c r="AC78" i="6" s="1"/>
  <c r="AA96" i="6"/>
  <c r="AA119" i="6"/>
  <c r="AB119" i="6" s="1"/>
  <c r="AC139" i="6"/>
  <c r="AA178" i="6"/>
  <c r="AA331" i="6"/>
  <c r="AA138" i="6"/>
  <c r="AA219" i="6"/>
  <c r="H5" i="7"/>
  <c r="M5" i="7"/>
  <c r="K5" i="3"/>
  <c r="M78" i="3"/>
  <c r="K78" i="3"/>
  <c r="M190" i="3"/>
  <c r="K190" i="3"/>
  <c r="M227" i="3"/>
  <c r="K227" i="3"/>
  <c r="K460" i="3"/>
  <c r="M467" i="3"/>
  <c r="K467" i="3"/>
  <c r="AA115" i="6"/>
  <c r="T188" i="6"/>
  <c r="U188" i="6"/>
  <c r="AA299" i="6"/>
  <c r="AC299" i="6" s="1"/>
  <c r="K57" i="3"/>
  <c r="M57" i="3"/>
  <c r="K83" i="3"/>
  <c r="M86" i="3"/>
  <c r="K115" i="3"/>
  <c r="K131" i="3"/>
  <c r="K158" i="3"/>
  <c r="M186" i="3"/>
  <c r="M220" i="3"/>
  <c r="K254" i="3"/>
  <c r="K257" i="3"/>
  <c r="K272" i="3"/>
  <c r="M281" i="3"/>
  <c r="K305" i="3"/>
  <c r="K324" i="3"/>
  <c r="K327" i="3"/>
  <c r="M334" i="3"/>
  <c r="K334" i="3"/>
  <c r="M346" i="3"/>
  <c r="K350" i="3"/>
  <c r="K398" i="3"/>
  <c r="K402" i="3"/>
  <c r="M402" i="3"/>
  <c r="K417" i="3"/>
  <c r="K423" i="3"/>
  <c r="M426" i="3"/>
  <c r="K457" i="3"/>
  <c r="K463" i="3"/>
  <c r="K472" i="3"/>
  <c r="M483" i="3"/>
  <c r="K483" i="3"/>
  <c r="K494" i="3"/>
  <c r="M506" i="3"/>
  <c r="AA50" i="6"/>
  <c r="AB50" i="6" s="1"/>
  <c r="AA77" i="6"/>
  <c r="AA125" i="6"/>
  <c r="AB125" i="6" s="1"/>
  <c r="AC125" i="6" s="1"/>
  <c r="AA163" i="6"/>
  <c r="AB163" i="6" s="1"/>
  <c r="AA173" i="6"/>
  <c r="AA195" i="6"/>
  <c r="AB195" i="6" s="1"/>
  <c r="AA203" i="6"/>
  <c r="AB203" i="6" s="1"/>
  <c r="AA209" i="6"/>
  <c r="AA244" i="6"/>
  <c r="AA258" i="6"/>
  <c r="AB258" i="6" s="1"/>
  <c r="AA383" i="6"/>
  <c r="AB383" i="6" s="1"/>
  <c r="AC383" i="6" s="1"/>
  <c r="T462" i="6"/>
  <c r="U462" i="6"/>
  <c r="AA510" i="6"/>
  <c r="AB510" i="6" s="1"/>
  <c r="AC510" i="6" s="1"/>
  <c r="C19" i="1"/>
  <c r="T16" i="6"/>
  <c r="U16" i="6"/>
  <c r="T23" i="6"/>
  <c r="U23" i="6"/>
  <c r="AA51" i="6"/>
  <c r="K146" i="3"/>
  <c r="M146" i="3"/>
  <c r="M390" i="3"/>
  <c r="K390" i="3"/>
  <c r="M490" i="3"/>
  <c r="AA274" i="6"/>
  <c r="AB274" i="6" s="1"/>
  <c r="AC274" i="6" s="1"/>
  <c r="M26" i="3"/>
  <c r="K65" i="3"/>
  <c r="K105" i="3"/>
  <c r="K111" i="3"/>
  <c r="K151" i="3"/>
  <c r="K155" i="3"/>
  <c r="M187" i="3"/>
  <c r="K187" i="3"/>
  <c r="K195" i="3"/>
  <c r="M224" i="3"/>
  <c r="K224" i="3"/>
  <c r="K251" i="3"/>
  <c r="K263" i="3"/>
  <c r="M266" i="3"/>
  <c r="K313" i="3"/>
  <c r="M313" i="3"/>
  <c r="K339" i="3"/>
  <c r="K364" i="3"/>
  <c r="K371" i="3"/>
  <c r="K387" i="3"/>
  <c r="K414" i="3"/>
  <c r="M442" i="3"/>
  <c r="K454" i="3"/>
  <c r="AA176" i="6"/>
  <c r="AB176" i="6" s="1"/>
  <c r="AC176" i="6" s="1"/>
  <c r="AA183" i="6"/>
  <c r="AA202" i="6"/>
  <c r="AA212" i="6"/>
  <c r="AA220" i="6"/>
  <c r="AA236" i="6"/>
  <c r="AA264" i="6"/>
  <c r="AB264" i="6" s="1"/>
  <c r="AA318" i="6"/>
  <c r="AB469" i="6"/>
  <c r="AC469" i="6" s="1"/>
  <c r="AA98" i="6"/>
  <c r="AA248" i="6"/>
  <c r="AA70" i="6"/>
  <c r="AB70" i="6" s="1"/>
  <c r="AC70" i="6" s="1"/>
  <c r="T355" i="6"/>
  <c r="U355" i="6"/>
  <c r="M22" i="3"/>
  <c r="K87" i="3"/>
  <c r="M112" i="3"/>
  <c r="K112" i="3"/>
  <c r="K128" i="3"/>
  <c r="M140" i="3"/>
  <c r="K140" i="3"/>
  <c r="K179" i="3"/>
  <c r="K240" i="3"/>
  <c r="K247" i="3"/>
  <c r="M282" i="3"/>
  <c r="K294" i="3"/>
  <c r="K347" i="3"/>
  <c r="K367" i="3"/>
  <c r="K407" i="3"/>
  <c r="M443" i="3"/>
  <c r="K443" i="3"/>
  <c r="K480" i="3"/>
  <c r="AA33" i="6"/>
  <c r="AA60" i="6"/>
  <c r="AA81" i="6"/>
  <c r="AA91" i="6"/>
  <c r="AB91" i="6" s="1"/>
  <c r="AA116" i="6"/>
  <c r="AA135" i="6"/>
  <c r="AB135" i="6" s="1"/>
  <c r="AA150" i="6"/>
  <c r="AB150" i="6" s="1"/>
  <c r="AA166" i="6"/>
  <c r="AB166" i="6" s="1"/>
  <c r="AA192" i="6"/>
  <c r="AA240" i="6"/>
  <c r="AB240" i="6" s="1"/>
  <c r="AA246" i="6"/>
  <c r="AA256" i="6"/>
  <c r="AA269" i="6"/>
  <c r="AA275" i="6"/>
  <c r="AB275" i="6" s="1"/>
  <c r="AC275" i="6" s="1"/>
  <c r="AA284" i="6"/>
  <c r="AA288" i="6"/>
  <c r="AA372" i="6"/>
  <c r="AA416" i="6"/>
  <c r="AA474" i="6"/>
  <c r="AA481" i="6"/>
  <c r="AB481" i="6" s="1"/>
  <c r="AA505" i="6"/>
  <c r="AB511" i="6"/>
  <c r="AA518" i="6"/>
  <c r="AB518" i="6" s="1"/>
  <c r="AC518" i="6" s="1"/>
  <c r="AA679" i="6"/>
  <c r="AB679" i="6" s="1"/>
  <c r="AA439" i="6"/>
  <c r="AA494" i="6"/>
  <c r="T666" i="6"/>
  <c r="U666" i="6"/>
  <c r="T671" i="6"/>
  <c r="U671" i="6"/>
  <c r="AA223" i="6"/>
  <c r="AA226" i="6"/>
  <c r="AA283" i="6"/>
  <c r="AB283" i="6" s="1"/>
  <c r="AC283" i="6" s="1"/>
  <c r="AA289" i="6"/>
  <c r="AA303" i="6"/>
  <c r="AB303" i="6" s="1"/>
  <c r="AA310" i="6"/>
  <c r="T336" i="6"/>
  <c r="U336" i="6"/>
  <c r="AA356" i="6"/>
  <c r="AA103" i="6"/>
  <c r="AA211" i="6"/>
  <c r="AA218" i="6"/>
  <c r="AA265" i="6"/>
  <c r="AB265" i="6" s="1"/>
  <c r="AA364" i="6"/>
  <c r="AA375" i="6"/>
  <c r="AB375" i="6" s="1"/>
  <c r="AC375" i="6" s="1"/>
  <c r="AA445" i="6"/>
  <c r="AA455" i="6"/>
  <c r="AB455" i="6" s="1"/>
  <c r="AC455" i="6" s="1"/>
  <c r="AC466" i="6"/>
  <c r="T466" i="6"/>
  <c r="U466" i="6"/>
  <c r="AA476" i="6"/>
  <c r="AA492" i="6"/>
  <c r="AB492" i="6" s="1"/>
  <c r="AA538" i="6"/>
  <c r="AB538" i="6" s="1"/>
  <c r="AC538" i="6" s="1"/>
  <c r="AA571" i="6"/>
  <c r="T707" i="6"/>
  <c r="U707" i="6"/>
  <c r="K17" i="3"/>
  <c r="K27" i="3"/>
  <c r="K30" i="3"/>
  <c r="K33" i="3"/>
  <c r="K36" i="3"/>
  <c r="K51" i="3"/>
  <c r="M54" i="3"/>
  <c r="K64" i="3"/>
  <c r="K116" i="3"/>
  <c r="K119" i="3"/>
  <c r="K143" i="3"/>
  <c r="M153" i="3"/>
  <c r="K174" i="3"/>
  <c r="K184" i="3"/>
  <c r="K199" i="3"/>
  <c r="M202" i="3"/>
  <c r="K208" i="3"/>
  <c r="M218" i="3"/>
  <c r="K230" i="3"/>
  <c r="K233" i="3"/>
  <c r="K236" i="3"/>
  <c r="M242" i="3"/>
  <c r="K273" i="3"/>
  <c r="K283" i="3"/>
  <c r="K286" i="3"/>
  <c r="K289" i="3"/>
  <c r="K292" i="3"/>
  <c r="K307" i="3"/>
  <c r="M310" i="3"/>
  <c r="K320" i="3"/>
  <c r="K323" i="3"/>
  <c r="K372" i="3"/>
  <c r="K375" i="3"/>
  <c r="K399" i="3"/>
  <c r="M409" i="3"/>
  <c r="K430" i="3"/>
  <c r="K440" i="3"/>
  <c r="M458" i="3"/>
  <c r="K464" i="3"/>
  <c r="M474" i="3"/>
  <c r="K486" i="3"/>
  <c r="K489" i="3"/>
  <c r="K492" i="3"/>
  <c r="M498" i="3"/>
  <c r="M508" i="3"/>
  <c r="AA132" i="6"/>
  <c r="AB132" i="6" s="1"/>
  <c r="AA133" i="6"/>
  <c r="AB133" i="6" s="1"/>
  <c r="AA159" i="6"/>
  <c r="AA193" i="6"/>
  <c r="AB193" i="6" s="1"/>
  <c r="AC193" i="6" s="1"/>
  <c r="AA227" i="6"/>
  <c r="AA266" i="6"/>
  <c r="AA337" i="6"/>
  <c r="AB337" i="6" s="1"/>
  <c r="AA373" i="6"/>
  <c r="AB373" i="6" s="1"/>
  <c r="AC373" i="6" s="1"/>
  <c r="AA435" i="6"/>
  <c r="AB435" i="6" s="1"/>
  <c r="AA451" i="6"/>
  <c r="AA544" i="6"/>
  <c r="AA567" i="6"/>
  <c r="K39" i="3"/>
  <c r="M42" i="3"/>
  <c r="K48" i="3"/>
  <c r="M58" i="3"/>
  <c r="M92" i="3"/>
  <c r="K147" i="3"/>
  <c r="M150" i="3"/>
  <c r="K215" i="3"/>
  <c r="K239" i="3"/>
  <c r="M249" i="3"/>
  <c r="K295" i="3"/>
  <c r="M298" i="3"/>
  <c r="M314" i="3"/>
  <c r="M338" i="3"/>
  <c r="M348" i="3"/>
  <c r="K403" i="3"/>
  <c r="M406" i="3"/>
  <c r="K471" i="3"/>
  <c r="K495" i="3"/>
  <c r="M505" i="3"/>
  <c r="AA93" i="6"/>
  <c r="AA123" i="6"/>
  <c r="AA127" i="6"/>
  <c r="AA129" i="6"/>
  <c r="AA142" i="6"/>
  <c r="AB142" i="6" s="1"/>
  <c r="AA205" i="6"/>
  <c r="AA243" i="6"/>
  <c r="AA268" i="6"/>
  <c r="AB268" i="6" s="1"/>
  <c r="AA321" i="6"/>
  <c r="AA345" i="6"/>
  <c r="AA353" i="6"/>
  <c r="AA418" i="6"/>
  <c r="AB418" i="6" s="1"/>
  <c r="AC418" i="6" s="1"/>
  <c r="AA440" i="6"/>
  <c r="AC440" i="6" s="1"/>
  <c r="AA485" i="6"/>
  <c r="AB485" i="6" s="1"/>
  <c r="AA525" i="6"/>
  <c r="AB525" i="6" s="1"/>
  <c r="AC525" i="6" s="1"/>
  <c r="AA550" i="6"/>
  <c r="AB550" i="6" s="1"/>
  <c r="AA554" i="6"/>
  <c r="AA329" i="6"/>
  <c r="AA335" i="6"/>
  <c r="AB335" i="6" s="1"/>
  <c r="AC335" i="6" s="1"/>
  <c r="AA371" i="6"/>
  <c r="AA413" i="6"/>
  <c r="AA434" i="6"/>
  <c r="AA479" i="6"/>
  <c r="AB479" i="6" s="1"/>
  <c r="AA517" i="6"/>
  <c r="AB517" i="6" s="1"/>
  <c r="AC517" i="6" s="1"/>
  <c r="AA566" i="6"/>
  <c r="AA573" i="6"/>
  <c r="AB573" i="6" s="1"/>
  <c r="AA586" i="6"/>
  <c r="AB586" i="6" s="1"/>
  <c r="AC586" i="6" s="1"/>
  <c r="AA315" i="6"/>
  <c r="AA330" i="6"/>
  <c r="AB330" i="6" s="1"/>
  <c r="AC330" i="6" s="1"/>
  <c r="AA333" i="6"/>
  <c r="AA346" i="6"/>
  <c r="AA351" i="6"/>
  <c r="AA362" i="6"/>
  <c r="AB362" i="6" s="1"/>
  <c r="AA388" i="6"/>
  <c r="AB388" i="6" s="1"/>
  <c r="AA414" i="6"/>
  <c r="AA488" i="6"/>
  <c r="AA541" i="6"/>
  <c r="AA547" i="6"/>
  <c r="AA572" i="6"/>
  <c r="AA574" i="6"/>
  <c r="AA596" i="6"/>
  <c r="AA370" i="6"/>
  <c r="AB370" i="6" s="1"/>
  <c r="AC370" i="6" s="1"/>
  <c r="AA396" i="6"/>
  <c r="AB396" i="6" s="1"/>
  <c r="AA397" i="6"/>
  <c r="AA411" i="6"/>
  <c r="AA459" i="6"/>
  <c r="AA486" i="6"/>
  <c r="AA507" i="6"/>
  <c r="AA522" i="6"/>
  <c r="AA553" i="6"/>
  <c r="AA558" i="6"/>
  <c r="AB558" i="6" s="1"/>
  <c r="AC558" i="6" s="1"/>
  <c r="AA589" i="6"/>
  <c r="AB589" i="6" s="1"/>
  <c r="AA601" i="6"/>
  <c r="AB601" i="6" s="1"/>
  <c r="AC601" i="6" s="1"/>
  <c r="AA605" i="6"/>
  <c r="AA619" i="6"/>
  <c r="AB619" i="6" s="1"/>
  <c r="AC619" i="6" s="1"/>
  <c r="AA644" i="6"/>
  <c r="AA658" i="6"/>
  <c r="AA696" i="6"/>
  <c r="AB696" i="6" s="1"/>
  <c r="AC696" i="6" s="1"/>
  <c r="AA712" i="6"/>
  <c r="AA483" i="6"/>
  <c r="AA502" i="6"/>
  <c r="AB502" i="6" s="1"/>
  <c r="AC502" i="6" s="1"/>
  <c r="AA526" i="6"/>
  <c r="AA543" i="6"/>
  <c r="AB543" i="6" s="1"/>
  <c r="AA546" i="6"/>
  <c r="AB546" i="6" s="1"/>
  <c r="AC546" i="6" s="1"/>
  <c r="AA590" i="6"/>
  <c r="AA638" i="6"/>
  <c r="AB638" i="6" s="1"/>
  <c r="AC638" i="6" s="1"/>
  <c r="AA646" i="6"/>
  <c r="AB646" i="6" s="1"/>
  <c r="AC646" i="6" s="1"/>
  <c r="AA648" i="6"/>
  <c r="AA675" i="6"/>
  <c r="AB675" i="6" s="1"/>
  <c r="AA718" i="6"/>
  <c r="AA754" i="6"/>
  <c r="AA766" i="6"/>
  <c r="AB766" i="6" s="1"/>
  <c r="AA772" i="6"/>
  <c r="AA843" i="6"/>
  <c r="AA687" i="6"/>
  <c r="AA745" i="6"/>
  <c r="AB745" i="6" s="1"/>
  <c r="AC745" i="6" s="1"/>
  <c r="AA751" i="6"/>
  <c r="AB751" i="6" s="1"/>
  <c r="AC751" i="6" s="1"/>
  <c r="AA755" i="6"/>
  <c r="AA803" i="6"/>
  <c r="AA482" i="6"/>
  <c r="AA609" i="6"/>
  <c r="AB609" i="6" s="1"/>
  <c r="AA618" i="6"/>
  <c r="AB618" i="6" s="1"/>
  <c r="AC618" i="6" s="1"/>
  <c r="AA626" i="6"/>
  <c r="AB626" i="6" s="1"/>
  <c r="AA684" i="6"/>
  <c r="AA690" i="6"/>
  <c r="AA717" i="6"/>
  <c r="AB717" i="6" s="1"/>
  <c r="AA726" i="6"/>
  <c r="AB726" i="6" s="1"/>
  <c r="AA736" i="6"/>
  <c r="AB736" i="6" s="1"/>
  <c r="AC736" i="6" s="1"/>
  <c r="AA287" i="6"/>
  <c r="AB287" i="6" s="1"/>
  <c r="AC287" i="6" s="1"/>
  <c r="AA366" i="6"/>
  <c r="AA419" i="6"/>
  <c r="AB419" i="6" s="1"/>
  <c r="AC419" i="6" s="1"/>
  <c r="AA438" i="6"/>
  <c r="AA461" i="6"/>
  <c r="AB461" i="6" s="1"/>
  <c r="AA530" i="6"/>
  <c r="AB530" i="6" s="1"/>
  <c r="AA551" i="6"/>
  <c r="AA564" i="6"/>
  <c r="AA583" i="6"/>
  <c r="AB583" i="6" s="1"/>
  <c r="AA604" i="6"/>
  <c r="AB604" i="6" s="1"/>
  <c r="AA693" i="6"/>
  <c r="AA714" i="6"/>
  <c r="AA722" i="6"/>
  <c r="AB722" i="6" s="1"/>
  <c r="AA730" i="6"/>
  <c r="AA733" i="6"/>
  <c r="AA782" i="6"/>
  <c r="AA792" i="6"/>
  <c r="AA830" i="6"/>
  <c r="AB830" i="6" s="1"/>
  <c r="AC830" i="6" s="1"/>
  <c r="AA868" i="6"/>
  <c r="AA705" i="6"/>
  <c r="AB705" i="6" s="1"/>
  <c r="AA734" i="6"/>
  <c r="AB734" i="6" s="1"/>
  <c r="AA737" i="6"/>
  <c r="AB737" i="6" s="1"/>
  <c r="AA739" i="6"/>
  <c r="AA854" i="6"/>
  <c r="AB854" i="6" s="1"/>
  <c r="T862" i="6"/>
  <c r="U862" i="6"/>
  <c r="AA905" i="6"/>
  <c r="AB905" i="6" s="1"/>
  <c r="AC905" i="6" s="1"/>
  <c r="T926" i="6"/>
  <c r="U926" i="6"/>
  <c r="AA673" i="6"/>
  <c r="AB673" i="6" s="1"/>
  <c r="AA770" i="6"/>
  <c r="AB770" i="6" s="1"/>
  <c r="AA826" i="6"/>
  <c r="AA828" i="6"/>
  <c r="AB828" i="6" s="1"/>
  <c r="AC828" i="6" s="1"/>
  <c r="AA849" i="6"/>
  <c r="AB849" i="6" s="1"/>
  <c r="AC849" i="6" s="1"/>
  <c r="AA878" i="6"/>
  <c r="AB878" i="6" s="1"/>
  <c r="AC878" i="6" s="1"/>
  <c r="AA607" i="6"/>
  <c r="AA672" i="6"/>
  <c r="AB672" i="6" s="1"/>
  <c r="AC672" i="6" s="1"/>
  <c r="T758" i="6"/>
  <c r="U758" i="6"/>
  <c r="AA783" i="6"/>
  <c r="AB783" i="6" s="1"/>
  <c r="AA806" i="6"/>
  <c r="AB806" i="6" s="1"/>
  <c r="AC806" i="6" s="1"/>
  <c r="AA810" i="6"/>
  <c r="AB810" i="6" s="1"/>
  <c r="AC810" i="6" s="1"/>
  <c r="AA813" i="6"/>
  <c r="AA834" i="6"/>
  <c r="AA838" i="6"/>
  <c r="AB838" i="6" s="1"/>
  <c r="AC838" i="6" s="1"/>
  <c r="AA846" i="6"/>
  <c r="AB846" i="6" s="1"/>
  <c r="AA889" i="6"/>
  <c r="AB889" i="6" s="1"/>
  <c r="AA897" i="6"/>
  <c r="AB897" i="6" s="1"/>
  <c r="T141" i="6"/>
  <c r="U141" i="6"/>
  <c r="AA606" i="6"/>
  <c r="AB606" i="6" s="1"/>
  <c r="AC606" i="6" s="1"/>
  <c r="AA715" i="6"/>
  <c r="AA724" i="6"/>
  <c r="AB724" i="6" s="1"/>
  <c r="AA756" i="6"/>
  <c r="AA761" i="6"/>
  <c r="AA765" i="6"/>
  <c r="AB765" i="6" s="1"/>
  <c r="AA767" i="6"/>
  <c r="AA864" i="6"/>
  <c r="AB864" i="6" s="1"/>
  <c r="AC864" i="6" s="1"/>
  <c r="AA902" i="6"/>
  <c r="AA943" i="6"/>
  <c r="AB943" i="6" s="1"/>
  <c r="AA778" i="6"/>
  <c r="AB778" i="6" s="1"/>
  <c r="AC778" i="6" s="1"/>
  <c r="AA799" i="6"/>
  <c r="AB799" i="6" s="1"/>
  <c r="AA812" i="6"/>
  <c r="AA815" i="6"/>
  <c r="AA820" i="6"/>
  <c r="AA842" i="6"/>
  <c r="AB842" i="6" s="1"/>
  <c r="AC842" i="6" s="1"/>
  <c r="AA875" i="6"/>
  <c r="AB875" i="6" s="1"/>
  <c r="AC875" i="6" s="1"/>
  <c r="AA912" i="6"/>
  <c r="AA949" i="6"/>
  <c r="AB949" i="6" s="1"/>
  <c r="AC949" i="6" s="1"/>
  <c r="AA654" i="6"/>
  <c r="AA731" i="6"/>
  <c r="AA789" i="6"/>
  <c r="AB789" i="6" s="1"/>
  <c r="AA818" i="6"/>
  <c r="AB818" i="6" s="1"/>
  <c r="AA840" i="6"/>
  <c r="AB840" i="6" s="1"/>
  <c r="AC840" i="6" s="1"/>
  <c r="AA887" i="6"/>
  <c r="AB887" i="6" s="1"/>
  <c r="AA923" i="6"/>
  <c r="AA966" i="6"/>
  <c r="AA795" i="6"/>
  <c r="AA841" i="6"/>
  <c r="AB841" i="6" s="1"/>
  <c r="AA865" i="6"/>
  <c r="AA901" i="6"/>
  <c r="AA910" i="6"/>
  <c r="AB910" i="6" s="1"/>
  <c r="AA921" i="6"/>
  <c r="AA829" i="6"/>
  <c r="AA802" i="6"/>
  <c r="AB802" i="6" s="1"/>
  <c r="AC802" i="6" s="1"/>
  <c r="AA863" i="6"/>
  <c r="AB863" i="6" s="1"/>
  <c r="AA866" i="6"/>
  <c r="AA914" i="6"/>
  <c r="AB914" i="6" s="1"/>
  <c r="AA916" i="6"/>
  <c r="AB916" i="6" s="1"/>
  <c r="AB937" i="6"/>
  <c r="AC937" i="6" s="1"/>
  <c r="AA962" i="6"/>
  <c r="AA893" i="6"/>
  <c r="AB893" i="6" s="1"/>
  <c r="AC893" i="6" s="1"/>
  <c r="AA919" i="6"/>
  <c r="AA935" i="6"/>
  <c r="AA989" i="6"/>
  <c r="AB989" i="6" s="1"/>
  <c r="AC989" i="6" s="1"/>
  <c r="AA964" i="6"/>
  <c r="AA976" i="6"/>
  <c r="AB976" i="6" s="1"/>
  <c r="AC976" i="6" s="1"/>
  <c r="AA994" i="6"/>
  <c r="AA996" i="6"/>
  <c r="AB996" i="6" s="1"/>
  <c r="AC996" i="6" s="1"/>
  <c r="AA882" i="6"/>
  <c r="AB882" i="6" s="1"/>
  <c r="AC882" i="6" s="1"/>
  <c r="AA960" i="6"/>
  <c r="AA983" i="6"/>
  <c r="AA933" i="6"/>
  <c r="AB933" i="6" s="1"/>
  <c r="AA968" i="6"/>
  <c r="AA977" i="6"/>
  <c r="AB977" i="6" s="1"/>
  <c r="AC977" i="6" s="1"/>
  <c r="AA952" i="6"/>
  <c r="AB952" i="6" s="1"/>
  <c r="AC952" i="6" s="1"/>
  <c r="AA953" i="6"/>
  <c r="AB953" i="6" s="1"/>
  <c r="AC953" i="6" s="1"/>
  <c r="AA948" i="6"/>
  <c r="AA961" i="6"/>
  <c r="AA971" i="6"/>
  <c r="AA974" i="6"/>
  <c r="AA981" i="6"/>
  <c r="AA988" i="6"/>
  <c r="AB988" i="6" s="1"/>
  <c r="AC988" i="6" s="1"/>
  <c r="AA947" i="6"/>
  <c r="AB947" i="6" s="1"/>
  <c r="AA967" i="6"/>
  <c r="AB967" i="6" s="1"/>
  <c r="AC967" i="6" s="1"/>
  <c r="AA999" i="6"/>
  <c r="AA939" i="6"/>
  <c r="AA984" i="6"/>
  <c r="AC11" i="6"/>
  <c r="AC7" i="6"/>
  <c r="T907" i="6"/>
  <c r="U907" i="6"/>
  <c r="T465" i="6"/>
  <c r="U465" i="6"/>
  <c r="AB6" i="6"/>
  <c r="T426" i="6"/>
  <c r="U426" i="6"/>
  <c r="AC181" i="6"/>
  <c r="T181" i="6"/>
  <c r="U181" i="6"/>
  <c r="T401" i="6"/>
  <c r="U401" i="6"/>
  <c r="T661" i="6"/>
  <c r="U661" i="6"/>
  <c r="AC920" i="6"/>
  <c r="T920" i="6"/>
  <c r="U920" i="6"/>
  <c r="T357" i="6"/>
  <c r="U357" i="6"/>
  <c r="T242" i="6"/>
  <c r="U242" i="6"/>
  <c r="AC880" i="6"/>
  <c r="T880" i="6"/>
  <c r="U880" i="6"/>
  <c r="T516" i="6"/>
  <c r="U516" i="6"/>
  <c r="T869" i="6"/>
  <c r="U869" i="6"/>
  <c r="T559" i="6"/>
  <c r="U559" i="6"/>
  <c r="T365" i="6"/>
  <c r="U365" i="6"/>
  <c r="AC144" i="6"/>
  <c r="T144" i="6"/>
  <c r="U144" i="6"/>
  <c r="T149" i="6"/>
  <c r="U149" i="6"/>
  <c r="T870" i="6"/>
  <c r="U870" i="6"/>
  <c r="AC141" i="6"/>
  <c r="T603" i="6"/>
  <c r="U603" i="6"/>
  <c r="AC89" i="6"/>
  <c r="T89" i="6"/>
  <c r="U89" i="6"/>
  <c r="T890" i="6"/>
  <c r="U890" i="6"/>
  <c r="AC700" i="6"/>
  <c r="T700" i="6"/>
  <c r="U700" i="6"/>
  <c r="AC252" i="6"/>
  <c r="T252" i="6"/>
  <c r="U252" i="6"/>
  <c r="T18" i="6"/>
  <c r="U18" i="6"/>
  <c r="AC991" i="6"/>
  <c r="T991" i="6"/>
  <c r="U991" i="6"/>
  <c r="T930" i="6"/>
  <c r="U930" i="6"/>
  <c r="T934" i="6"/>
  <c r="U934" i="6"/>
  <c r="T851" i="6"/>
  <c r="U851" i="6"/>
  <c r="T557" i="6"/>
  <c r="U557" i="6"/>
  <c r="T740" i="6"/>
  <c r="U740" i="6"/>
  <c r="T102" i="6"/>
  <c r="U102" i="6"/>
  <c r="AC443" i="6"/>
  <c r="T443" i="6"/>
  <c r="U443" i="6"/>
  <c r="T402" i="6"/>
  <c r="U402" i="6"/>
  <c r="AC804" i="6"/>
  <c r="T804" i="6"/>
  <c r="U804" i="6"/>
  <c r="T157" i="6"/>
  <c r="U157" i="6"/>
  <c r="T855" i="6"/>
  <c r="U855" i="6"/>
  <c r="T633" i="6"/>
  <c r="U633" i="6"/>
  <c r="T922" i="6"/>
  <c r="U922" i="6"/>
  <c r="T297" i="6"/>
  <c r="U297" i="6"/>
  <c r="AB587" i="6"/>
  <c r="AC570" i="6"/>
  <c r="T570" i="6"/>
  <c r="U570" i="6"/>
  <c r="T845" i="6"/>
  <c r="U845" i="6"/>
  <c r="T384" i="6"/>
  <c r="U384" i="6"/>
  <c r="T206" i="6"/>
  <c r="U206" i="6"/>
  <c r="T15" i="6"/>
  <c r="U15" i="6"/>
  <c r="T496" i="6"/>
  <c r="U496" i="6"/>
  <c r="T805" i="6"/>
  <c r="U805" i="6"/>
  <c r="T727" i="6"/>
  <c r="U727" i="6"/>
  <c r="T109" i="6"/>
  <c r="U109" i="6"/>
  <c r="AC703" i="6"/>
  <c r="T703" i="6"/>
  <c r="U703" i="6"/>
  <c r="T519" i="6"/>
  <c r="U519" i="6"/>
  <c r="T748" i="6"/>
  <c r="U748" i="6"/>
  <c r="T896" i="6"/>
  <c r="U896" i="6"/>
  <c r="T763" i="6"/>
  <c r="U763" i="6"/>
  <c r="T285" i="6"/>
  <c r="U285" i="6"/>
  <c r="T636" i="6"/>
  <c r="U636" i="6"/>
  <c r="T613" i="6"/>
  <c r="U613" i="6"/>
  <c r="AC53" i="6"/>
  <c r="T53" i="6"/>
  <c r="U53" i="6"/>
  <c r="T165" i="6"/>
  <c r="U165" i="6"/>
  <c r="T101" i="6"/>
  <c r="U101" i="6"/>
  <c r="AC519" i="6"/>
  <c r="AB524" i="6"/>
  <c r="AC524" i="6" s="1"/>
  <c r="T524" i="6"/>
  <c r="U524" i="6"/>
  <c r="T88" i="6"/>
  <c r="U88" i="6"/>
  <c r="AC408" i="6"/>
  <c r="T408" i="6"/>
  <c r="U408" i="6"/>
  <c r="T271" i="6"/>
  <c r="U271" i="6"/>
  <c r="T944" i="6"/>
  <c r="U944" i="6"/>
  <c r="T752" i="6"/>
  <c r="U752" i="6"/>
  <c r="AC839" i="6"/>
  <c r="T839" i="6"/>
  <c r="U839" i="6"/>
  <c r="T779" i="6"/>
  <c r="U779" i="6"/>
  <c r="T312" i="6"/>
  <c r="U312" i="6"/>
  <c r="T19" i="6"/>
  <c r="U19" i="6"/>
  <c r="T398" i="6"/>
  <c r="U398" i="6"/>
  <c r="T972" i="6"/>
  <c r="U972" i="6"/>
  <c r="AC403" i="6"/>
  <c r="T403" i="6"/>
  <c r="U403" i="6"/>
  <c r="T14" i="6"/>
  <c r="U14" i="6"/>
  <c r="T267" i="6"/>
  <c r="U267" i="6"/>
  <c r="AC896" i="6"/>
  <c r="T425" i="6"/>
  <c r="U425" i="6"/>
  <c r="T431" i="6"/>
  <c r="U431" i="6"/>
  <c r="T511" i="6"/>
  <c r="U511" i="6"/>
  <c r="T107" i="6"/>
  <c r="U107" i="6"/>
  <c r="T369" i="6"/>
  <c r="U369" i="6"/>
  <c r="T777" i="6"/>
  <c r="U777" i="6"/>
  <c r="T668" i="6"/>
  <c r="U668" i="6"/>
  <c r="T667" i="6"/>
  <c r="U667" i="6"/>
  <c r="AC45" i="6"/>
  <c r="T45" i="6"/>
  <c r="U45" i="6"/>
  <c r="T464" i="6"/>
  <c r="U464" i="6"/>
  <c r="AC215" i="6"/>
  <c r="T215" i="6"/>
  <c r="U215" i="6"/>
  <c r="T59" i="6"/>
  <c r="U59" i="6"/>
  <c r="T105" i="6"/>
  <c r="U105" i="6"/>
  <c r="T338" i="6"/>
  <c r="U338" i="6"/>
  <c r="T784" i="6"/>
  <c r="U784" i="6"/>
  <c r="T400" i="6"/>
  <c r="U400" i="6"/>
  <c r="T946" i="6"/>
  <c r="U946" i="6"/>
  <c r="T392" i="6"/>
  <c r="U392" i="6"/>
  <c r="T255" i="6"/>
  <c r="U255" i="6"/>
  <c r="T301" i="6"/>
  <c r="U301" i="6"/>
  <c r="T305" i="6"/>
  <c r="U305" i="6"/>
  <c r="T22" i="6"/>
  <c r="U22" i="6"/>
  <c r="T568" i="6"/>
  <c r="U568" i="6"/>
  <c r="T387" i="6"/>
  <c r="U387" i="6"/>
  <c r="T155" i="6"/>
  <c r="U155" i="6"/>
  <c r="T539" i="6"/>
  <c r="U539" i="6"/>
  <c r="T112" i="6"/>
  <c r="U112" i="6"/>
  <c r="T937" i="6"/>
  <c r="U937" i="6"/>
  <c r="T377" i="6"/>
  <c r="U377" i="6"/>
  <c r="T36" i="6"/>
  <c r="U36" i="6"/>
  <c r="T221" i="6"/>
  <c r="U221" i="6"/>
  <c r="T442" i="6"/>
  <c r="U442" i="6"/>
  <c r="T319" i="6"/>
  <c r="U319" i="6"/>
  <c r="T951" i="6"/>
  <c r="U951" i="6"/>
  <c r="T925" i="6"/>
  <c r="U925" i="6"/>
  <c r="T630" i="6"/>
  <c r="U630" i="6"/>
  <c r="AB645" i="6"/>
  <c r="AC645" i="6" s="1"/>
  <c r="T645" i="6"/>
  <c r="U645" i="6"/>
  <c r="T578" i="6"/>
  <c r="U578" i="6"/>
  <c r="AC137" i="6"/>
  <c r="T137" i="6"/>
  <c r="U137" i="6"/>
  <c r="AC324" i="6"/>
  <c r="T324" i="6"/>
  <c r="U324" i="6"/>
  <c r="AC542" i="6"/>
  <c r="T542" i="6"/>
  <c r="U542" i="6"/>
  <c r="T358" i="6"/>
  <c r="U358" i="6"/>
  <c r="T871" i="6"/>
  <c r="U871" i="6"/>
  <c r="T677" i="6"/>
  <c r="U677" i="6"/>
  <c r="T169" i="6"/>
  <c r="U169" i="6"/>
  <c r="T614" i="6"/>
  <c r="U614" i="6"/>
  <c r="T884" i="6"/>
  <c r="U884" i="6"/>
  <c r="T872" i="6"/>
  <c r="U872" i="6"/>
  <c r="T233" i="6"/>
  <c r="U233" i="6"/>
  <c r="T899" i="6"/>
  <c r="U899" i="6"/>
  <c r="T532" i="6"/>
  <c r="U532" i="6"/>
  <c r="T332" i="6"/>
  <c r="U332" i="6"/>
  <c r="AC340" i="6"/>
  <c r="T340" i="6"/>
  <c r="U340" i="6"/>
  <c r="T535" i="6"/>
  <c r="U535" i="6"/>
  <c r="T427" i="6"/>
  <c r="U427" i="6"/>
  <c r="T888" i="6"/>
  <c r="U888" i="6"/>
  <c r="T885" i="6"/>
  <c r="U885" i="6"/>
  <c r="T669" i="6"/>
  <c r="U669" i="6"/>
  <c r="T674" i="6"/>
  <c r="U674" i="6"/>
  <c r="T711" i="6"/>
  <c r="U711" i="6"/>
  <c r="T429" i="6"/>
  <c r="U429" i="6"/>
  <c r="T48" i="6"/>
  <c r="U48" i="6"/>
  <c r="T182" i="6"/>
  <c r="U182" i="6"/>
  <c r="T652" i="6"/>
  <c r="U652" i="6"/>
  <c r="T982" i="6"/>
  <c r="U982" i="6"/>
  <c r="T975" i="6"/>
  <c r="U975" i="6"/>
  <c r="T904" i="6"/>
  <c r="U904" i="6"/>
  <c r="T499" i="6"/>
  <c r="U499" i="6"/>
  <c r="AC577" i="6"/>
  <c r="T577" i="6"/>
  <c r="U577" i="6"/>
  <c r="T327" i="6"/>
  <c r="U327" i="6"/>
  <c r="T915" i="6"/>
  <c r="U915" i="6"/>
  <c r="T985" i="6"/>
  <c r="U985" i="6"/>
  <c r="T979" i="6"/>
  <c r="U979" i="6"/>
  <c r="T941" i="6"/>
  <c r="U941" i="6"/>
  <c r="T775" i="6"/>
  <c r="U775" i="6"/>
  <c r="T861" i="6"/>
  <c r="U861" i="6"/>
  <c r="T83" i="6"/>
  <c r="U83" i="6"/>
  <c r="T660" i="6"/>
  <c r="U660" i="6"/>
  <c r="T139" i="6"/>
  <c r="U139" i="6"/>
  <c r="T43" i="6"/>
  <c r="U43" i="6"/>
  <c r="AC280" i="6"/>
  <c r="T280" i="6"/>
  <c r="U280" i="6"/>
  <c r="T210" i="6"/>
  <c r="U210" i="6"/>
  <c r="T697" i="6"/>
  <c r="U697" i="6"/>
  <c r="T179" i="6"/>
  <c r="U179" i="6"/>
  <c r="T807" i="6"/>
  <c r="U807" i="6"/>
  <c r="T850" i="6"/>
  <c r="U850" i="6"/>
  <c r="T683" i="6"/>
  <c r="U683" i="6"/>
  <c r="T437" i="6"/>
  <c r="U437" i="6"/>
  <c r="T263" i="6"/>
  <c r="U263" i="6"/>
  <c r="AC161" i="6"/>
  <c r="T161" i="6"/>
  <c r="U161" i="6"/>
  <c r="T30" i="6"/>
  <c r="U30" i="6"/>
  <c r="T986" i="6"/>
  <c r="U986" i="6"/>
  <c r="T835" i="6"/>
  <c r="U835" i="6"/>
  <c r="T662" i="6"/>
  <c r="U662" i="6"/>
  <c r="T555" i="6"/>
  <c r="U555" i="6"/>
  <c r="T259" i="6"/>
  <c r="U259" i="6"/>
  <c r="T424" i="6"/>
  <c r="U424" i="6"/>
  <c r="T688" i="6"/>
  <c r="U688" i="6"/>
  <c r="T836" i="6"/>
  <c r="U836" i="6"/>
  <c r="T743" i="6"/>
  <c r="U743" i="6"/>
  <c r="AC610" i="6"/>
  <c r="T610" i="6"/>
  <c r="U610" i="6"/>
  <c r="T528" i="6"/>
  <c r="U528" i="6"/>
  <c r="T587" i="6"/>
  <c r="U587" i="6"/>
  <c r="T41" i="6"/>
  <c r="U41" i="6"/>
  <c r="T942" i="6"/>
  <c r="U942" i="6"/>
  <c r="T848" i="6"/>
  <c r="U848" i="6"/>
  <c r="T773" i="6"/>
  <c r="U773" i="6"/>
  <c r="T735" i="6"/>
  <c r="U735" i="6"/>
  <c r="T308" i="6"/>
  <c r="U308" i="6"/>
  <c r="AC490" i="6"/>
  <c r="T490" i="6"/>
  <c r="U490" i="6"/>
  <c r="T164" i="6"/>
  <c r="U164" i="6"/>
  <c r="T247" i="6"/>
  <c r="U247" i="6"/>
  <c r="T302" i="6"/>
  <c r="U302" i="6"/>
  <c r="T168" i="6"/>
  <c r="U168" i="6"/>
  <c r="AB664" i="6"/>
  <c r="AC664" i="6" s="1"/>
  <c r="T664" i="6"/>
  <c r="U664" i="6"/>
  <c r="T432" i="6"/>
  <c r="U432" i="6"/>
  <c r="T631" i="6"/>
  <c r="U631" i="6"/>
  <c r="AB382" i="6"/>
  <c r="AC382" i="6" s="1"/>
  <c r="T655" i="6"/>
  <c r="U655" i="6"/>
  <c r="T663" i="6"/>
  <c r="U663" i="6"/>
  <c r="T531" i="6"/>
  <c r="U531" i="6"/>
  <c r="AC162" i="6"/>
  <c r="T162" i="6"/>
  <c r="U162" i="6"/>
  <c r="T927" i="6"/>
  <c r="U927" i="6"/>
  <c r="T595" i="6"/>
  <c r="U595" i="6"/>
  <c r="T549" i="6"/>
  <c r="U549" i="6"/>
  <c r="T317" i="6"/>
  <c r="U317" i="6"/>
  <c r="T207" i="6"/>
  <c r="U207" i="6"/>
  <c r="T876" i="6"/>
  <c r="U876" i="6"/>
  <c r="T294" i="6"/>
  <c r="U294" i="6"/>
  <c r="T349" i="6"/>
  <c r="U349" i="6"/>
  <c r="T909" i="6"/>
  <c r="U909" i="6"/>
  <c r="T924" i="6"/>
  <c r="U924" i="6"/>
  <c r="T827" i="6"/>
  <c r="U827" i="6"/>
  <c r="T781" i="6"/>
  <c r="U781" i="6"/>
  <c r="AC759" i="6"/>
  <c r="T759" i="6"/>
  <c r="U759" i="6"/>
  <c r="AC791" i="6"/>
  <c r="T791" i="6"/>
  <c r="U791" i="6"/>
  <c r="T721" i="6"/>
  <c r="U721" i="6"/>
  <c r="AC575" i="6"/>
  <c r="T575" i="6"/>
  <c r="U575" i="6"/>
  <c r="T231" i="6"/>
  <c r="U231" i="6"/>
  <c r="T379" i="6"/>
  <c r="U379" i="6"/>
  <c r="T216" i="6"/>
  <c r="U216" i="6"/>
  <c r="T412" i="6"/>
  <c r="U412" i="6"/>
  <c r="T39" i="6"/>
  <c r="U39" i="6"/>
  <c r="T146" i="6"/>
  <c r="U146" i="6"/>
  <c r="AB563" i="6"/>
  <c r="AC563" i="6"/>
  <c r="T235" i="6"/>
  <c r="U235" i="6"/>
  <c r="T251" i="6"/>
  <c r="U251" i="6"/>
  <c r="T917" i="6"/>
  <c r="U917" i="6"/>
  <c r="AB622" i="6"/>
  <c r="AC622" i="6" s="1"/>
  <c r="T622" i="6"/>
  <c r="U622" i="6"/>
  <c r="T764" i="6"/>
  <c r="U764" i="6"/>
  <c r="T529" i="6"/>
  <c r="U529" i="6"/>
  <c r="T296" i="6"/>
  <c r="U296" i="6"/>
  <c r="T143" i="6"/>
  <c r="U143" i="6"/>
  <c r="T592" i="6"/>
  <c r="U592" i="6"/>
  <c r="AB852" i="6"/>
  <c r="AC852" i="6" s="1"/>
  <c r="AB158" i="6"/>
  <c r="AC158" i="6"/>
  <c r="T158" i="6"/>
  <c r="U158" i="6"/>
  <c r="AB187" i="6"/>
  <c r="AC187" i="6" s="1"/>
  <c r="T187" i="6"/>
  <c r="U187" i="6"/>
  <c r="AC489" i="6"/>
  <c r="T489" i="6"/>
  <c r="U489" i="6"/>
  <c r="T117" i="6"/>
  <c r="U117" i="6"/>
  <c r="T404" i="6"/>
  <c r="U404" i="6"/>
  <c r="AB894" i="6"/>
  <c r="T997" i="6"/>
  <c r="U997" i="6"/>
  <c r="T886" i="6"/>
  <c r="U886" i="6"/>
  <c r="T819" i="6"/>
  <c r="U819" i="6"/>
  <c r="T444" i="6"/>
  <c r="U444" i="6"/>
  <c r="T695" i="6"/>
  <c r="U695" i="6"/>
  <c r="AC615" i="6"/>
  <c r="T615" i="6"/>
  <c r="U615" i="6"/>
  <c r="T441" i="6"/>
  <c r="U441" i="6"/>
  <c r="AC399" i="6"/>
  <c r="T399" i="6"/>
  <c r="U399" i="6"/>
  <c r="AB201" i="6"/>
  <c r="AC201" i="6" s="1"/>
  <c r="AB238" i="6"/>
  <c r="AC238" i="6" s="1"/>
  <c r="T753" i="6"/>
  <c r="U753" i="6"/>
  <c r="T515" i="6"/>
  <c r="U515" i="6"/>
  <c r="T291" i="6"/>
  <c r="U291" i="6"/>
  <c r="T204" i="6"/>
  <c r="U204" i="6"/>
  <c r="T276" i="6"/>
  <c r="U276" i="6"/>
  <c r="T237" i="6"/>
  <c r="U237" i="6"/>
  <c r="T37" i="6"/>
  <c r="U37" i="6"/>
  <c r="T381" i="6"/>
  <c r="U381" i="6"/>
  <c r="AB104" i="6"/>
  <c r="AC104" i="6" s="1"/>
  <c r="T104" i="6"/>
  <c r="U104" i="6"/>
  <c r="AB798" i="6"/>
  <c r="AC798" i="6" s="1"/>
  <c r="T367" i="6"/>
  <c r="U367" i="6"/>
  <c r="T749" i="6"/>
  <c r="U749" i="6"/>
  <c r="AB131" i="6"/>
  <c r="AC131" i="6" s="1"/>
  <c r="T131" i="6"/>
  <c r="U131" i="6"/>
  <c r="AB468" i="6"/>
  <c r="AC468" i="6" s="1"/>
  <c r="T468" i="6"/>
  <c r="U468" i="6"/>
  <c r="T856" i="6"/>
  <c r="U856" i="6"/>
  <c r="T257" i="6"/>
  <c r="U257" i="6"/>
  <c r="AB307" i="6"/>
  <c r="AC307" i="6" s="1"/>
  <c r="T307" i="6"/>
  <c r="U307" i="6"/>
  <c r="AB912" i="6"/>
  <c r="AC912" i="6" s="1"/>
  <c r="T891" i="6"/>
  <c r="U891" i="6"/>
  <c r="T787" i="6"/>
  <c r="U787" i="6"/>
  <c r="AB541" i="6"/>
  <c r="T643" i="6"/>
  <c r="U643" i="6"/>
  <c r="T527" i="6"/>
  <c r="U527" i="6"/>
  <c r="T265" i="6"/>
  <c r="U265" i="6"/>
  <c r="AC91" i="6"/>
  <c r="T91" i="6"/>
  <c r="U91" i="6"/>
  <c r="T163" i="6"/>
  <c r="U163" i="6"/>
  <c r="AC151" i="6"/>
  <c r="T151" i="6"/>
  <c r="U151" i="6"/>
  <c r="T171" i="6"/>
  <c r="U171" i="6"/>
  <c r="T491" i="6"/>
  <c r="U491" i="6"/>
  <c r="T506" i="6"/>
  <c r="U506" i="6"/>
  <c r="T863" i="6"/>
  <c r="U863" i="6"/>
  <c r="T654" i="6"/>
  <c r="U654" i="6"/>
  <c r="T875" i="6"/>
  <c r="U875" i="6"/>
  <c r="T918" i="6"/>
  <c r="U918" i="6"/>
  <c r="T734" i="6"/>
  <c r="U734" i="6"/>
  <c r="T792" i="6"/>
  <c r="U792" i="6"/>
  <c r="T744" i="6"/>
  <c r="U744" i="6"/>
  <c r="T877" i="6"/>
  <c r="U877" i="6"/>
  <c r="T898" i="6"/>
  <c r="U898" i="6"/>
  <c r="T675" i="6"/>
  <c r="U675" i="6"/>
  <c r="T776" i="6"/>
  <c r="U776" i="6"/>
  <c r="T796" i="6"/>
  <c r="U796" i="6"/>
  <c r="T874" i="6"/>
  <c r="U874" i="6"/>
  <c r="AC433" i="6"/>
  <c r="T433" i="6"/>
  <c r="U433" i="6"/>
  <c r="T225" i="6"/>
  <c r="U225" i="6"/>
  <c r="T236" i="6"/>
  <c r="U236" i="6"/>
  <c r="T639" i="6"/>
  <c r="U639" i="6"/>
  <c r="T92" i="6"/>
  <c r="U92" i="6"/>
  <c r="T55" i="6"/>
  <c r="U55" i="6"/>
  <c r="T470" i="6"/>
  <c r="U470" i="6"/>
  <c r="AC239" i="6"/>
  <c r="T239" i="6"/>
  <c r="U239" i="6"/>
  <c r="AC147" i="6"/>
  <c r="T147" i="6"/>
  <c r="U147" i="6"/>
  <c r="T454" i="6"/>
  <c r="U454" i="6"/>
  <c r="T980" i="6"/>
  <c r="U980" i="6"/>
  <c r="T936" i="6"/>
  <c r="U936" i="6"/>
  <c r="T867" i="6"/>
  <c r="U867" i="6"/>
  <c r="T954" i="6"/>
  <c r="U954" i="6"/>
  <c r="T853" i="6"/>
  <c r="U853" i="6"/>
  <c r="T822" i="6"/>
  <c r="U822" i="6"/>
  <c r="T689" i="6"/>
  <c r="U689" i="6"/>
  <c r="AB684" i="6"/>
  <c r="AC684" i="6" s="1"/>
  <c r="T684" i="6"/>
  <c r="U684" i="6"/>
  <c r="T973" i="6"/>
  <c r="U973" i="6"/>
  <c r="T330" i="6"/>
  <c r="U330" i="6"/>
  <c r="AC742" i="6"/>
  <c r="T742" i="6"/>
  <c r="U742" i="6"/>
  <c r="T608" i="6"/>
  <c r="U608" i="6"/>
  <c r="T523" i="6"/>
  <c r="U523" i="6"/>
  <c r="AC480" i="6"/>
  <c r="T480" i="6"/>
  <c r="U480" i="6"/>
  <c r="AB68" i="6"/>
  <c r="AC68" i="6" s="1"/>
  <c r="T68" i="6"/>
  <c r="U68" i="6"/>
  <c r="T680" i="6"/>
  <c r="U680" i="6"/>
  <c r="AC49" i="6"/>
  <c r="T49" i="6"/>
  <c r="U49" i="6"/>
  <c r="AC10" i="6"/>
  <c r="S10" i="6" s="1"/>
  <c r="T10" i="6" s="1"/>
  <c r="U10" i="6" s="1"/>
  <c r="T295" i="6"/>
  <c r="U295" i="6"/>
  <c r="T987" i="6"/>
  <c r="U987" i="6"/>
  <c r="T755" i="6"/>
  <c r="U755" i="6"/>
  <c r="T619" i="6"/>
  <c r="U619" i="6"/>
  <c r="T811" i="6"/>
  <c r="U811" i="6"/>
  <c r="T574" i="6"/>
  <c r="U574" i="6"/>
  <c r="T598" i="6"/>
  <c r="U598" i="6"/>
  <c r="T723" i="6"/>
  <c r="U723" i="6"/>
  <c r="AB567" i="6"/>
  <c r="T567" i="6"/>
  <c r="U567" i="6"/>
  <c r="T518" i="6"/>
  <c r="U518" i="6"/>
  <c r="T192" i="6"/>
  <c r="U192" i="6"/>
  <c r="T106" i="6"/>
  <c r="U106" i="6"/>
  <c r="T732" i="6"/>
  <c r="U732" i="6"/>
  <c r="T950" i="6"/>
  <c r="U950" i="6"/>
  <c r="T343" i="6"/>
  <c r="U343" i="6"/>
  <c r="AC186" i="6"/>
  <c r="T186" i="6"/>
  <c r="U186" i="6"/>
  <c r="T360" i="6"/>
  <c r="U360" i="6"/>
  <c r="AC270" i="6"/>
  <c r="T270" i="6"/>
  <c r="U270" i="6"/>
  <c r="T199" i="6"/>
  <c r="U199" i="6"/>
  <c r="T493" i="6"/>
  <c r="U493" i="6"/>
  <c r="T320" i="6"/>
  <c r="U320" i="6"/>
  <c r="AB962" i="6"/>
  <c r="T962" i="6"/>
  <c r="U962" i="6"/>
  <c r="T859" i="6"/>
  <c r="U859" i="6"/>
  <c r="AB438" i="6"/>
  <c r="AC438" i="6" s="1"/>
  <c r="T438" i="6"/>
  <c r="U438" i="6"/>
  <c r="T751" i="6"/>
  <c r="U751" i="6"/>
  <c r="T521" i="6"/>
  <c r="U521" i="6"/>
  <c r="AB414" i="6"/>
  <c r="AC414" i="6" s="1"/>
  <c r="T800" i="6"/>
  <c r="U800" i="6"/>
  <c r="T588" i="6"/>
  <c r="U588" i="6"/>
  <c r="T380" i="6"/>
  <c r="U380" i="6"/>
  <c r="T284" i="6"/>
  <c r="U284" i="6"/>
  <c r="T422" i="6"/>
  <c r="U422" i="6"/>
  <c r="T326" i="6"/>
  <c r="U326" i="6"/>
  <c r="AC325" i="6"/>
  <c r="T325" i="6"/>
  <c r="U325" i="6"/>
  <c r="T80" i="6"/>
  <c r="U80" i="6"/>
  <c r="T599" i="6"/>
  <c r="U599" i="6"/>
  <c r="AC254" i="6"/>
  <c r="T254" i="6"/>
  <c r="U254" i="6"/>
  <c r="T545" i="6"/>
  <c r="U545" i="6"/>
  <c r="T334" i="6"/>
  <c r="U334" i="6"/>
  <c r="AC152" i="6"/>
  <c r="T152" i="6"/>
  <c r="U152" i="6"/>
  <c r="T86" i="6"/>
  <c r="U86" i="6"/>
  <c r="T520" i="6"/>
  <c r="U520" i="6"/>
  <c r="T148" i="6"/>
  <c r="U148" i="6"/>
  <c r="AC293" i="6"/>
  <c r="T293" i="6"/>
  <c r="U293" i="6"/>
  <c r="T956" i="6"/>
  <c r="U956" i="6"/>
  <c r="T900" i="6"/>
  <c r="U900" i="6"/>
  <c r="T730" i="6"/>
  <c r="U730" i="6"/>
  <c r="T745" i="6"/>
  <c r="U745" i="6"/>
  <c r="T634" i="6"/>
  <c r="U634" i="6"/>
  <c r="T502" i="6"/>
  <c r="U502" i="6"/>
  <c r="T685" i="6"/>
  <c r="U685" i="6"/>
  <c r="AC659" i="6"/>
  <c r="T659" i="6"/>
  <c r="U659" i="6"/>
  <c r="T591" i="6"/>
  <c r="U591" i="6"/>
  <c r="T417" i="6"/>
  <c r="U417" i="6"/>
  <c r="T651" i="6"/>
  <c r="U651" i="6"/>
  <c r="T576" i="6"/>
  <c r="U576" i="6"/>
  <c r="T378" i="6"/>
  <c r="U378" i="6"/>
  <c r="T54" i="6"/>
  <c r="U54" i="6"/>
  <c r="AC208" i="6"/>
  <c r="T208" i="6"/>
  <c r="U208" i="6"/>
  <c r="T352" i="6"/>
  <c r="U352" i="6"/>
  <c r="AC602" i="6"/>
  <c r="T602" i="6"/>
  <c r="U602" i="6"/>
  <c r="AC472" i="6"/>
  <c r="T472" i="6"/>
  <c r="U472" i="6"/>
  <c r="T175" i="6"/>
  <c r="U175" i="6"/>
  <c r="AC177" i="6"/>
  <c r="T177" i="6"/>
  <c r="U177" i="6"/>
  <c r="T473" i="6"/>
  <c r="U473" i="6"/>
  <c r="T170" i="6"/>
  <c r="U170" i="6"/>
  <c r="T821" i="6"/>
  <c r="U821" i="6"/>
  <c r="AC681" i="6"/>
  <c r="T681" i="6"/>
  <c r="U681" i="6"/>
  <c r="T847" i="6"/>
  <c r="U847" i="6"/>
  <c r="T419" i="6"/>
  <c r="U419" i="6"/>
  <c r="T913" i="6"/>
  <c r="U913" i="6"/>
  <c r="T719" i="6"/>
  <c r="U719" i="6"/>
  <c r="T586" i="6"/>
  <c r="U586" i="6"/>
  <c r="T750" i="6"/>
  <c r="U750" i="6"/>
  <c r="T513" i="6"/>
  <c r="U513" i="6"/>
  <c r="AB416" i="6"/>
  <c r="T647" i="6"/>
  <c r="U647" i="6"/>
  <c r="T376" i="6"/>
  <c r="U376" i="6"/>
  <c r="T640" i="6"/>
  <c r="U640" i="6"/>
  <c r="T323" i="6"/>
  <c r="U323" i="6"/>
  <c r="T20" i="6"/>
  <c r="U20" i="6"/>
  <c r="T167" i="6"/>
  <c r="U167" i="6"/>
  <c r="T282" i="6"/>
  <c r="U282" i="6"/>
  <c r="T172" i="6"/>
  <c r="U172" i="6"/>
  <c r="AC405" i="6"/>
  <c r="T405" i="6"/>
  <c r="U405" i="6"/>
  <c r="AC475" i="6"/>
  <c r="T475" i="6"/>
  <c r="U475" i="6"/>
  <c r="T769" i="6"/>
  <c r="U769" i="6"/>
  <c r="T232" i="6"/>
  <c r="U232" i="6"/>
  <c r="T134" i="6"/>
  <c r="U134" i="6"/>
  <c r="T933" i="6"/>
  <c r="U933" i="6"/>
  <c r="T935" i="6"/>
  <c r="U935" i="6"/>
  <c r="T958" i="6"/>
  <c r="U958" i="6"/>
  <c r="T858" i="6"/>
  <c r="U858" i="6"/>
  <c r="T672" i="6"/>
  <c r="U672" i="6"/>
  <c r="AC809" i="6"/>
  <c r="T809" i="6"/>
  <c r="U809" i="6"/>
  <c r="T717" i="6"/>
  <c r="U717" i="6"/>
  <c r="T959" i="6"/>
  <c r="U959" i="6"/>
  <c r="T728" i="6"/>
  <c r="U728" i="6"/>
  <c r="T479" i="6"/>
  <c r="U479" i="6"/>
  <c r="T525" i="6"/>
  <c r="U525" i="6"/>
  <c r="T771" i="6"/>
  <c r="U771" i="6"/>
  <c r="T477" i="6"/>
  <c r="U477" i="6"/>
  <c r="T373" i="6"/>
  <c r="U373" i="6"/>
  <c r="T410" i="6"/>
  <c r="U410" i="6"/>
  <c r="T808" i="6"/>
  <c r="U808" i="6"/>
  <c r="AC487" i="6"/>
  <c r="T487" i="6"/>
  <c r="U487" i="6"/>
  <c r="T341" i="6"/>
  <c r="U341" i="6"/>
  <c r="T786" i="6"/>
  <c r="U786" i="6"/>
  <c r="T540" i="6"/>
  <c r="U540" i="6"/>
  <c r="T716" i="6"/>
  <c r="U716" i="6"/>
  <c r="AB183" i="6"/>
  <c r="T183" i="6"/>
  <c r="U183" i="6"/>
  <c r="T565" i="6"/>
  <c r="U565" i="6"/>
  <c r="T395" i="6"/>
  <c r="U395" i="6"/>
  <c r="T582" i="6"/>
  <c r="U582" i="6"/>
  <c r="AC537" i="6"/>
  <c r="T537" i="6"/>
  <c r="U537" i="6"/>
  <c r="T108" i="6"/>
  <c r="U108" i="6"/>
  <c r="T79" i="6"/>
  <c r="U79" i="6"/>
  <c r="T629" i="6"/>
  <c r="U629" i="6"/>
  <c r="T262" i="6"/>
  <c r="U262" i="6"/>
  <c r="T74" i="6"/>
  <c r="U74" i="6"/>
  <c r="AC768" i="6"/>
  <c r="T768" i="6"/>
  <c r="U768" i="6"/>
  <c r="AC428" i="6"/>
  <c r="T428" i="6"/>
  <c r="U428" i="6"/>
  <c r="AC44" i="6"/>
  <c r="T44" i="6"/>
  <c r="U44" i="6"/>
  <c r="AB974" i="6"/>
  <c r="T996" i="6"/>
  <c r="U996" i="6"/>
  <c r="T893" i="6"/>
  <c r="U893" i="6"/>
  <c r="AB829" i="6"/>
  <c r="AC829" i="6" s="1"/>
  <c r="T829" i="6"/>
  <c r="U829" i="6"/>
  <c r="T978" i="6"/>
  <c r="U978" i="6"/>
  <c r="T931" i="6"/>
  <c r="U931" i="6"/>
  <c r="T778" i="6"/>
  <c r="U778" i="6"/>
  <c r="T765" i="6"/>
  <c r="U765" i="6"/>
  <c r="AB813" i="6"/>
  <c r="AC813" i="6" s="1"/>
  <c r="T813" i="6"/>
  <c r="U813" i="6"/>
  <c r="AB607" i="6"/>
  <c r="AC607" i="6" s="1"/>
  <c r="T908" i="6"/>
  <c r="U908" i="6"/>
  <c r="T824" i="6"/>
  <c r="U824" i="6"/>
  <c r="AB693" i="6"/>
  <c r="AC693" i="6" s="1"/>
  <c r="T618" i="6"/>
  <c r="U618" i="6"/>
  <c r="AB482" i="6"/>
  <c r="T482" i="6"/>
  <c r="U482" i="6"/>
  <c r="T895" i="6"/>
  <c r="U895" i="6"/>
  <c r="T641" i="6"/>
  <c r="U641" i="6"/>
  <c r="AB754" i="6"/>
  <c r="T589" i="6"/>
  <c r="U589" i="6"/>
  <c r="T560" i="6"/>
  <c r="U560" i="6"/>
  <c r="AC449" i="6"/>
  <c r="T449" i="6"/>
  <c r="U449" i="6"/>
  <c r="T612" i="6"/>
  <c r="U612" i="6"/>
  <c r="T517" i="6"/>
  <c r="U517" i="6"/>
  <c r="T554" i="6"/>
  <c r="U554" i="6"/>
  <c r="T478" i="6"/>
  <c r="U478" i="6"/>
  <c r="AB205" i="6"/>
  <c r="AC205" i="6" s="1"/>
  <c r="T127" i="6"/>
  <c r="U127" i="6"/>
  <c r="T844" i="6"/>
  <c r="U844" i="6"/>
  <c r="T686" i="6"/>
  <c r="U686" i="6"/>
  <c r="T451" i="6"/>
  <c r="U451" i="6"/>
  <c r="AB266" i="6"/>
  <c r="AC266" i="6" s="1"/>
  <c r="T266" i="6"/>
  <c r="U266" i="6"/>
  <c r="AB218" i="6"/>
  <c r="AC218" i="6" s="1"/>
  <c r="T218" i="6"/>
  <c r="U218" i="6"/>
  <c r="T310" i="6"/>
  <c r="U310" i="6"/>
  <c r="T676" i="6"/>
  <c r="U676" i="6"/>
  <c r="AB439" i="6"/>
  <c r="AC439" i="6" s="1"/>
  <c r="T439" i="6"/>
  <c r="U439" i="6"/>
  <c r="AC682" i="6"/>
  <c r="T682" i="6"/>
  <c r="U682" i="6"/>
  <c r="AB372" i="6"/>
  <c r="AC372" i="6" s="1"/>
  <c r="T372" i="6"/>
  <c r="U372" i="6"/>
  <c r="T322" i="6"/>
  <c r="U322" i="6"/>
  <c r="T709" i="6"/>
  <c r="U709" i="6"/>
  <c r="T385" i="6"/>
  <c r="U385" i="6"/>
  <c r="AB51" i="6"/>
  <c r="T51" i="6"/>
  <c r="U51" i="6"/>
  <c r="T594" i="6"/>
  <c r="U594" i="6"/>
  <c r="T222" i="6"/>
  <c r="U222" i="6"/>
  <c r="AC195" i="6"/>
  <c r="T195" i="6"/>
  <c r="U195" i="6"/>
  <c r="T125" i="6"/>
  <c r="U125" i="6"/>
  <c r="AB299" i="6"/>
  <c r="T299" i="6"/>
  <c r="U299" i="6"/>
  <c r="T650" i="6"/>
  <c r="U650" i="6"/>
  <c r="T281" i="6"/>
  <c r="U281" i="6"/>
  <c r="AB178" i="6"/>
  <c r="AB64" i="6"/>
  <c r="T64" i="6"/>
  <c r="U64" i="6"/>
  <c r="T197" i="6"/>
  <c r="U197" i="6"/>
  <c r="AB154" i="6"/>
  <c r="T154" i="6"/>
  <c r="U154" i="6"/>
  <c r="T200" i="6"/>
  <c r="U200" i="6"/>
  <c r="T174" i="6"/>
  <c r="U174" i="6"/>
  <c r="T185" i="6"/>
  <c r="U185" i="6"/>
  <c r="T47" i="6"/>
  <c r="U47" i="6"/>
  <c r="T300" i="6"/>
  <c r="U300" i="6"/>
  <c r="T63" i="6"/>
  <c r="U63" i="6"/>
  <c r="T562" i="6"/>
  <c r="U562" i="6"/>
  <c r="T196" i="6"/>
  <c r="U196" i="6"/>
  <c r="T497" i="6"/>
  <c r="U497" i="6"/>
  <c r="T533" i="6"/>
  <c r="U533" i="6"/>
  <c r="T498" i="6"/>
  <c r="U498" i="6"/>
  <c r="T344" i="6"/>
  <c r="U344" i="6"/>
  <c r="T114" i="6"/>
  <c r="U114" i="6"/>
  <c r="T128" i="6"/>
  <c r="U128" i="6"/>
  <c r="T611" i="6"/>
  <c r="U611" i="6"/>
  <c r="T411" i="6"/>
  <c r="U411" i="6"/>
  <c r="T572" i="6"/>
  <c r="U572" i="6"/>
  <c r="T388" i="6"/>
  <c r="U388" i="6"/>
  <c r="AB315" i="6"/>
  <c r="AC315" i="6"/>
  <c r="AB371" i="6"/>
  <c r="AC371" i="6" s="1"/>
  <c r="T371" i="6"/>
  <c r="U371" i="6"/>
  <c r="AC485" i="6"/>
  <c r="T485" i="6"/>
  <c r="U485" i="6"/>
  <c r="AB440" i="6"/>
  <c r="AB243" i="6"/>
  <c r="AC243" i="6" s="1"/>
  <c r="AB544" i="6"/>
  <c r="AB226" i="6"/>
  <c r="AC226" i="6" s="1"/>
  <c r="T226" i="6"/>
  <c r="U226" i="6"/>
  <c r="T692" i="6"/>
  <c r="U692" i="6"/>
  <c r="AC481" i="6"/>
  <c r="T407" i="6"/>
  <c r="U407" i="6"/>
  <c r="T269" i="6"/>
  <c r="U269" i="6"/>
  <c r="AC150" i="6"/>
  <c r="T150" i="6"/>
  <c r="U150" i="6"/>
  <c r="T33" i="6"/>
  <c r="U33" i="6"/>
  <c r="T230" i="6"/>
  <c r="U230" i="6"/>
  <c r="T579" i="6"/>
  <c r="U579" i="6"/>
  <c r="AB219" i="6"/>
  <c r="T988" i="6"/>
  <c r="U988" i="6"/>
  <c r="T983" i="6"/>
  <c r="U983" i="6"/>
  <c r="T865" i="6"/>
  <c r="U865" i="6"/>
  <c r="AB812" i="6"/>
  <c r="AC812" i="6" s="1"/>
  <c r="T812" i="6"/>
  <c r="U812" i="6"/>
  <c r="T724" i="6"/>
  <c r="U724" i="6"/>
  <c r="T897" i="6"/>
  <c r="U897" i="6"/>
  <c r="T879" i="6"/>
  <c r="U879" i="6"/>
  <c r="T782" i="6"/>
  <c r="U782" i="6"/>
  <c r="AC530" i="6"/>
  <c r="AB772" i="6"/>
  <c r="T772" i="6"/>
  <c r="U772" i="6"/>
  <c r="T590" i="6"/>
  <c r="U590" i="6"/>
  <c r="AB483" i="6"/>
  <c r="AC483" i="6" s="1"/>
  <c r="T483" i="6"/>
  <c r="U483" i="6"/>
  <c r="T657" i="6"/>
  <c r="U657" i="6"/>
  <c r="AB605" i="6"/>
  <c r="AC605" i="6" s="1"/>
  <c r="T605" i="6"/>
  <c r="U605" i="6"/>
  <c r="AB397" i="6"/>
  <c r="AC397" i="6" s="1"/>
  <c r="AB488" i="6"/>
  <c r="AC488" i="6"/>
  <c r="T623" i="6"/>
  <c r="U623" i="6"/>
  <c r="AC337" i="6"/>
  <c r="T337" i="6"/>
  <c r="U337" i="6"/>
  <c r="T702" i="6"/>
  <c r="U702" i="6"/>
  <c r="T223" i="6"/>
  <c r="U223" i="6"/>
  <c r="T580" i="6"/>
  <c r="U580" i="6"/>
  <c r="AB474" i="6"/>
  <c r="AC474" i="6"/>
  <c r="T474" i="6"/>
  <c r="U474" i="6"/>
  <c r="T339" i="6"/>
  <c r="U339" i="6"/>
  <c r="AB256" i="6"/>
  <c r="AC256" i="6" s="1"/>
  <c r="T256" i="6"/>
  <c r="U256" i="6"/>
  <c r="T84" i="6"/>
  <c r="U84" i="6"/>
  <c r="T98" i="6"/>
  <c r="U98" i="6"/>
  <c r="T469" i="6"/>
  <c r="U469" i="6"/>
  <c r="T220" i="6"/>
  <c r="U220" i="6"/>
  <c r="T153" i="6"/>
  <c r="U153" i="6"/>
  <c r="AB115" i="6"/>
  <c r="T616" i="6"/>
  <c r="U616" i="6"/>
  <c r="T617" i="6"/>
  <c r="U617" i="6"/>
  <c r="T119" i="6"/>
  <c r="U119" i="6"/>
  <c r="T213" i="6"/>
  <c r="U213" i="6"/>
  <c r="T58" i="6"/>
  <c r="U58" i="6"/>
  <c r="T556" i="6"/>
  <c r="U556" i="6"/>
  <c r="T61" i="6"/>
  <c r="U61" i="6"/>
  <c r="T678" i="6"/>
  <c r="U678" i="6"/>
  <c r="T394" i="6"/>
  <c r="U394" i="6"/>
  <c r="T760" i="6"/>
  <c r="U760" i="6"/>
  <c r="T100" i="6"/>
  <c r="U100" i="6"/>
  <c r="T561" i="6"/>
  <c r="U561" i="6"/>
  <c r="T190" i="6"/>
  <c r="U190" i="6"/>
  <c r="T198" i="6"/>
  <c r="U198" i="6"/>
  <c r="T28" i="6"/>
  <c r="U28" i="6"/>
  <c r="T75" i="6"/>
  <c r="U75" i="6"/>
  <c r="T126" i="6"/>
  <c r="U126" i="6"/>
  <c r="T446" i="6"/>
  <c r="U446" i="6"/>
  <c r="AB981" i="6"/>
  <c r="AC981" i="6" s="1"/>
  <c r="T981" i="6"/>
  <c r="U981" i="6"/>
  <c r="T964" i="6"/>
  <c r="U964" i="6"/>
  <c r="T943" i="6"/>
  <c r="U943" i="6"/>
  <c r="AB767" i="6"/>
  <c r="T767" i="6"/>
  <c r="U767" i="6"/>
  <c r="AB715" i="6"/>
  <c r="AB714" i="6"/>
  <c r="AC714" i="6" s="1"/>
  <c r="T604" i="6"/>
  <c r="U604" i="6"/>
  <c r="T780" i="6"/>
  <c r="U780" i="6"/>
  <c r="T729" i="6"/>
  <c r="U729" i="6"/>
  <c r="AC626" i="6"/>
  <c r="T785" i="6"/>
  <c r="U785" i="6"/>
  <c r="AC708" i="6"/>
  <c r="T708" i="6"/>
  <c r="U708" i="6"/>
  <c r="AB648" i="6"/>
  <c r="AC648" i="6" s="1"/>
  <c r="AB712" i="6"/>
  <c r="AC712" i="6" s="1"/>
  <c r="T644" i="6"/>
  <c r="U644" i="6"/>
  <c r="T396" i="6"/>
  <c r="U396" i="6"/>
  <c r="T704" i="6"/>
  <c r="U704" i="6"/>
  <c r="T637" i="6"/>
  <c r="U637" i="6"/>
  <c r="T362" i="6"/>
  <c r="U362" i="6"/>
  <c r="T797" i="6"/>
  <c r="U797" i="6"/>
  <c r="T329" i="6"/>
  <c r="U329" i="6"/>
  <c r="T418" i="6"/>
  <c r="U418" i="6"/>
  <c r="AB129" i="6"/>
  <c r="AC129" i="6"/>
  <c r="T484" i="6"/>
  <c r="U484" i="6"/>
  <c r="AB103" i="6"/>
  <c r="AC103" i="6" s="1"/>
  <c r="T249" i="6"/>
  <c r="U249" i="6"/>
  <c r="AB81" i="6"/>
  <c r="AC81" i="6"/>
  <c r="T81" i="6"/>
  <c r="U81" i="6"/>
  <c r="T448" i="6"/>
  <c r="U448" i="6"/>
  <c r="T217" i="6"/>
  <c r="U217" i="6"/>
  <c r="AC203" i="6"/>
  <c r="AB138" i="6"/>
  <c r="AC138" i="6" s="1"/>
  <c r="AB331" i="6"/>
  <c r="AB96" i="6"/>
  <c r="T67" i="6"/>
  <c r="U67" i="6"/>
  <c r="T73" i="6"/>
  <c r="U73" i="6"/>
  <c r="AC120" i="6"/>
  <c r="T120" i="6"/>
  <c r="U120" i="6"/>
  <c r="T99" i="6"/>
  <c r="U99" i="6"/>
  <c r="T253" i="6"/>
  <c r="U253" i="6"/>
  <c r="T298" i="6"/>
  <c r="U298" i="6"/>
  <c r="AB994" i="6"/>
  <c r="AC994" i="6" s="1"/>
  <c r="T994" i="6"/>
  <c r="U994" i="6"/>
  <c r="T970" i="6"/>
  <c r="U970" i="6"/>
  <c r="AB731" i="6"/>
  <c r="AC731" i="6" s="1"/>
  <c r="T761" i="6"/>
  <c r="U761" i="6"/>
  <c r="T838" i="6"/>
  <c r="U838" i="6"/>
  <c r="T461" i="6"/>
  <c r="U461" i="6"/>
  <c r="T793" i="6"/>
  <c r="U793" i="6"/>
  <c r="T726" i="6"/>
  <c r="U726" i="6"/>
  <c r="AC609" i="6"/>
  <c r="AC814" i="6"/>
  <c r="T814" i="6"/>
  <c r="U814" i="6"/>
  <c r="T938" i="6"/>
  <c r="U938" i="6"/>
  <c r="T546" i="6"/>
  <c r="U546" i="6"/>
  <c r="T486" i="6"/>
  <c r="U486" i="6"/>
  <c r="T370" i="6"/>
  <c r="U370" i="6"/>
  <c r="T670" i="6"/>
  <c r="U670" i="6"/>
  <c r="T573" i="6"/>
  <c r="U573" i="6"/>
  <c r="AB434" i="6"/>
  <c r="AC434" i="6"/>
  <c r="T550" i="6"/>
  <c r="U550" i="6"/>
  <c r="AB353" i="6"/>
  <c r="AB159" i="6"/>
  <c r="AC159" i="6" s="1"/>
  <c r="T710" i="6"/>
  <c r="U710" i="6"/>
  <c r="AB211" i="6"/>
  <c r="AC211" i="6"/>
  <c r="T211" i="6"/>
  <c r="U211" i="6"/>
  <c r="T368" i="6"/>
  <c r="U368" i="6"/>
  <c r="T303" i="6"/>
  <c r="U303" i="6"/>
  <c r="AC679" i="6"/>
  <c r="T679" i="6"/>
  <c r="U679" i="6"/>
  <c r="T593" i="6"/>
  <c r="U593" i="6"/>
  <c r="T363" i="6"/>
  <c r="U363" i="6"/>
  <c r="T306" i="6"/>
  <c r="U306" i="6"/>
  <c r="AB246" i="6"/>
  <c r="AC246" i="6" s="1"/>
  <c r="T246" i="6"/>
  <c r="U246" i="6"/>
  <c r="T228" i="6"/>
  <c r="U228" i="6"/>
  <c r="AB116" i="6"/>
  <c r="T116" i="6"/>
  <c r="U116" i="6"/>
  <c r="AB212" i="6"/>
  <c r="AB173" i="6"/>
  <c r="AC173" i="6" s="1"/>
  <c r="AC34" i="6"/>
  <c r="T34" i="6"/>
  <c r="U34" i="6"/>
  <c r="AC456" i="6"/>
  <c r="T456" i="6"/>
  <c r="U456" i="6"/>
  <c r="T78" i="6"/>
  <c r="U78" i="6"/>
  <c r="AB57" i="6"/>
  <c r="AC57" i="6"/>
  <c r="T57" i="6"/>
  <c r="U57" i="6"/>
  <c r="T145" i="6"/>
  <c r="U145" i="6"/>
  <c r="T87" i="6"/>
  <c r="U87" i="6"/>
  <c r="T62" i="6"/>
  <c r="U62" i="6"/>
  <c r="T278" i="6"/>
  <c r="U278" i="6"/>
  <c r="AC241" i="6"/>
  <c r="T241" i="6"/>
  <c r="U241" i="6"/>
  <c r="T620" i="6"/>
  <c r="U620" i="6"/>
  <c r="T584" i="6"/>
  <c r="U584" i="6"/>
  <c r="T24" i="6"/>
  <c r="U24" i="6"/>
  <c r="T328" i="6"/>
  <c r="U328" i="6"/>
  <c r="T32" i="6"/>
  <c r="U32" i="6"/>
  <c r="T286" i="6"/>
  <c r="U286" i="6"/>
  <c r="T124" i="6"/>
  <c r="U124" i="6"/>
  <c r="T350" i="6"/>
  <c r="U350" i="6"/>
  <c r="AB961" i="6"/>
  <c r="T953" i="6"/>
  <c r="U953" i="6"/>
  <c r="T960" i="6"/>
  <c r="U960" i="6"/>
  <c r="AB866" i="6"/>
  <c r="T866" i="6"/>
  <c r="U866" i="6"/>
  <c r="AC998" i="6"/>
  <c r="T998" i="6"/>
  <c r="U998" i="6"/>
  <c r="AB923" i="6"/>
  <c r="AC923" i="6" s="1"/>
  <c r="T923" i="6"/>
  <c r="U923" i="6"/>
  <c r="AB756" i="6"/>
  <c r="AB834" i="6"/>
  <c r="AC834" i="6" s="1"/>
  <c r="T828" i="6"/>
  <c r="U828" i="6"/>
  <c r="T739" i="6"/>
  <c r="U739" i="6"/>
  <c r="T690" i="6"/>
  <c r="U690" i="6"/>
  <c r="AB718" i="6"/>
  <c r="AC718" i="6"/>
  <c r="T718" i="6"/>
  <c r="U718" i="6"/>
  <c r="T638" i="6"/>
  <c r="U638" i="6"/>
  <c r="T543" i="6"/>
  <c r="U543" i="6"/>
  <c r="T632" i="6"/>
  <c r="U632" i="6"/>
  <c r="T553" i="6"/>
  <c r="U553" i="6"/>
  <c r="AB346" i="6"/>
  <c r="AC346" i="6" s="1"/>
  <c r="T346" i="6"/>
  <c r="U346" i="6"/>
  <c r="T566" i="6"/>
  <c r="U566" i="6"/>
  <c r="T413" i="6"/>
  <c r="U413" i="6"/>
  <c r="T133" i="6"/>
  <c r="U133" i="6"/>
  <c r="T571" i="6"/>
  <c r="U571" i="6"/>
  <c r="T277" i="6"/>
  <c r="U277" i="6"/>
  <c r="AB289" i="6"/>
  <c r="AC289" i="6" s="1"/>
  <c r="AB494" i="6"/>
  <c r="AC494" i="6" s="1"/>
  <c r="T342" i="6"/>
  <c r="U342" i="6"/>
  <c r="AB318" i="6"/>
  <c r="AC318" i="6" s="1"/>
  <c r="T318" i="6"/>
  <c r="U318" i="6"/>
  <c r="T202" i="6"/>
  <c r="U202" i="6"/>
  <c r="T46" i="6"/>
  <c r="U46" i="6"/>
  <c r="T501" i="6"/>
  <c r="U501" i="6"/>
  <c r="AC76" i="6"/>
  <c r="T76" i="6"/>
  <c r="U76" i="6"/>
  <c r="S11" i="6"/>
  <c r="T11" i="6" s="1"/>
  <c r="U11" i="6" s="1"/>
  <c r="AC5" i="6"/>
  <c r="S5" i="6"/>
  <c r="T333" i="6"/>
  <c r="U333" i="6"/>
  <c r="T795" i="6"/>
  <c r="U795" i="6"/>
  <c r="T244" i="6"/>
  <c r="U244" i="6"/>
  <c r="AC331" i="6"/>
  <c r="T331" i="6"/>
  <c r="U331" i="6"/>
  <c r="T287" i="6"/>
  <c r="U287" i="6"/>
  <c r="T583" i="6"/>
  <c r="U583" i="6"/>
  <c r="T564" i="6"/>
  <c r="U564" i="6"/>
  <c r="T901" i="6"/>
  <c r="U901" i="6"/>
  <c r="T238" i="6"/>
  <c r="U238" i="6"/>
  <c r="T852" i="6"/>
  <c r="U852" i="6"/>
  <c r="T455" i="6"/>
  <c r="U455" i="6"/>
  <c r="T526" i="6"/>
  <c r="U526" i="6"/>
  <c r="T530" i="6"/>
  <c r="U530" i="6"/>
  <c r="T789" i="6"/>
  <c r="U789" i="6"/>
  <c r="T382" i="6"/>
  <c r="U382" i="6"/>
  <c r="T29" i="6"/>
  <c r="U29" i="6"/>
  <c r="T212" i="6"/>
  <c r="U212" i="6"/>
  <c r="T243" i="6"/>
  <c r="U243" i="6"/>
  <c r="T135" i="6"/>
  <c r="U135" i="6"/>
  <c r="T984" i="6"/>
  <c r="U984" i="6"/>
  <c r="T390" i="6"/>
  <c r="U390" i="6"/>
  <c r="T203" i="6"/>
  <c r="U203" i="6"/>
  <c r="T607" i="6"/>
  <c r="U607" i="6"/>
  <c r="T989" i="6"/>
  <c r="U989" i="6"/>
  <c r="T731" i="6"/>
  <c r="U731" i="6"/>
  <c r="T606" i="6"/>
  <c r="U606" i="6"/>
  <c r="T335" i="6"/>
  <c r="U335" i="6"/>
  <c r="T905" i="6"/>
  <c r="U905" i="6"/>
  <c r="T205" i="6"/>
  <c r="U205" i="6"/>
  <c r="T754" i="6"/>
  <c r="U754" i="6"/>
  <c r="T166" i="6"/>
  <c r="U166" i="6"/>
  <c r="T551" i="6"/>
  <c r="U551" i="6"/>
  <c r="T430" i="6"/>
  <c r="U430" i="6"/>
  <c r="T289" i="6"/>
  <c r="U289" i="6"/>
  <c r="T714" i="6"/>
  <c r="U714" i="6"/>
  <c r="T977" i="6"/>
  <c r="U977" i="6"/>
  <c r="T596" i="6"/>
  <c r="U596" i="6"/>
  <c r="T383" i="6"/>
  <c r="U383" i="6"/>
  <c r="T123" i="6"/>
  <c r="U123" i="6"/>
  <c r="T129" i="6"/>
  <c r="U129" i="6"/>
  <c r="T715" i="6"/>
  <c r="U715" i="6"/>
  <c r="T902" i="6"/>
  <c r="U902" i="6"/>
  <c r="T416" i="6"/>
  <c r="U416" i="6"/>
  <c r="T227" i="6"/>
  <c r="U227" i="6"/>
  <c r="T541" i="6"/>
  <c r="U541" i="6"/>
  <c r="T834" i="6"/>
  <c r="U834" i="6"/>
  <c r="T910" i="6"/>
  <c r="U910" i="6"/>
  <c r="T712" i="6"/>
  <c r="U712" i="6"/>
  <c r="T770" i="6"/>
  <c r="U770" i="6"/>
  <c r="T798" i="6"/>
  <c r="U798" i="6"/>
  <c r="T201" i="6"/>
  <c r="U201" i="6"/>
  <c r="AC597" i="6"/>
  <c r="T597" i="6"/>
  <c r="U597" i="6"/>
  <c r="T240" i="6"/>
  <c r="U240" i="6"/>
  <c r="T547" i="6"/>
  <c r="U547" i="6"/>
  <c r="T815" i="6"/>
  <c r="U815" i="6"/>
  <c r="T756" i="6"/>
  <c r="U756" i="6"/>
  <c r="T173" i="6"/>
  <c r="U173" i="6"/>
  <c r="T648" i="6"/>
  <c r="U648" i="6"/>
  <c r="T488" i="6"/>
  <c r="U488" i="6"/>
  <c r="T219" i="6"/>
  <c r="U219" i="6"/>
  <c r="T854" i="6"/>
  <c r="U854" i="6"/>
  <c r="T939" i="6"/>
  <c r="U939" i="6"/>
  <c r="T912" i="6"/>
  <c r="U912" i="6"/>
  <c r="T156" i="6"/>
  <c r="U156" i="6"/>
  <c r="T563" i="6"/>
  <c r="U563" i="6"/>
  <c r="T961" i="6"/>
  <c r="U961" i="6"/>
  <c r="T159" i="6"/>
  <c r="U159" i="6"/>
  <c r="T353" i="6"/>
  <c r="U353" i="6"/>
  <c r="T103" i="6"/>
  <c r="U103" i="6"/>
  <c r="T507" i="6"/>
  <c r="U507" i="6"/>
  <c r="T889" i="6"/>
  <c r="U889" i="6"/>
  <c r="T315" i="6"/>
  <c r="U315" i="6"/>
  <c r="T459" i="6"/>
  <c r="U459" i="6"/>
  <c r="T919" i="6"/>
  <c r="U919" i="6"/>
  <c r="T842" i="6"/>
  <c r="U842" i="6"/>
  <c r="T609" i="6"/>
  <c r="U609" i="6"/>
  <c r="T673" i="6"/>
  <c r="U673" i="6"/>
  <c r="T948" i="6"/>
  <c r="U948" i="6"/>
  <c r="T283" i="6"/>
  <c r="U283" i="6"/>
  <c r="T882" i="6"/>
  <c r="U882" i="6"/>
  <c r="T894" i="6"/>
  <c r="U894" i="6"/>
  <c r="T440" i="6"/>
  <c r="U440" i="6"/>
  <c r="T887" i="6"/>
  <c r="U887" i="6"/>
  <c r="T538" i="6"/>
  <c r="U538" i="6"/>
  <c r="T826" i="6"/>
  <c r="U826" i="6"/>
  <c r="AC264" i="6"/>
  <c r="T264" i="6"/>
  <c r="U264" i="6"/>
  <c r="T494" i="6"/>
  <c r="U494" i="6"/>
  <c r="T830" i="6"/>
  <c r="U830" i="6"/>
  <c r="AC492" i="6"/>
  <c r="T492" i="6"/>
  <c r="U492" i="6"/>
  <c r="T558" i="6"/>
  <c r="U558" i="6"/>
  <c r="T966" i="6"/>
  <c r="U966" i="6"/>
  <c r="T138" i="6"/>
  <c r="U138" i="6"/>
  <c r="T968" i="6"/>
  <c r="U968" i="6"/>
  <c r="AC258" i="6"/>
  <c r="T258" i="6"/>
  <c r="U258" i="6"/>
  <c r="T736" i="6"/>
  <c r="U736" i="6"/>
  <c r="T481" i="6"/>
  <c r="U481" i="6"/>
  <c r="T274" i="6"/>
  <c r="U274" i="6"/>
  <c r="T505" i="6"/>
  <c r="U505" i="6"/>
  <c r="T696" i="6"/>
  <c r="U696" i="6"/>
  <c r="T868" i="6"/>
  <c r="U868" i="6"/>
  <c r="T414" i="6"/>
  <c r="U414" i="6"/>
  <c r="T864" i="6"/>
  <c r="U864" i="6"/>
  <c r="T952" i="6"/>
  <c r="U952" i="6"/>
  <c r="AC887" i="6"/>
  <c r="T976" i="6"/>
  <c r="U976" i="6"/>
  <c r="T737" i="6"/>
  <c r="U737" i="6"/>
  <c r="T345" i="6"/>
  <c r="U345" i="6"/>
  <c r="T806" i="6"/>
  <c r="U806" i="6"/>
  <c r="AC50" i="6"/>
  <c r="T50" i="6"/>
  <c r="U50" i="6"/>
  <c r="T96" i="6"/>
  <c r="U96" i="6"/>
  <c r="T193" i="6"/>
  <c r="U193" i="6"/>
  <c r="T849" i="6"/>
  <c r="U849" i="6"/>
  <c r="T916" i="6"/>
  <c r="U916" i="6"/>
  <c r="T77" i="6"/>
  <c r="U77" i="6"/>
  <c r="T802" i="6"/>
  <c r="U802" i="6"/>
  <c r="T544" i="6"/>
  <c r="U544" i="6"/>
  <c r="T510" i="6"/>
  <c r="U510" i="6"/>
  <c r="T846" i="6"/>
  <c r="U846" i="6"/>
  <c r="T914" i="6"/>
  <c r="U914" i="6"/>
  <c r="T321" i="6"/>
  <c r="U321" i="6"/>
  <c r="T705" i="6"/>
  <c r="U705" i="6"/>
  <c r="T434" i="6"/>
  <c r="U434" i="6"/>
  <c r="T971" i="6"/>
  <c r="U971" i="6"/>
  <c r="T601" i="6"/>
  <c r="U601" i="6"/>
  <c r="T178" i="6"/>
  <c r="U178" i="6"/>
  <c r="T646" i="6"/>
  <c r="U646" i="6"/>
  <c r="T974" i="6"/>
  <c r="U974" i="6"/>
  <c r="T522" i="6"/>
  <c r="U522" i="6"/>
  <c r="T445" i="6"/>
  <c r="U445" i="6"/>
  <c r="AC26" i="6"/>
  <c r="T626" i="6"/>
  <c r="U626" i="6"/>
  <c r="T693" i="6"/>
  <c r="U693" i="6"/>
  <c r="T841" i="6"/>
  <c r="U841" i="6"/>
  <c r="T60" i="6"/>
  <c r="U60" i="6"/>
  <c r="T820" i="6"/>
  <c r="U820" i="6"/>
  <c r="T21" i="6"/>
  <c r="U21" i="6"/>
  <c r="T288" i="6"/>
  <c r="U288" i="6"/>
  <c r="T810" i="6"/>
  <c r="U810" i="6"/>
  <c r="T878" i="6"/>
  <c r="U878" i="6"/>
  <c r="T209" i="6"/>
  <c r="U209" i="6"/>
  <c r="T248" i="6"/>
  <c r="U248" i="6"/>
  <c r="T356" i="6"/>
  <c r="U356" i="6"/>
  <c r="T476" i="6"/>
  <c r="U476" i="6"/>
  <c r="T268" i="6"/>
  <c r="U268" i="6"/>
  <c r="T366" i="6"/>
  <c r="U366" i="6"/>
  <c r="T818" i="6"/>
  <c r="U818" i="6"/>
  <c r="T17" i="6"/>
  <c r="U17" i="6"/>
  <c r="AC435" i="6"/>
  <c r="T435" i="6"/>
  <c r="U435" i="6"/>
  <c r="T687" i="6"/>
  <c r="U687" i="6"/>
  <c r="T947" i="6"/>
  <c r="U947" i="6"/>
  <c r="T13" i="6"/>
  <c r="U13" i="6"/>
  <c r="T766" i="6"/>
  <c r="U766" i="6"/>
  <c r="T799" i="6"/>
  <c r="U799" i="6"/>
  <c r="T999" i="6"/>
  <c r="U999" i="6"/>
  <c r="T115" i="6"/>
  <c r="U115" i="6"/>
  <c r="T375" i="6"/>
  <c r="U375" i="6"/>
  <c r="T397" i="6"/>
  <c r="U397" i="6"/>
  <c r="T722" i="6"/>
  <c r="U722" i="6"/>
  <c r="T921" i="6"/>
  <c r="U921" i="6"/>
  <c r="T658" i="6"/>
  <c r="U658" i="6"/>
  <c r="T70" i="6"/>
  <c r="U70" i="6"/>
  <c r="T364" i="6"/>
  <c r="U364" i="6"/>
  <c r="T351" i="6"/>
  <c r="U351" i="6"/>
  <c r="T840" i="6"/>
  <c r="U840" i="6"/>
  <c r="T967" i="6"/>
  <c r="U967" i="6"/>
  <c r="T843" i="6"/>
  <c r="U843" i="6"/>
  <c r="T949" i="6"/>
  <c r="U949" i="6"/>
  <c r="T803" i="6"/>
  <c r="U803" i="6"/>
  <c r="T275" i="6"/>
  <c r="U275" i="6"/>
  <c r="T142" i="6"/>
  <c r="U142" i="6"/>
  <c r="T733" i="6"/>
  <c r="U733" i="6"/>
  <c r="T93" i="6"/>
  <c r="U93" i="6"/>
  <c r="T783" i="6"/>
  <c r="U783" i="6"/>
  <c r="T132" i="6"/>
  <c r="U132" i="6"/>
  <c r="T176" i="6"/>
  <c r="U176" i="6"/>
  <c r="T26" i="6"/>
  <c r="U26" i="6"/>
  <c r="AB999" i="6" l="1"/>
  <c r="AC999" i="6"/>
  <c r="AB411" i="6"/>
  <c r="AC411" i="6"/>
  <c r="AB413" i="6"/>
  <c r="AC413" i="6"/>
  <c r="AB98" i="6"/>
  <c r="AC98" i="6" s="1"/>
  <c r="AC183" i="6"/>
  <c r="AB13" i="6"/>
  <c r="AC13" i="6" s="1"/>
  <c r="AB334" i="6"/>
  <c r="AC334" i="6" s="1"/>
  <c r="AB848" i="6"/>
  <c r="AC848" i="6"/>
  <c r="AB112" i="6"/>
  <c r="AC112" i="6"/>
  <c r="AB942" i="6"/>
  <c r="AC942" i="6" s="1"/>
  <c r="K91" i="3"/>
  <c r="M91" i="3"/>
  <c r="AC715" i="6"/>
  <c r="AC309" i="6"/>
  <c r="AC217" i="6"/>
  <c r="AB156" i="6"/>
  <c r="AC156" i="6"/>
  <c r="AB100" i="6"/>
  <c r="AC100" i="6" s="1"/>
  <c r="AC188" i="6"/>
  <c r="AB784" i="6"/>
  <c r="AC784" i="6"/>
  <c r="AC588" i="6"/>
  <c r="AB328" i="6"/>
  <c r="AC328" i="6"/>
  <c r="AC511" i="6"/>
  <c r="AB553" i="6"/>
  <c r="AC553" i="6" s="1"/>
  <c r="AC910" i="6"/>
  <c r="AB902" i="6"/>
  <c r="AC902" i="6"/>
  <c r="AB868" i="6"/>
  <c r="AC868" i="6" s="1"/>
  <c r="AB687" i="6"/>
  <c r="AC687" i="6" s="1"/>
  <c r="AB520" i="6"/>
  <c r="AC520" i="6"/>
  <c r="AB521" i="6"/>
  <c r="AC521" i="6"/>
  <c r="M82" i="3"/>
  <c r="K82" i="3"/>
  <c r="M424" i="3"/>
  <c r="K424" i="3"/>
  <c r="M429" i="3"/>
  <c r="K433" i="3"/>
  <c r="M433" i="3"/>
  <c r="K438" i="3"/>
  <c r="M455" i="3"/>
  <c r="K455" i="3"/>
  <c r="M501" i="3"/>
  <c r="K501" i="3"/>
  <c r="M73" i="3"/>
  <c r="K73" i="3"/>
  <c r="K297" i="3"/>
  <c r="M297" i="3"/>
  <c r="K321" i="3"/>
  <c r="M321" i="3"/>
  <c r="K380" i="3"/>
  <c r="M380" i="3"/>
  <c r="AC843" i="6"/>
  <c r="AB843" i="6"/>
  <c r="AC573" i="6"/>
  <c r="AB623" i="6"/>
  <c r="AC623" i="6"/>
  <c r="AB936" i="6"/>
  <c r="AC936" i="6"/>
  <c r="AB231" i="6"/>
  <c r="AC231" i="6" s="1"/>
  <c r="K77" i="3"/>
  <c r="M77" i="3"/>
  <c r="K342" i="3"/>
  <c r="M342" i="3"/>
  <c r="K392" i="3"/>
  <c r="M392" i="3"/>
  <c r="M425" i="3"/>
  <c r="K425" i="3"/>
  <c r="AB966" i="6"/>
  <c r="AC966" i="6" s="1"/>
  <c r="AC219" i="6"/>
  <c r="AB972" i="6"/>
  <c r="AC972" i="6"/>
  <c r="AC734" i="6"/>
  <c r="AB505" i="6"/>
  <c r="AC505" i="6" s="1"/>
  <c r="AB269" i="6"/>
  <c r="AC269" i="6" s="1"/>
  <c r="AC116" i="6"/>
  <c r="M374" i="3"/>
  <c r="AB312" i="6"/>
  <c r="AC312" i="6" s="1"/>
  <c r="AB697" i="6"/>
  <c r="AC697" i="6" s="1"/>
  <c r="AC587" i="6"/>
  <c r="M67" i="3"/>
  <c r="K67" i="3"/>
  <c r="M245" i="3"/>
  <c r="K245" i="3"/>
  <c r="M260" i="3"/>
  <c r="K260" i="3"/>
  <c r="M288" i="3"/>
  <c r="K288" i="3"/>
  <c r="M304" i="3"/>
  <c r="K304" i="3"/>
  <c r="M317" i="3"/>
  <c r="K317" i="3"/>
  <c r="K332" i="3"/>
  <c r="M332" i="3"/>
  <c r="AC604" i="6"/>
  <c r="AC366" i="6"/>
  <c r="AB366" i="6"/>
  <c r="AC750" i="6"/>
  <c r="AB727" i="6"/>
  <c r="AC727" i="6"/>
  <c r="AB214" i="6"/>
  <c r="AC214" i="6"/>
  <c r="AB358" i="6"/>
  <c r="AC358" i="6" s="1"/>
  <c r="AB165" i="6"/>
  <c r="AC165" i="6" s="1"/>
  <c r="AB614" i="6"/>
  <c r="AC614" i="6"/>
  <c r="AB549" i="6"/>
  <c r="AC549" i="6"/>
  <c r="AC501" i="6"/>
  <c r="AB921" i="6"/>
  <c r="AC921" i="6" s="1"/>
  <c r="AC900" i="6"/>
  <c r="AB430" i="6"/>
  <c r="AC430" i="6" s="1"/>
  <c r="AB668" i="6"/>
  <c r="AC668" i="6" s="1"/>
  <c r="K50" i="3"/>
  <c r="M50" i="3"/>
  <c r="M68" i="3"/>
  <c r="K68" i="3"/>
  <c r="K154" i="3"/>
  <c r="M154" i="3"/>
  <c r="M171" i="3"/>
  <c r="K171" i="3"/>
  <c r="K182" i="3"/>
  <c r="M182" i="3"/>
  <c r="M206" i="3"/>
  <c r="K206" i="3"/>
  <c r="K246" i="3"/>
  <c r="M246" i="3"/>
  <c r="M256" i="3"/>
  <c r="K256" i="3"/>
  <c r="AC388" i="6"/>
  <c r="AB356" i="6"/>
  <c r="AC356" i="6" s="1"/>
  <c r="AB83" i="6"/>
  <c r="AC83" i="6" s="1"/>
  <c r="AB248" i="6"/>
  <c r="AC248" i="6"/>
  <c r="AB202" i="6"/>
  <c r="AC202" i="6"/>
  <c r="AC51" i="6"/>
  <c r="AB652" i="6"/>
  <c r="AC652" i="6" s="1"/>
  <c r="AB629" i="6"/>
  <c r="AC629" i="6"/>
  <c r="AB928" i="6"/>
  <c r="AC928" i="6" s="1"/>
  <c r="K385" i="3"/>
  <c r="K63" i="3"/>
  <c r="V12" i="6"/>
  <c r="AA12" i="6" s="1"/>
  <c r="G6" i="5"/>
  <c r="G7" i="5" s="1"/>
  <c r="G14" i="5" s="1"/>
  <c r="G15" i="5" s="1"/>
  <c r="G16" i="5" s="1"/>
  <c r="G17" i="5" s="1"/>
  <c r="G18" i="5" s="1"/>
  <c r="G19" i="5" s="1"/>
  <c r="M15" i="3"/>
  <c r="V9" i="6"/>
  <c r="AA9" i="6" s="1"/>
  <c r="AB9" i="6" s="1"/>
  <c r="M38" i="3"/>
  <c r="K38" i="3"/>
  <c r="K96" i="3"/>
  <c r="M96" i="3"/>
  <c r="M108" i="3"/>
  <c r="K108" i="3"/>
  <c r="K124" i="3"/>
  <c r="M124" i="3"/>
  <c r="M183" i="3"/>
  <c r="K183" i="3"/>
  <c r="M43" i="3"/>
  <c r="K43" i="3"/>
  <c r="M60" i="3"/>
  <c r="K60" i="3"/>
  <c r="M469" i="3"/>
  <c r="K469" i="3"/>
  <c r="AC436" i="6"/>
  <c r="AC97" i="6"/>
  <c r="AC126" i="6"/>
  <c r="AC196" i="6"/>
  <c r="AC640" i="6"/>
  <c r="AC735" i="6"/>
  <c r="K231" i="3"/>
  <c r="AB180" i="6"/>
  <c r="AC180" i="6"/>
  <c r="F11" i="1"/>
  <c r="M306" i="3"/>
  <c r="M113" i="3"/>
  <c r="K189" i="3"/>
  <c r="K35" i="3"/>
  <c r="M37" i="3"/>
  <c r="K37" i="3"/>
  <c r="M229" i="3"/>
  <c r="K229" i="3"/>
  <c r="K264" i="3"/>
  <c r="M264" i="3"/>
  <c r="K373" i="3"/>
  <c r="M373" i="3"/>
  <c r="AC237" i="6"/>
  <c r="AC767" i="6"/>
  <c r="AC816" i="6"/>
  <c r="AC357" i="6"/>
  <c r="M419" i="3"/>
  <c r="K419" i="3"/>
  <c r="AC362" i="6"/>
  <c r="AC589" i="6"/>
  <c r="AC639" i="6"/>
  <c r="AC787" i="6"/>
  <c r="AC267" i="6"/>
  <c r="M217" i="3"/>
  <c r="K487" i="3"/>
  <c r="K446" i="3"/>
  <c r="K268" i="3"/>
  <c r="AC945" i="6"/>
  <c r="AC653" i="6"/>
  <c r="AC75" i="6"/>
  <c r="AC725" i="6"/>
  <c r="AC450" i="6"/>
  <c r="AC457" i="6"/>
  <c r="K175" i="3"/>
  <c r="M126" i="3"/>
  <c r="K126" i="3"/>
  <c r="K311" i="3"/>
  <c r="M311" i="3"/>
  <c r="M365" i="3"/>
  <c r="K365" i="3"/>
  <c r="AC190" i="6"/>
  <c r="AC705" i="6"/>
  <c r="AC943" i="6"/>
  <c r="AC497" i="6"/>
  <c r="AC174" i="6"/>
  <c r="AC821" i="6"/>
  <c r="AB820" i="6"/>
  <c r="AC820" i="6" s="1"/>
  <c r="AC493" i="6"/>
  <c r="M161" i="3"/>
  <c r="K204" i="3"/>
  <c r="AB702" i="6"/>
  <c r="AC702" i="6" s="1"/>
  <c r="AC316" i="6"/>
  <c r="AB407" i="6"/>
  <c r="AC407" i="6" s="1"/>
  <c r="AC105" i="6"/>
  <c r="K389" i="3"/>
  <c r="K192" i="3"/>
  <c r="AC323" i="6"/>
  <c r="AC119" i="6"/>
  <c r="AC344" i="6"/>
  <c r="AC276" i="6"/>
  <c r="AC294" i="6"/>
  <c r="AC961" i="6"/>
  <c r="M252" i="3"/>
  <c r="AC876" i="6"/>
  <c r="AB436" i="6"/>
  <c r="AC932" i="6"/>
  <c r="AB97" i="6"/>
  <c r="AC52" i="6"/>
  <c r="AB52" i="6"/>
  <c r="AC625" i="6"/>
  <c r="AC955" i="6"/>
  <c r="K40" i="3"/>
  <c r="M329" i="3"/>
  <c r="M13" i="3"/>
  <c r="M198" i="3"/>
  <c r="M340" i="3"/>
  <c r="M383" i="3"/>
  <c r="M491" i="3"/>
  <c r="M102" i="3"/>
  <c r="K69" i="3"/>
  <c r="M34" i="3"/>
  <c r="M331" i="3"/>
  <c r="K341" i="3"/>
  <c r="M341" i="3"/>
  <c r="K394" i="3"/>
  <c r="AC738" i="6"/>
  <c r="AC657" i="6"/>
  <c r="AB729" i="6"/>
  <c r="AC729" i="6" s="1"/>
  <c r="AC163" i="6"/>
  <c r="AB903" i="6"/>
  <c r="AC903" i="6"/>
  <c r="AB130" i="6"/>
  <c r="AC130" i="6"/>
  <c r="AB879" i="6"/>
  <c r="AC879" i="6"/>
  <c r="AB304" i="6"/>
  <c r="AC304" i="6" s="1"/>
  <c r="AC134" i="6"/>
  <c r="AC861" i="6"/>
  <c r="AC890" i="6"/>
  <c r="AC772" i="6"/>
  <c r="AC544" i="6"/>
  <c r="AB476" i="6"/>
  <c r="AC476" i="6" s="1"/>
  <c r="AC303" i="6"/>
  <c r="AC764" i="6"/>
  <c r="AB926" i="6"/>
  <c r="AC926" i="6"/>
  <c r="AB453" i="6"/>
  <c r="AC453" i="6"/>
  <c r="AC155" i="6"/>
  <c r="AC917" i="6"/>
  <c r="AC624" i="6"/>
  <c r="AB539" i="6"/>
  <c r="AC539" i="6" s="1"/>
  <c r="AB775" i="6"/>
  <c r="AC775" i="6" s="1"/>
  <c r="AB698" i="6"/>
  <c r="AC698" i="6" s="1"/>
  <c r="AB87" i="6"/>
  <c r="AC87" i="6" s="1"/>
  <c r="AB297" i="6"/>
  <c r="AC297" i="6"/>
  <c r="AC306" i="6"/>
  <c r="AB859" i="6"/>
  <c r="AC859" i="6" s="1"/>
  <c r="AB561" i="6"/>
  <c r="AC561" i="6" s="1"/>
  <c r="AB871" i="6"/>
  <c r="AC871" i="6" s="1"/>
  <c r="AB579" i="6"/>
  <c r="AC579" i="6"/>
  <c r="C11" i="1"/>
  <c r="AC973" i="6"/>
  <c r="AC747" i="6"/>
  <c r="AC74" i="6"/>
  <c r="AB213" i="6"/>
  <c r="AC213" i="6"/>
  <c r="AB234" i="6"/>
  <c r="AC234" i="6" s="1"/>
  <c r="AB990" i="6"/>
  <c r="AC990" i="6" s="1"/>
  <c r="AB835" i="6"/>
  <c r="AC835" i="6" s="1"/>
  <c r="AC569" i="6"/>
  <c r="AB424" i="6"/>
  <c r="AC424" i="6" s="1"/>
  <c r="AC6" i="6"/>
  <c r="AB499" i="6"/>
  <c r="AC499" i="6" s="1"/>
  <c r="AB930" i="6"/>
  <c r="AC930" i="6" s="1"/>
  <c r="AB37" i="6"/>
  <c r="AC37" i="6"/>
  <c r="AB785" i="6"/>
  <c r="AC785" i="6" s="1"/>
  <c r="AC39" i="6"/>
  <c r="AC114" i="6"/>
  <c r="AC713" i="6"/>
  <c r="AB16" i="6"/>
  <c r="AC16" i="6" s="1"/>
  <c r="AB402" i="6"/>
  <c r="AC402" i="6" s="1"/>
  <c r="AB743" i="6"/>
  <c r="AC743" i="6" s="1"/>
  <c r="AB786" i="6"/>
  <c r="AC786" i="6" s="1"/>
  <c r="AB512" i="6"/>
  <c r="AC512" i="6" s="1"/>
  <c r="AB235" i="6"/>
  <c r="AC235" i="6" s="1"/>
  <c r="AB400" i="6"/>
  <c r="AC400" i="6" s="1"/>
  <c r="AB690" i="6"/>
  <c r="AC690" i="6" s="1"/>
  <c r="AC675" i="6"/>
  <c r="AC142" i="6"/>
  <c r="AC166" i="6"/>
  <c r="AB883" i="6"/>
  <c r="AC883" i="6" s="1"/>
  <c r="AB651" i="6"/>
  <c r="AC651" i="6"/>
  <c r="AC515" i="6"/>
  <c r="AB741" i="6"/>
  <c r="AC741" i="6"/>
  <c r="AC915" i="6"/>
  <c r="AB175" i="6"/>
  <c r="AC175" i="6" s="1"/>
  <c r="AB744" i="6"/>
  <c r="AC744" i="6"/>
  <c r="AB516" i="6"/>
  <c r="AC516" i="6" s="1"/>
  <c r="AB460" i="6"/>
  <c r="AC460" i="6" s="1"/>
  <c r="AC473" i="6"/>
  <c r="AC523" i="6"/>
  <c r="AC22" i="6"/>
  <c r="AC308" i="6"/>
  <c r="AC404" i="6"/>
  <c r="AB199" i="6"/>
  <c r="AC199" i="6" s="1"/>
  <c r="AC985" i="6"/>
  <c r="AC92" i="6"/>
  <c r="AB121" i="6"/>
  <c r="AC121" i="6" s="1"/>
  <c r="AB557" i="6"/>
  <c r="AC557" i="6" s="1"/>
  <c r="AB709" i="6"/>
  <c r="AC709" i="6"/>
  <c r="AB259" i="6"/>
  <c r="AC259" i="6" s="1"/>
  <c r="AC858" i="6"/>
  <c r="AC851" i="6"/>
  <c r="AC947" i="6"/>
  <c r="AC396" i="6"/>
  <c r="AB227" i="6"/>
  <c r="AC227" i="6" s="1"/>
  <c r="AC135" i="6"/>
  <c r="AC115" i="6"/>
  <c r="AC701" i="6"/>
  <c r="AC391" i="6"/>
  <c r="AB447" i="6"/>
  <c r="AC447" i="6" s="1"/>
  <c r="AC285" i="6"/>
  <c r="AC641" i="6"/>
  <c r="AC965" i="6"/>
  <c r="AB35" i="6"/>
  <c r="AC35" i="6" s="1"/>
  <c r="AC790" i="6"/>
  <c r="AB867" i="6"/>
  <c r="AC867" i="6" s="1"/>
  <c r="AC113" i="6"/>
  <c r="AB470" i="6"/>
  <c r="AC470" i="6" s="1"/>
  <c r="AC178" i="6"/>
  <c r="AC857" i="6"/>
  <c r="AC781" i="6"/>
  <c r="AC431" i="6"/>
  <c r="AC374" i="6"/>
  <c r="AC184" i="6"/>
  <c r="AB560" i="6"/>
  <c r="AC560" i="6" s="1"/>
  <c r="C27" i="1"/>
  <c r="AC172" i="6"/>
  <c r="AC732" i="6"/>
  <c r="AC491" i="6"/>
  <c r="AC749" i="6"/>
  <c r="AC655" i="6"/>
  <c r="AC437" i="6"/>
  <c r="AC338" i="6"/>
  <c r="AC974" i="6"/>
  <c r="AC482" i="6"/>
  <c r="AC296" i="6"/>
  <c r="AC855" i="6"/>
  <c r="AC959" i="6"/>
  <c r="AC225" i="6"/>
  <c r="AC793" i="6"/>
  <c r="AC801" i="6"/>
  <c r="AC532" i="6"/>
  <c r="AC881" i="6"/>
  <c r="AC769" i="6"/>
  <c r="AC608" i="6"/>
  <c r="AC699" i="6"/>
  <c r="AC279" i="6"/>
  <c r="AC754" i="6"/>
  <c r="AC918" i="6"/>
  <c r="AC886" i="6"/>
  <c r="AC831" i="6"/>
  <c r="AC774" i="6"/>
  <c r="AC758" i="6"/>
  <c r="AC691" i="6"/>
  <c r="AC594" i="6"/>
  <c r="AC354" i="6"/>
  <c r="AC332" i="6"/>
  <c r="AC993" i="6"/>
  <c r="AC393" i="6"/>
  <c r="AC649" i="6"/>
  <c r="AC620" i="6"/>
  <c r="AC224" i="6"/>
  <c r="AC484" i="6"/>
  <c r="AC599" i="6"/>
  <c r="AC872" i="6"/>
  <c r="AC711" i="6"/>
  <c r="AC124" i="6"/>
  <c r="AC72" i="6"/>
  <c r="AB446" i="6"/>
  <c r="AC446" i="6" s="1"/>
  <c r="K18" i="3"/>
  <c r="AC677" i="6"/>
  <c r="AC954" i="6"/>
  <c r="AC662" i="6"/>
  <c r="AC191" i="6"/>
  <c r="AC95" i="6"/>
  <c r="AB43" i="6"/>
  <c r="AC43" i="6" s="1"/>
  <c r="AC495" i="6"/>
  <c r="AC169" i="6"/>
  <c r="AC62" i="6"/>
  <c r="AC20" i="6"/>
  <c r="AC929" i="6"/>
  <c r="AC710" i="6"/>
  <c r="AC541" i="6"/>
  <c r="AC894" i="6"/>
  <c r="AC42" i="6"/>
  <c r="AC845" i="6"/>
  <c r="AB77" i="6"/>
  <c r="AC77" i="6" s="1"/>
  <c r="AC64" i="6"/>
  <c r="AB21" i="6"/>
  <c r="AC21" i="6" s="1"/>
  <c r="AC643" i="6"/>
  <c r="AC584" i="6"/>
  <c r="AB862" i="6"/>
  <c r="AC862" i="6"/>
  <c r="AB255" i="6"/>
  <c r="AC255" i="6" s="1"/>
  <c r="AC995" i="6"/>
  <c r="AC350" i="6"/>
  <c r="AB950" i="6"/>
  <c r="AC950" i="6" s="1"/>
  <c r="AB31" i="6"/>
  <c r="AC31" i="6" s="1"/>
  <c r="AB59" i="6"/>
  <c r="AC59" i="6"/>
  <c r="AC369" i="6"/>
  <c r="AB860" i="6"/>
  <c r="AC860" i="6" s="1"/>
  <c r="AB633" i="6"/>
  <c r="AC633" i="6"/>
  <c r="AC462" i="6"/>
  <c r="AB496" i="6"/>
  <c r="AC496" i="6"/>
  <c r="AB301" i="6"/>
  <c r="AC301" i="6" s="1"/>
  <c r="AB807" i="6"/>
  <c r="AC807" i="6" s="1"/>
  <c r="T5" i="6"/>
  <c r="AC760" i="6"/>
  <c r="AB782" i="6"/>
  <c r="AC782" i="6" s="1"/>
  <c r="AC673" i="6"/>
  <c r="AC841" i="6"/>
  <c r="AB547" i="6"/>
  <c r="AC547" i="6" s="1"/>
  <c r="AC717" i="6"/>
  <c r="AC933" i="6"/>
  <c r="AB803" i="6"/>
  <c r="AC803" i="6" s="1"/>
  <c r="AB574" i="6"/>
  <c r="AC574" i="6" s="1"/>
  <c r="AB592" i="6"/>
  <c r="AC592" i="6" s="1"/>
  <c r="AC636" i="6"/>
  <c r="AC962" i="6"/>
  <c r="AB192" i="6"/>
  <c r="AC192" i="6" s="1"/>
  <c r="AB33" i="6"/>
  <c r="AC33" i="6" s="1"/>
  <c r="AB244" i="6"/>
  <c r="AC244" i="6" s="1"/>
  <c r="S7" i="6"/>
  <c r="T7" i="6" s="1"/>
  <c r="U7" i="6" s="1"/>
  <c r="AB17" i="6"/>
  <c r="AC17" i="6" s="1"/>
  <c r="AC853" i="6"/>
  <c r="AC464" i="6"/>
  <c r="AB585" i="6"/>
  <c r="AC585" i="6" s="1"/>
  <c r="AC528" i="6"/>
  <c r="AC898" i="6"/>
  <c r="AB361" i="6"/>
  <c r="AC361" i="6" s="1"/>
  <c r="AB106" i="6"/>
  <c r="AC106" i="6" s="1"/>
  <c r="AC9" i="6"/>
  <c r="S9" i="6" s="1"/>
  <c r="T9" i="6" s="1"/>
  <c r="U9" i="6" s="1"/>
  <c r="AB347" i="6"/>
  <c r="AC347" i="6" s="1"/>
  <c r="AB984" i="6"/>
  <c r="AC984" i="6" s="1"/>
  <c r="AC866" i="6"/>
  <c r="AB733" i="6"/>
  <c r="AC733" i="6" s="1"/>
  <c r="AC823" i="6"/>
  <c r="AC811" i="6"/>
  <c r="AC630" i="6"/>
  <c r="AC394" i="6"/>
  <c r="AB686" i="6"/>
  <c r="AC686" i="6" s="1"/>
  <c r="AC448" i="6"/>
  <c r="AB975" i="6"/>
  <c r="AC975" i="6" s="1"/>
  <c r="AC25" i="6"/>
  <c r="AB229" i="6"/>
  <c r="AC229" i="6" s="1"/>
  <c r="AB157" i="6"/>
  <c r="AC157" i="6" s="1"/>
  <c r="AC543" i="6"/>
  <c r="AC352" i="6"/>
  <c r="AC454" i="6"/>
  <c r="AB526" i="6"/>
  <c r="AC526" i="6" s="1"/>
  <c r="AB459" i="6"/>
  <c r="AC459" i="6"/>
  <c r="AB86" i="6"/>
  <c r="AC86" i="6"/>
  <c r="AC913" i="6"/>
  <c r="AB326" i="6"/>
  <c r="AC326" i="6" s="1"/>
  <c r="AB685" i="6"/>
  <c r="AC685" i="6" s="1"/>
  <c r="AB911" i="6"/>
  <c r="AC911" i="6" s="1"/>
  <c r="AC540" i="6"/>
  <c r="AC360" i="6"/>
  <c r="AB507" i="6"/>
  <c r="AC507" i="6" s="1"/>
  <c r="AC766" i="6"/>
  <c r="S8" i="6"/>
  <c r="T8" i="6" s="1"/>
  <c r="U8" i="6" s="1"/>
  <c r="AC416" i="6"/>
  <c r="AB60" i="6"/>
  <c r="AC60" i="6" s="1"/>
  <c r="AC846" i="6"/>
  <c r="AC240" i="6"/>
  <c r="AC133" i="6"/>
  <c r="AC63" i="6"/>
  <c r="AC765" i="6"/>
  <c r="AC789" i="6"/>
  <c r="AC854" i="6"/>
  <c r="AC874" i="6"/>
  <c r="AC737" i="6"/>
  <c r="AB367" i="6"/>
  <c r="AC367" i="6" s="1"/>
  <c r="AC465" i="6"/>
  <c r="AC353" i="6"/>
  <c r="AB127" i="6"/>
  <c r="AC127" i="6" s="1"/>
  <c r="AB571" i="6"/>
  <c r="AC571" i="6" s="1"/>
  <c r="AB223" i="6"/>
  <c r="AC223" i="6" s="1"/>
  <c r="AB288" i="6"/>
  <c r="AC288" i="6" s="1"/>
  <c r="AB236" i="6"/>
  <c r="AC236" i="6" s="1"/>
  <c r="AB209" i="6"/>
  <c r="AC209" i="6" s="1"/>
  <c r="AC938" i="6"/>
  <c r="AC616" i="6"/>
  <c r="AC631" i="6"/>
  <c r="AB286" i="6"/>
  <c r="AC286" i="6" s="1"/>
  <c r="AC987" i="6"/>
  <c r="AB642" i="6"/>
  <c r="AC642" i="6" s="1"/>
  <c r="AC377" i="6"/>
  <c r="AC779" i="6"/>
  <c r="AB822" i="6"/>
  <c r="AC822" i="6" s="1"/>
  <c r="AC257" i="6"/>
  <c r="AB969" i="6"/>
  <c r="AC969" i="6" s="1"/>
  <c r="AB262" i="6"/>
  <c r="AC262" i="6" s="1"/>
  <c r="AB815" i="6"/>
  <c r="AC815" i="6" s="1"/>
  <c r="AC783" i="6"/>
  <c r="AB564" i="6"/>
  <c r="AC564" i="6" s="1"/>
  <c r="AB644" i="6"/>
  <c r="AC644" i="6" s="1"/>
  <c r="AB451" i="6"/>
  <c r="AC451" i="6" s="1"/>
  <c r="AB869" i="6"/>
  <c r="AC869" i="6" s="1"/>
  <c r="AB111" i="6"/>
  <c r="AC111" i="6" s="1"/>
  <c r="AB595" i="6"/>
  <c r="AC595" i="6" s="1"/>
  <c r="AC740" i="6"/>
  <c r="AC268" i="6"/>
  <c r="AB971" i="6"/>
  <c r="AC971" i="6" s="1"/>
  <c r="AB935" i="6"/>
  <c r="AC935" i="6" s="1"/>
  <c r="AB761" i="6"/>
  <c r="AC761" i="6" s="1"/>
  <c r="AB739" i="6"/>
  <c r="AC739" i="6" s="1"/>
  <c r="AC726" i="6"/>
  <c r="AB572" i="6"/>
  <c r="AC572" i="6"/>
  <c r="AC265" i="6"/>
  <c r="AB421" i="6"/>
  <c r="AC421" i="6" s="1"/>
  <c r="AC665" i="6"/>
  <c r="AB40" i="6"/>
  <c r="AC40" i="6" s="1"/>
  <c r="AC242" i="6"/>
  <c r="AB79" i="6"/>
  <c r="AC79" i="6" s="1"/>
  <c r="AB313" i="6"/>
  <c r="AC313" i="6" s="1"/>
  <c r="AC914" i="6"/>
  <c r="AC770" i="6"/>
  <c r="AC889" i="6"/>
  <c r="AB939" i="6"/>
  <c r="AC939" i="6" s="1"/>
  <c r="AB919" i="6"/>
  <c r="AC919" i="6" s="1"/>
  <c r="AB654" i="6"/>
  <c r="AC654" i="6" s="1"/>
  <c r="AC670" i="6"/>
  <c r="AB263" i="6"/>
  <c r="AC263" i="6" s="1"/>
  <c r="AC339" i="6"/>
  <c r="AC305" i="6"/>
  <c r="AB746" i="6"/>
  <c r="AC746" i="6" s="1"/>
  <c r="AB101" i="6"/>
  <c r="AC101" i="6" s="1"/>
  <c r="AB90" i="6"/>
  <c r="AC90" i="6"/>
  <c r="AB666" i="6"/>
  <c r="AC666" i="6" s="1"/>
  <c r="AC550" i="6"/>
  <c r="AC704" i="6"/>
  <c r="AC799" i="6"/>
  <c r="AC863" i="6"/>
  <c r="AC390" i="6"/>
  <c r="AC149" i="6"/>
  <c r="AB329" i="6"/>
  <c r="AC329" i="6" s="1"/>
  <c r="AB345" i="6"/>
  <c r="AC345" i="6" s="1"/>
  <c r="AB123" i="6"/>
  <c r="AC123" i="6" s="1"/>
  <c r="AC567" i="6"/>
  <c r="AB445" i="6"/>
  <c r="AC445" i="6" s="1"/>
  <c r="AB284" i="6"/>
  <c r="AC284" i="6"/>
  <c r="AB220" i="6"/>
  <c r="AC220" i="6" s="1"/>
  <c r="AC680" i="6"/>
  <c r="AB359" i="6"/>
  <c r="AC359" i="6" s="1"/>
  <c r="AC327" i="6"/>
  <c r="AC931" i="6"/>
  <c r="AB251" i="6"/>
  <c r="AC251" i="6"/>
  <c r="AB980" i="6"/>
  <c r="AC980" i="6" s="1"/>
  <c r="AB376" i="6"/>
  <c r="AC376" i="6" s="1"/>
  <c r="AB694" i="6"/>
  <c r="AC694" i="6"/>
  <c r="AB442" i="6"/>
  <c r="AC442" i="6" s="1"/>
  <c r="AC160" i="6"/>
  <c r="AB29" i="6"/>
  <c r="AC29" i="6" s="1"/>
  <c r="AB66" i="6"/>
  <c r="AC66" i="6" s="1"/>
  <c r="AC982" i="6"/>
  <c r="AB865" i="6"/>
  <c r="AC865" i="6" s="1"/>
  <c r="AB351" i="6"/>
  <c r="AC351" i="6" s="1"/>
  <c r="AB364" i="6"/>
  <c r="AC364" i="6" s="1"/>
  <c r="AB674" i="6"/>
  <c r="AC674" i="6" s="1"/>
  <c r="AB983" i="6"/>
  <c r="AC983" i="6" s="1"/>
  <c r="AB551" i="6"/>
  <c r="AC551" i="6" s="1"/>
  <c r="AB486" i="6"/>
  <c r="AC486" i="6" s="1"/>
  <c r="AC897" i="6"/>
  <c r="AC721" i="6"/>
  <c r="AB960" i="6"/>
  <c r="AC960" i="6" s="1"/>
  <c r="AB795" i="6"/>
  <c r="AC795" i="6" s="1"/>
  <c r="AC756" i="6"/>
  <c r="AB730" i="6"/>
  <c r="AC730" i="6" s="1"/>
  <c r="AB755" i="6"/>
  <c r="AC755" i="6" s="1"/>
  <c r="AB333" i="6"/>
  <c r="AC333" i="6" s="1"/>
  <c r="AB695" i="6"/>
  <c r="AC695" i="6" s="1"/>
  <c r="AC415" i="6"/>
  <c r="AB71" i="6"/>
  <c r="AC71" i="6" s="1"/>
  <c r="AB365" i="6"/>
  <c r="AC365" i="6" s="1"/>
  <c r="AB907" i="6"/>
  <c r="AC907" i="6" s="1"/>
  <c r="AC478" i="6"/>
  <c r="AC102" i="6"/>
  <c r="AB310" i="6"/>
  <c r="AC310" i="6" s="1"/>
  <c r="AB826" i="6"/>
  <c r="AC826" i="6" s="1"/>
  <c r="AC924" i="6"/>
  <c r="AC529" i="6"/>
  <c r="AC692" i="6"/>
  <c r="AC922" i="6"/>
  <c r="AB968" i="6"/>
  <c r="AC968" i="6" s="1"/>
  <c r="AB964" i="6"/>
  <c r="AC964" i="6" s="1"/>
  <c r="AC916" i="6"/>
  <c r="AB901" i="6"/>
  <c r="AC901" i="6" s="1"/>
  <c r="AC818" i="6"/>
  <c r="AB792" i="6"/>
  <c r="AC792" i="6" s="1"/>
  <c r="AC583" i="6"/>
  <c r="AB590" i="6"/>
  <c r="AC590" i="6" s="1"/>
  <c r="AB658" i="6"/>
  <c r="AC658" i="6"/>
  <c r="AB522" i="6"/>
  <c r="AC522" i="6" s="1"/>
  <c r="AB596" i="6"/>
  <c r="AC596" i="6" s="1"/>
  <c r="AB566" i="6"/>
  <c r="AC566" i="6" s="1"/>
  <c r="AB554" i="6"/>
  <c r="AC554" i="6" s="1"/>
  <c r="AB321" i="6"/>
  <c r="AC321" i="6" s="1"/>
  <c r="AB93" i="6"/>
  <c r="AC93" i="6" s="1"/>
  <c r="AC212" i="6"/>
  <c r="AC96" i="6"/>
  <c r="AC154" i="6"/>
  <c r="AB771" i="6"/>
  <c r="AC771" i="6" s="1"/>
  <c r="AC753" i="6"/>
  <c r="AC637" i="6"/>
  <c r="AC613" i="6"/>
  <c r="AB398" i="6"/>
  <c r="AC398" i="6" s="1"/>
  <c r="AC422" i="6"/>
  <c r="AB833" i="6"/>
  <c r="AC833" i="6" s="1"/>
  <c r="AB647" i="6"/>
  <c r="AC647" i="6" s="1"/>
  <c r="AB598" i="6"/>
  <c r="AC598" i="6" s="1"/>
  <c r="AB963" i="6"/>
  <c r="AC963" i="6" s="1"/>
  <c r="AC892" i="6"/>
  <c r="AC678" i="6"/>
  <c r="AC576" i="6"/>
  <c r="AC531" i="6"/>
  <c r="AB194" i="6"/>
  <c r="AC194" i="6" s="1"/>
  <c r="AC182" i="6"/>
  <c r="AB18" i="6"/>
  <c r="AC18" i="6" s="1"/>
  <c r="AB627" i="6"/>
  <c r="AC627" i="6" s="1"/>
  <c r="AC232" i="6"/>
  <c r="AB409" i="6"/>
  <c r="AC409" i="6" s="1"/>
  <c r="AB925" i="6"/>
  <c r="AC925" i="6" s="1"/>
  <c r="AB706" i="6"/>
  <c r="AC706" i="6" s="1"/>
  <c r="AB410" i="6"/>
  <c r="AC410" i="6" s="1"/>
  <c r="AB740" i="6"/>
  <c r="AC420" i="6"/>
  <c r="AC617" i="6"/>
  <c r="AB110" i="6"/>
  <c r="AC110" i="6" s="1"/>
  <c r="AC927" i="6"/>
  <c r="AC777" i="6"/>
  <c r="AC99" i="6"/>
  <c r="AB452" i="6"/>
  <c r="AC452" i="6" s="1"/>
  <c r="AB206" i="6"/>
  <c r="AC206" i="6" s="1"/>
  <c r="AC198" i="6"/>
  <c r="AC720" i="6"/>
  <c r="AB36" i="6"/>
  <c r="AC36" i="6" s="1"/>
  <c r="AB885" i="6"/>
  <c r="AC885" i="6" s="1"/>
  <c r="AC277" i="6"/>
  <c r="AC341" i="6"/>
  <c r="S6" i="6"/>
  <c r="T6" i="6" s="1"/>
  <c r="U6" i="6" s="1"/>
  <c r="AC461" i="6"/>
  <c r="AC722" i="6"/>
  <c r="AC724" i="6"/>
  <c r="AC132" i="6"/>
  <c r="AC153" i="6"/>
  <c r="AC504" i="6"/>
  <c r="AB278" i="6"/>
  <c r="AC278" i="6" s="1"/>
  <c r="AB545" i="6"/>
  <c r="AC545" i="6" s="1"/>
  <c r="AC54" i="6"/>
  <c r="AC471" i="6"/>
  <c r="AB117" i="6"/>
  <c r="AC117" i="6"/>
  <c r="AC909" i="6"/>
  <c r="AB118" i="6"/>
  <c r="AC118" i="6" s="1"/>
  <c r="AC48" i="6"/>
  <c r="AB508" i="6"/>
  <c r="AC508" i="6" s="1"/>
  <c r="AC355" i="6"/>
  <c r="AB24" i="6"/>
  <c r="AC24" i="6" s="1"/>
  <c r="AB140" i="6"/>
  <c r="AC140" i="6" s="1"/>
  <c r="AC479" i="6"/>
  <c r="AB948" i="6"/>
  <c r="AC948" i="6" s="1"/>
  <c r="AC800" i="6"/>
  <c r="AC688" i="6"/>
  <c r="AC819" i="6"/>
  <c r="AC979" i="6"/>
  <c r="AC719" i="6"/>
  <c r="AB797" i="6"/>
  <c r="AC797" i="6" s="1"/>
  <c r="AB189" i="6"/>
  <c r="AC189" i="6" s="1"/>
  <c r="AC796" i="6"/>
  <c r="AC311" i="6"/>
  <c r="AC788" i="6"/>
  <c r="AB986" i="6"/>
  <c r="AC986" i="6"/>
  <c r="AC250" i="6"/>
  <c r="AB593" i="6"/>
  <c r="AC593" i="6" s="1"/>
  <c r="AC230" i="6"/>
  <c r="AC88" i="6"/>
  <c r="AC185" i="6"/>
  <c r="AB503" i="6"/>
  <c r="AC503" i="6" s="1"/>
  <c r="AC425" i="6"/>
  <c r="AC253" i="6"/>
  <c r="AC794" i="6"/>
  <c r="AB56" i="6"/>
  <c r="AC56" i="6" s="1"/>
  <c r="AC363" i="6"/>
  <c r="AC336" i="6"/>
  <c r="AC28" i="6"/>
  <c r="AC314" i="6"/>
  <c r="AC899" i="6"/>
  <c r="AB200" i="6"/>
  <c r="AC200" i="6" s="1"/>
  <c r="AC94" i="6"/>
  <c r="AC300" i="6"/>
  <c r="AC38" i="6"/>
  <c r="AC832" i="6"/>
  <c r="AC389" i="6"/>
  <c r="AC552" i="6"/>
  <c r="AC728" i="6"/>
  <c r="AC82" i="6"/>
  <c r="AC580" i="6"/>
  <c r="AC847" i="6"/>
  <c r="AC349" i="6"/>
  <c r="AC663" i="6"/>
  <c r="AC978" i="6"/>
  <c r="AC385" i="6"/>
  <c r="AC992" i="6"/>
  <c r="AC873" i="6"/>
  <c r="AB12" i="6" l="1"/>
  <c r="AC12" i="6"/>
  <c r="S12" i="6" s="1"/>
  <c r="T12" i="6" s="1"/>
  <c r="U12" i="6" s="1"/>
  <c r="I12" i="1"/>
  <c r="C20" i="1"/>
  <c r="C18" i="1"/>
  <c r="C25" i="1"/>
  <c r="C26" i="1"/>
  <c r="U5" i="6"/>
  <c r="C10" i="1"/>
  <c r="C8" i="1"/>
  <c r="C22" i="1"/>
  <c r="C21" i="1"/>
</calcChain>
</file>

<file path=xl/sharedStrings.xml><?xml version="1.0" encoding="utf-8"?>
<sst xmlns="http://schemas.openxmlformats.org/spreadsheetml/2006/main" count="416" uniqueCount="250">
  <si>
    <t>DASHBOARD</t>
  </si>
  <si>
    <t>Micro-obiettivo v5: KPI + grafici (STORICO_STAMPE + SCARTI).</t>
  </si>
  <si>
    <t>Lavori registrati (OK + Parziale)</t>
  </si>
  <si>
    <t>Consumo per materiale (g)</t>
  </si>
  <si>
    <t>Costo totale per mese (€)</t>
  </si>
  <si>
    <t>Preventivi registrati</t>
  </si>
  <si>
    <t>Materiale</t>
  </si>
  <si>
    <t>Grammi</t>
  </si>
  <si>
    <t>Mese</t>
  </si>
  <si>
    <t>Costo €</t>
  </si>
  <si>
    <t>Ore stampa totali (OK + Parziale)</t>
  </si>
  <si>
    <t>PLA</t>
  </si>
  <si>
    <t>2025-09</t>
  </si>
  <si>
    <t>Costo totale (OK + Parziale)</t>
  </si>
  <si>
    <t>PETG</t>
  </si>
  <si>
    <t>2025-10</t>
  </si>
  <si>
    <t>Ricavi stimati (OK + Parziale)</t>
  </si>
  <si>
    <t>ABS</t>
  </si>
  <si>
    <t>2025-11</t>
  </si>
  <si>
    <t>Margine stimato (OK + Parziale)</t>
  </si>
  <si>
    <t>ASA</t>
  </si>
  <si>
    <t>2025-12</t>
  </si>
  <si>
    <t>Costo scarti totale</t>
  </si>
  <si>
    <t>TPU</t>
  </si>
  <si>
    <t>2026-01</t>
  </si>
  <si>
    <t>NYLON</t>
  </si>
  <si>
    <t>2026-02</t>
  </si>
  <si>
    <t>Nota: i KPI considerano solo Stato=OK/Parziale per costi/ricavi. I preventivi restano a parte.</t>
  </si>
  <si>
    <t>KPI – Costi vs Margine</t>
  </si>
  <si>
    <t>Costo medio per pezzo (€)</t>
  </si>
  <si>
    <t>Ricavo medio per pezzo (€)</t>
  </si>
  <si>
    <t>Margine medio per pezzo (€)</t>
  </si>
  <si>
    <t>Margine medio %</t>
  </si>
  <si>
    <t>Incidenza costi su ricavi %</t>
  </si>
  <si>
    <t>KPI – Controllo Prezzi &amp; Perdite</t>
  </si>
  <si>
    <t>Margine medio per lavoro (€)</t>
  </si>
  <si>
    <t>% lavori in perdita (OK+Parziale)</t>
  </si>
  <si>
    <t>Scarti / Ricavi (%)</t>
  </si>
  <si>
    <t>SETTINGS</t>
  </si>
  <si>
    <t>Micro-obiettivo v1: parametri globali (celle blu = modificabili).</t>
  </si>
  <si>
    <t>Colori:</t>
  </si>
  <si>
    <t>Parametro</t>
  </si>
  <si>
    <t>Valore</t>
  </si>
  <si>
    <t>• Celle blu = input utente
• Celle grigie = calcolo automatico
• Rosso (riga) = Fallita
• Colonne nascoste nello storico = dettaglio costi</t>
  </si>
  <si>
    <t>Costo_kWh_€</t>
  </si>
  <si>
    <t>Costo_Manodopera_€/h</t>
  </si>
  <si>
    <t>Margine_%</t>
  </si>
  <si>
    <t>Overhead_%</t>
  </si>
  <si>
    <t>Liste per Select Box:</t>
  </si>
  <si>
    <t>Fattore_Rischio_%</t>
  </si>
  <si>
    <t>STATO_STAMPA</t>
  </si>
  <si>
    <t>OK</t>
  </si>
  <si>
    <t>MATERIALE</t>
  </si>
  <si>
    <t>Consumabili_€/stampa</t>
  </si>
  <si>
    <t>Parziale</t>
  </si>
  <si>
    <t>Soglia_filamento_basso_g</t>
  </si>
  <si>
    <t>Preventivo</t>
  </si>
  <si>
    <t>Fallita</t>
  </si>
  <si>
    <t>STATO_FILAMENTO</t>
  </si>
  <si>
    <t>Disponibile</t>
  </si>
  <si>
    <t>STATO_SCARTI</t>
  </si>
  <si>
    <t>In uso</t>
  </si>
  <si>
    <t>Scarto</t>
  </si>
  <si>
    <t>Finito</t>
  </si>
  <si>
    <t>In arrivo</t>
  </si>
  <si>
    <t>Da testare</t>
  </si>
  <si>
    <t>LISTE AGGIUNTIVE (dropdown)</t>
  </si>
  <si>
    <t>FASE_LAVORO</t>
  </si>
  <si>
    <t>Da stampare</t>
  </si>
  <si>
    <t>TIPO_SCARTO</t>
  </si>
  <si>
    <t>Errore slicing</t>
  </si>
  <si>
    <t>In stampa</t>
  </si>
  <si>
    <t>Distacco piatto</t>
  </si>
  <si>
    <t>Post-processing</t>
  </si>
  <si>
    <t>Supporti</t>
  </si>
  <si>
    <t>Pronto consegna</t>
  </si>
  <si>
    <t>Filamento</t>
  </si>
  <si>
    <t>Consegnato</t>
  </si>
  <si>
    <t>Hardware/AMS</t>
  </si>
  <si>
    <t>Altro</t>
  </si>
  <si>
    <t>IMPUTABILE_A</t>
  </si>
  <si>
    <t>Processo</t>
  </si>
  <si>
    <t>Macchina</t>
  </si>
  <si>
    <t>Umano</t>
  </si>
  <si>
    <t>Non determinato</t>
  </si>
  <si>
    <t>NOTE:</t>
  </si>
  <si>
    <t>• Le liste qui sono usate per i menu a tendina.
• Evito di inserire colonne “in mezzo” per non rompere le formule: le nuove colonne sono in coda alle tabelle.</t>
  </si>
  <si>
    <t>FILAMENTI_DB</t>
  </si>
  <si>
    <t>Micro-obiettivo v1: database filamenti + calcoli costo €/g e alert filamento basso.</t>
  </si>
  <si>
    <t>Filament_ID</t>
  </si>
  <si>
    <t>Marca</t>
  </si>
  <si>
    <t>Colore</t>
  </si>
  <si>
    <t>Diametro (mm)</t>
  </si>
  <si>
    <t>Peso_Bobina_g</t>
  </si>
  <si>
    <t>Prezzo_Bobina_€</t>
  </si>
  <si>
    <t>Costo_€/g</t>
  </si>
  <si>
    <t>Costo_€/kg</t>
  </si>
  <si>
    <t>Peso_Residuo_g</t>
  </si>
  <si>
    <t>Valore_Residuo_€</t>
  </si>
  <si>
    <t>Stato</t>
  </si>
  <si>
    <t>Data_Acquisto</t>
  </si>
  <si>
    <t>Note</t>
  </si>
  <si>
    <t>LISTE</t>
  </si>
  <si>
    <t>PLA-BLK-01</t>
  </si>
  <si>
    <t>eSun</t>
  </si>
  <si>
    <t>Nero</t>
  </si>
  <si>
    <t>2026-02-09</t>
  </si>
  <si>
    <t>Secco</t>
  </si>
  <si>
    <t>Da asciugare</t>
  </si>
  <si>
    <t>PC</t>
  </si>
  <si>
    <t>PVA</t>
  </si>
  <si>
    <t>HIPS</t>
  </si>
  <si>
    <t>STAMPANTI_DB</t>
  </si>
  <si>
    <t>Micro-obiettivo v1: database stampanti + calcolo costo macchina €/h.</t>
  </si>
  <si>
    <t>Printer_ID</t>
  </si>
  <si>
    <t>Modello</t>
  </si>
  <si>
    <t>Potenza_W</t>
  </si>
  <si>
    <t>Costo_Macchina_€</t>
  </si>
  <si>
    <t>Vita_Stimata_h</t>
  </si>
  <si>
    <t>Deprezzamento_€/h</t>
  </si>
  <si>
    <t>Manutenzione_€/h</t>
  </si>
  <si>
    <t>Extra_€/h</t>
  </si>
  <si>
    <t>Totale_macchina_€/h</t>
  </si>
  <si>
    <t>P2S</t>
  </si>
  <si>
    <t>Bambu Lab P2S Combo (AMS)</t>
  </si>
  <si>
    <t>PREVENTIVO</t>
  </si>
  <si>
    <t>Micro-obiettivo v1: preventivo funzionante (costo filamento preso dal DB + energia a 0,15€/kWh).</t>
  </si>
  <si>
    <t>INPUT</t>
  </si>
  <si>
    <t>OUTPUT</t>
  </si>
  <si>
    <t>Progetto</t>
  </si>
  <si>
    <t>Costo €/g</t>
  </si>
  <si>
    <t>Cliente</t>
  </si>
  <si>
    <t>Costo filamento</t>
  </si>
  <si>
    <t>Data</t>
  </si>
  <si>
    <t>Potenza stampante (W)</t>
  </si>
  <si>
    <t>Filamento (ID)</t>
  </si>
  <si>
    <t>Costo energia</t>
  </si>
  <si>
    <t>Stampante (ID)</t>
  </si>
  <si>
    <t>Costo macchina (€/h)</t>
  </si>
  <si>
    <t>Grammi richiesti (g)</t>
  </si>
  <si>
    <t>Costo usura/macchina</t>
  </si>
  <si>
    <t>Tempo stampa (ore)</t>
  </si>
  <si>
    <t>Costo manodopera</t>
  </si>
  <si>
    <t>Ore manodopera (opz.)</t>
  </si>
  <si>
    <t>Consumabili</t>
  </si>
  <si>
    <t>Subtotale</t>
  </si>
  <si>
    <t>ID lavoro (auto)</t>
  </si>
  <si>
    <t>Overhead</t>
  </si>
  <si>
    <t>NOTE / WORKFLOW</t>
  </si>
  <si>
    <t>Rischio</t>
  </si>
  <si>
    <t>• Per memorizzare un preventivo: usa la funzione Apps Script 'registraPreventivo()' (vedi tab APPS_SCRIPT).
• La funzione copia i valori dal PREVENTIVO in STORICO_STAMPE (prima riga libera) e scala automaticamente il residuo filamento.
• In STORICO_STAMPE lo Stato verrà salvato come 'Preventivo'. Potrai poi cambiare lo Stato in 'OK'/'Fallita' ecc.</t>
  </si>
  <si>
    <t>Costo totale</t>
  </si>
  <si>
    <t>Prezzo consigliato</t>
  </si>
  <si>
    <t>Margine stimato</t>
  </si>
  <si>
    <t>STORICO_STAMPE</t>
  </si>
  <si>
    <t>Compatto e leggibile: blu = input, grigio = calcoli. I dettagli costi sono nascosti (espandibili).</t>
  </si>
  <si>
    <t>Suggerimento: compila solo le colonne blu. I dettagli costi (colonne nascoste) servono per audit ma non per uso quotidiano.</t>
  </si>
  <si>
    <t>ID_Lavoro</t>
  </si>
  <si>
    <t>Stampante_ID</t>
  </si>
  <si>
    <t>Filamento_ID</t>
  </si>
  <si>
    <t>Grammi_per_pezzo</t>
  </si>
  <si>
    <t>Qta_pagati</t>
  </si>
  <si>
    <t>Qta_omaggio</t>
  </si>
  <si>
    <t>Qta_totale</t>
  </si>
  <si>
    <t>Grammi_totali</t>
  </si>
  <si>
    <t>Ore_stampa_tot</t>
  </si>
  <si>
    <t>Ore_manodopera_tot</t>
  </si>
  <si>
    <t>Prezzo_unitario_cliente</t>
  </si>
  <si>
    <t>Ricavo_cliente</t>
  </si>
  <si>
    <t>Costo_totale</t>
  </si>
  <si>
    <t>Margine_cliente</t>
  </si>
  <si>
    <t>Costo_filamento</t>
  </si>
  <si>
    <t>Costo_energia</t>
  </si>
  <si>
    <t>Costo_macchina</t>
  </si>
  <si>
    <t>Costo_manodopera</t>
  </si>
  <si>
    <t>Fase</t>
  </si>
  <si>
    <t>Sottobicchiere + logo</t>
  </si>
  <si>
    <t>Vineria</t>
  </si>
  <si>
    <t>SCARTI</t>
  </si>
  <si>
    <t>Micro-obiettivo v3: log scarti/fallimenti con costo stimato. Colonne blu = input.</t>
  </si>
  <si>
    <t>SCARTI = registro sprechi/fallimenti. Compila Tipo_scarto e Imputabile_a per analisi. Il costo scarto viene stimato automaticamente.</t>
  </si>
  <si>
    <t>Grammi persi</t>
  </si>
  <si>
    <t>Ore perse</t>
  </si>
  <si>
    <t>Motivo</t>
  </si>
  <si>
    <t>Costo stimato</t>
  </si>
  <si>
    <t>ID_Lavoro (link)</t>
  </si>
  <si>
    <t>Tipo_scarto</t>
  </si>
  <si>
    <t>Imputabile_a</t>
  </si>
  <si>
    <t>Costo_scarto</t>
  </si>
  <si>
    <t>P1S</t>
  </si>
  <si>
    <t>Test: distacco dal piatto</t>
  </si>
  <si>
    <t>HEX</t>
  </si>
  <si>
    <t>SUNLU</t>
  </si>
  <si>
    <t>Red</t>
  </si>
  <si>
    <t>#FF0400</t>
  </si>
  <si>
    <t>JAYO</t>
  </si>
  <si>
    <t>#000000</t>
  </si>
  <si>
    <t>PLA-BLK-02</t>
  </si>
  <si>
    <t>PLA-BLK-03</t>
  </si>
  <si>
    <t>PLA-WHT-04</t>
  </si>
  <si>
    <t>PLA-WHT-05</t>
  </si>
  <si>
    <t>PLA-WHT-06</t>
  </si>
  <si>
    <t>Bianco</t>
  </si>
  <si>
    <t>#FFFFFFF</t>
  </si>
  <si>
    <t>PLA-WHT-08</t>
  </si>
  <si>
    <t>PLA-RED-07</t>
  </si>
  <si>
    <t>White</t>
  </si>
  <si>
    <t>PLA+</t>
  </si>
  <si>
    <t>PLA-WHT-09</t>
  </si>
  <si>
    <t>PLA-WHT-10</t>
  </si>
  <si>
    <t>Red Fire</t>
  </si>
  <si>
    <t>#91202B</t>
  </si>
  <si>
    <t>https://3dfilamentprofiles.com/filament/details/70</t>
  </si>
  <si>
    <t>Tipo</t>
  </si>
  <si>
    <t>Plus</t>
  </si>
  <si>
    <t>Basic</t>
  </si>
  <si>
    <t>https://3dfilamentprofiles.com/filament/details/1407</t>
  </si>
  <si>
    <t>#F5FAFF</t>
  </si>
  <si>
    <t>https://3dfilamentprofiles.com/filament/details/1570</t>
  </si>
  <si>
    <t>Valerio</t>
  </si>
  <si>
    <t>Karak Mage</t>
  </si>
  <si>
    <t>Karak Warlock</t>
  </si>
  <si>
    <t>Karak Spartan</t>
  </si>
  <si>
    <t>Karak BallGirl</t>
  </si>
  <si>
    <t>PLA-YWL-11</t>
  </si>
  <si>
    <t>Giallo</t>
  </si>
  <si>
    <t>https://3dfilamentprofiles.com/filament/details/2589</t>
  </si>
  <si>
    <t>#FFFF00</t>
  </si>
  <si>
    <t>Karak Knight</t>
  </si>
  <si>
    <t>Karak Scout</t>
  </si>
  <si>
    <t>PLA-GRY-12</t>
  </si>
  <si>
    <t>Grigio</t>
  </si>
  <si>
    <t>#636767</t>
  </si>
  <si>
    <t>https://3dfilamentprofiles.com/filament/details/1193</t>
  </si>
  <si>
    <t>Verde Oliva</t>
  </si>
  <si>
    <t>#557242</t>
  </si>
  <si>
    <t>https://3dfilamentprofiles.com/filament/details/10012</t>
  </si>
  <si>
    <t>PLA-GRN-13</t>
  </si>
  <si>
    <t>Portachiavi Croce + Frase</t>
  </si>
  <si>
    <t>Ludovica</t>
  </si>
  <si>
    <t>PLA-BLK-14</t>
  </si>
  <si>
    <t xml:space="preserve">SUNLU </t>
  </si>
  <si>
    <t>PLA-BLK-15</t>
  </si>
  <si>
    <t>PLUS</t>
  </si>
  <si>
    <t>Allocazione</t>
  </si>
  <si>
    <t>N/A</t>
  </si>
  <si>
    <t>AMS</t>
  </si>
  <si>
    <t>Mobile Balcone</t>
  </si>
  <si>
    <t>Mobile Stampante</t>
  </si>
  <si>
    <t>Scatola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</si>
</sst>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&quot;€&quot;"/>
    <numFmt numFmtId="165" formatCode="0.000&quot;€&quot;"/>
    <numFmt numFmtId="166" formatCode="yyyy\-mm\-dd"/>
  </numFmts>
  <fonts count="17" x14ac:knownFonts="1">
    <font>
      <sz val="11"/>
      <color theme="1"/>
      <name val="Calibri"/>
      <family val="2"/>
      <scheme val="minor"/>
    </font>
    <font>
      <sz val="10"/>
      <color rgb="FF444444"/>
      <name val="Calibri"/>
      <family val="2"/>
    </font>
    <font>
      <b/>
      <sz val="11"/>
      <color rgb="FFFFFFFF"/>
      <name val="Calibri"/>
      <family val="2"/>
    </font>
    <font>
      <sz val="11"/>
      <color rgb="FF0000FF"/>
      <name val="Calibri"/>
      <family val="2"/>
    </font>
    <font>
      <b/>
      <sz val="11"/>
      <color rgb="FF1F4E79"/>
      <name val="Calibri"/>
      <family val="2"/>
    </font>
    <font>
      <sz val="11"/>
      <color rgb="FF000000"/>
      <name val="Calibri"/>
      <family val="2"/>
    </font>
    <font>
      <b/>
      <sz val="11"/>
      <color rgb="FF333333"/>
      <name val="Calibri"/>
      <family val="2"/>
    </font>
    <font>
      <b/>
      <sz val="11"/>
      <color rgb="FF1F4E79"/>
      <name val="Calibri"/>
      <family val="2"/>
    </font>
    <font>
      <b/>
      <sz val="11"/>
      <color rgb="FFFFFFFF"/>
      <name val="Calibri"/>
      <family val="2"/>
    </font>
    <font>
      <b/>
      <sz val="14"/>
      <color rgb="FF1F4E79"/>
      <name val="Calibri"/>
      <family val="2"/>
    </font>
    <font>
      <sz val="11"/>
      <color rgb="FF1F4E79"/>
      <name val="Calibri"/>
      <family val="2"/>
    </font>
    <font>
      <b/>
      <sz val="11"/>
      <color rgb="FF1F4E79"/>
      <name val="Calibri"/>
      <family val="2"/>
    </font>
    <font>
      <b/>
      <sz val="11"/>
      <color rgb="FFFFFFFF"/>
      <name val="Calibri"/>
      <family val="2"/>
    </font>
    <font>
      <b/>
      <sz val="11"/>
      <name val="Calibri"/>
      <family val="2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9E8FF"/>
      </patternFill>
    </fill>
    <fill>
      <patternFill patternType="solid">
        <fgColor rgb="FFFFF2CC"/>
      </patternFill>
    </fill>
    <fill>
      <patternFill patternType="solid">
        <fgColor rgb="FFF2F2F2"/>
      </patternFill>
    </fill>
    <fill>
      <patternFill patternType="solid">
        <fgColor rgb="FFE7EFFA"/>
      </patternFill>
    </fill>
    <fill>
      <patternFill patternType="solid">
        <fgColor rgb="FFE7EFFA"/>
      </patternFill>
    </fill>
    <fill>
      <patternFill patternType="solid">
        <fgColor rgb="FFFFF2CC"/>
      </patternFill>
    </fill>
    <fill>
      <patternFill patternType="solid">
        <fgColor rgb="FF1F4E79"/>
      </patternFill>
    </fill>
    <fill>
      <patternFill patternType="solid">
        <fgColor rgb="FFF2F6FC"/>
      </patternFill>
    </fill>
    <fill>
      <patternFill patternType="solid">
        <fgColor rgb="FFE7EFFA"/>
      </patternFill>
    </fill>
    <fill>
      <patternFill patternType="solid">
        <fgColor rgb="FFFFF2CC"/>
      </patternFill>
    </fill>
    <fill>
      <patternFill patternType="solid">
        <fgColor rgb="FF1F4E79"/>
      </patternFill>
    </fill>
    <fill>
      <patternFill patternType="solid">
        <fgColor rgb="FFF2F2F2"/>
      </patternFill>
    </fill>
  </fills>
  <borders count="23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/>
      <right/>
      <top style="thin">
        <color rgb="FFD0D0D0"/>
      </top>
      <bottom/>
      <diagonal/>
    </border>
    <border>
      <left/>
      <right style="thin">
        <color rgb="FFD0D0D0"/>
      </right>
      <top style="thin">
        <color rgb="FFD0D0D0"/>
      </top>
      <bottom/>
      <diagonal/>
    </border>
    <border>
      <left/>
      <right/>
      <top style="thin">
        <color rgb="FFD0D0D0"/>
      </top>
      <bottom style="thin">
        <color rgb="FFD0D0D0"/>
      </bottom>
      <diagonal/>
    </border>
    <border>
      <left/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/>
      <top/>
      <bottom/>
      <diagonal/>
    </border>
    <border>
      <left/>
      <right style="thin">
        <color rgb="FFD0D0D0"/>
      </right>
      <top/>
      <bottom/>
      <diagonal/>
    </border>
    <border>
      <left style="thin">
        <color rgb="FFD0D0D0"/>
      </left>
      <right/>
      <top/>
      <bottom style="thin">
        <color rgb="FFD0D0D0"/>
      </bottom>
      <diagonal/>
    </border>
    <border>
      <left/>
      <right/>
      <top/>
      <bottom style="thin">
        <color rgb="FFD0D0D0"/>
      </bottom>
      <diagonal/>
    </border>
    <border>
      <left/>
      <right style="thin">
        <color rgb="FFD0D0D0"/>
      </right>
      <top/>
      <bottom style="thin">
        <color rgb="FFD0D0D0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/>
      <right/>
      <top style="thin">
        <color rgb="FFD0D0D0"/>
      </top>
      <bottom/>
      <diagonal/>
    </border>
    <border>
      <left/>
      <right style="thin">
        <color rgb="FFD0D0D0"/>
      </right>
      <top style="thin">
        <color rgb="FFD0D0D0"/>
      </top>
      <bottom/>
      <diagonal/>
    </border>
    <border>
      <left/>
      <right/>
      <top style="thin">
        <color rgb="FFD0D0D0"/>
      </top>
      <bottom style="thin">
        <color rgb="FFD0D0D0"/>
      </bottom>
      <diagonal/>
    </border>
    <border>
      <left/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/>
      <top/>
      <bottom/>
      <diagonal/>
    </border>
    <border>
      <left/>
      <right style="thin">
        <color rgb="FFD0D0D0"/>
      </right>
      <top/>
      <bottom/>
      <diagonal/>
    </border>
    <border>
      <left style="thin">
        <color rgb="FFD0D0D0"/>
      </left>
      <right/>
      <top/>
      <bottom style="thin">
        <color rgb="FFD0D0D0"/>
      </bottom>
      <diagonal/>
    </border>
    <border>
      <left/>
      <right/>
      <top/>
      <bottom style="thin">
        <color rgb="FFD0D0D0"/>
      </bottom>
      <diagonal/>
    </border>
    <border>
      <left/>
      <right style="thin">
        <color rgb="FFD0D0D0"/>
      </right>
      <top/>
      <bottom style="thin">
        <color rgb="FFD0D0D0"/>
      </bottom>
      <diagonal/>
    </border>
  </borders>
  <cellStyleXfs count="2">
    <xf numFmtId="0" fontId="0" fillId="0" borderId="2"/>
    <xf numFmtId="0" fontId="14" fillId="0" borderId="2" applyNumberFormat="0" applyFill="0" applyBorder="0" applyAlignment="0" applyProtection="0"/>
  </cellStyleXfs>
  <cellXfs count="79">
    <xf numFmtId="0" fontId="0" fillId="0" borderId="0" xfId="0" applyBorder="1"/>
    <xf numFmtId="0" fontId="2" fillId="2" borderId="1" xfId="0" applyFont="1" applyFill="1" applyBorder="1" applyAlignment="1">
      <alignment horizontal="center" vertical="center" wrapText="1"/>
    </xf>
    <xf numFmtId="0" fontId="4" fillId="0" borderId="0" xfId="0" applyFont="1" applyBorder="1"/>
    <xf numFmtId="0" fontId="0" fillId="0" borderId="1" xfId="0" applyBorder="1" applyAlignment="1">
      <alignment horizontal="left" vertical="center" wrapText="1"/>
    </xf>
    <xf numFmtId="164" fontId="3" fillId="3" borderId="1" xfId="0" applyNumberFormat="1" applyFont="1" applyFill="1" applyBorder="1" applyAlignment="1">
      <alignment horizontal="right" vertical="center" wrapText="1"/>
    </xf>
    <xf numFmtId="9" fontId="3" fillId="3" borderId="1" xfId="0" applyNumberFormat="1" applyFont="1" applyFill="1" applyBorder="1" applyAlignment="1">
      <alignment horizontal="right" vertical="center" wrapText="1"/>
    </xf>
    <xf numFmtId="1" fontId="3" fillId="3" borderId="1" xfId="0" applyNumberFormat="1" applyFont="1" applyFill="1" applyBorder="1" applyAlignment="1">
      <alignment horizontal="right" vertical="center" wrapText="1"/>
    </xf>
    <xf numFmtId="0" fontId="3" fillId="3" borderId="1" xfId="0" applyFont="1" applyFill="1" applyBorder="1" applyAlignment="1">
      <alignment horizontal="left" vertical="center" wrapText="1"/>
    </xf>
    <xf numFmtId="2" fontId="3" fillId="3" borderId="1" xfId="0" applyNumberFormat="1" applyFont="1" applyFill="1" applyBorder="1" applyAlignment="1">
      <alignment horizontal="right" vertical="center" wrapText="1"/>
    </xf>
    <xf numFmtId="165" fontId="5" fillId="5" borderId="1" xfId="0" applyNumberFormat="1" applyFont="1" applyFill="1" applyBorder="1" applyAlignment="1">
      <alignment horizontal="right" vertical="center" wrapText="1"/>
    </xf>
    <xf numFmtId="164" fontId="5" fillId="5" borderId="1" xfId="0" applyNumberFormat="1" applyFont="1" applyFill="1" applyBorder="1" applyAlignment="1">
      <alignment horizontal="right" vertical="center" wrapText="1"/>
    </xf>
    <xf numFmtId="0" fontId="3" fillId="3" borderId="1" xfId="0" applyFont="1" applyFill="1" applyBorder="1" applyAlignment="1">
      <alignment horizontal="right" vertical="center" wrapText="1"/>
    </xf>
    <xf numFmtId="165" fontId="3" fillId="3" borderId="1" xfId="0" applyNumberFormat="1" applyFont="1" applyFill="1" applyBorder="1" applyAlignment="1">
      <alignment horizontal="right" vertical="center" wrapText="1"/>
    </xf>
    <xf numFmtId="0" fontId="4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166" fontId="3" fillId="3" borderId="1" xfId="0" applyNumberFormat="1" applyFont="1" applyFill="1" applyBorder="1" applyAlignment="1">
      <alignment horizontal="left" vertical="center" wrapText="1"/>
    </xf>
    <xf numFmtId="1" fontId="5" fillId="5" borderId="1" xfId="0" applyNumberFormat="1" applyFont="1" applyFill="1" applyBorder="1" applyAlignment="1">
      <alignment horizontal="right" vertical="center" wrapText="1"/>
    </xf>
    <xf numFmtId="166" fontId="3" fillId="3" borderId="1" xfId="0" applyNumberFormat="1" applyFont="1" applyFill="1" applyBorder="1" applyAlignment="1">
      <alignment horizontal="right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2" fillId="0" borderId="2" xfId="0" applyFont="1" applyAlignment="1">
      <alignment horizontal="center" vertical="center" wrapText="1"/>
    </xf>
    <xf numFmtId="2" fontId="5" fillId="5" borderId="1" xfId="0" applyNumberFormat="1" applyFont="1" applyFill="1" applyBorder="1" applyAlignment="1">
      <alignment horizontal="right" vertical="center" wrapText="1"/>
    </xf>
    <xf numFmtId="1" fontId="0" fillId="0" borderId="1" xfId="0" applyNumberFormat="1" applyBorder="1" applyAlignment="1">
      <alignment horizontal="right" vertical="center" wrapText="1"/>
    </xf>
    <xf numFmtId="164" fontId="0" fillId="0" borderId="1" xfId="0" applyNumberFormat="1" applyBorder="1" applyAlignment="1">
      <alignment horizontal="right" vertical="center" wrapText="1"/>
    </xf>
    <xf numFmtId="164" fontId="0" fillId="0" borderId="0" xfId="0" applyNumberFormat="1" applyBorder="1"/>
    <xf numFmtId="9" fontId="5" fillId="5" borderId="1" xfId="0" applyNumberFormat="1" applyFont="1" applyFill="1" applyBorder="1" applyAlignment="1">
      <alignment horizontal="right" vertical="center" wrapText="1"/>
    </xf>
    <xf numFmtId="166" fontId="0" fillId="0" borderId="0" xfId="0" applyNumberFormat="1" applyBorder="1"/>
    <xf numFmtId="2" fontId="0" fillId="0" borderId="0" xfId="0" applyNumberFormat="1" applyBorder="1"/>
    <xf numFmtId="1" fontId="0" fillId="0" borderId="0" xfId="0" applyNumberFormat="1" applyBorder="1"/>
    <xf numFmtId="9" fontId="0" fillId="0" borderId="0" xfId="0" applyNumberFormat="1" applyBorder="1"/>
    <xf numFmtId="0" fontId="4" fillId="0" borderId="1" xfId="0" applyFont="1" applyBorder="1" applyAlignment="1">
      <alignment vertical="top" wrapText="1"/>
    </xf>
    <xf numFmtId="0" fontId="7" fillId="0" borderId="0" xfId="0" applyFont="1" applyBorder="1"/>
    <xf numFmtId="0" fontId="7" fillId="0" borderId="3" xfId="0" applyFont="1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8" fillId="9" borderId="3" xfId="0" applyFont="1" applyFill="1" applyBorder="1" applyAlignment="1">
      <alignment horizontal="center" vertical="center" wrapText="1"/>
    </xf>
    <xf numFmtId="0" fontId="11" fillId="11" borderId="13" xfId="0" applyFont="1" applyFill="1" applyBorder="1" applyAlignment="1">
      <alignment horizontal="left" vertical="center" wrapText="1"/>
    </xf>
    <xf numFmtId="164" fontId="13" fillId="14" borderId="13" xfId="0" applyNumberFormat="1" applyFont="1" applyFill="1" applyBorder="1" applyAlignment="1">
      <alignment horizontal="right" vertical="center"/>
    </xf>
    <xf numFmtId="9" fontId="13" fillId="14" borderId="13" xfId="0" applyNumberFormat="1" applyFont="1" applyFill="1" applyBorder="1" applyAlignment="1">
      <alignment horizontal="right" vertical="center"/>
    </xf>
    <xf numFmtId="0" fontId="11" fillId="0" borderId="0" xfId="0" applyFont="1" applyBorder="1"/>
    <xf numFmtId="0" fontId="0" fillId="0" borderId="13" xfId="0" applyBorder="1"/>
    <xf numFmtId="0" fontId="12" fillId="13" borderId="13" xfId="0" applyFont="1" applyFill="1" applyBorder="1" applyAlignment="1">
      <alignment horizontal="center" vertical="center" wrapText="1"/>
    </xf>
    <xf numFmtId="0" fontId="0" fillId="0" borderId="2" xfId="0"/>
    <xf numFmtId="0" fontId="4" fillId="0" borderId="17" xfId="0" applyFont="1" applyBorder="1" applyAlignment="1">
      <alignment vertical="top" wrapText="1"/>
    </xf>
    <xf numFmtId="0" fontId="2" fillId="2" borderId="13" xfId="0" applyFont="1" applyFill="1" applyBorder="1" applyAlignment="1">
      <alignment horizontal="center" vertical="center" wrapText="1"/>
    </xf>
    <xf numFmtId="0" fontId="3" fillId="3" borderId="13" xfId="0" applyFont="1" applyFill="1" applyBorder="1" applyAlignment="1">
      <alignment horizontal="left" vertical="center" wrapText="1"/>
    </xf>
    <xf numFmtId="14" fontId="3" fillId="3" borderId="1" xfId="0" applyNumberFormat="1" applyFont="1" applyFill="1" applyBorder="1" applyAlignment="1">
      <alignment horizontal="right" vertical="center" wrapText="1"/>
    </xf>
    <xf numFmtId="1" fontId="3" fillId="3" borderId="13" xfId="0" applyNumberFormat="1" applyFont="1" applyFill="1" applyBorder="1" applyAlignment="1">
      <alignment horizontal="right" vertical="center" wrapText="1"/>
    </xf>
    <xf numFmtId="0" fontId="14" fillId="3" borderId="1" xfId="1" applyFill="1" applyBorder="1" applyAlignment="1">
      <alignment horizontal="left" vertical="center" wrapText="1"/>
    </xf>
    <xf numFmtId="1" fontId="16" fillId="5" borderId="1" xfId="0" applyNumberFormat="1" applyFont="1" applyFill="1" applyBorder="1" applyAlignment="1">
      <alignment horizontal="right" vertical="center" wrapText="1"/>
    </xf>
    <xf numFmtId="0" fontId="9" fillId="7" borderId="3" xfId="0" applyFont="1" applyFill="1" applyBorder="1" applyAlignment="1">
      <alignment horizontal="left" vertical="center" wrapText="1"/>
    </xf>
    <xf numFmtId="0" fontId="0" fillId="0" borderId="6" xfId="0" applyBorder="1"/>
    <xf numFmtId="0" fontId="0" fillId="0" borderId="7" xfId="0" applyBorder="1"/>
    <xf numFmtId="0" fontId="11" fillId="11" borderId="13" xfId="0" applyFont="1" applyFill="1" applyBorder="1"/>
    <xf numFmtId="0" fontId="0" fillId="0" borderId="17" xfId="0" applyBorder="1"/>
    <xf numFmtId="0" fontId="0" fillId="4" borderId="3" xfId="0" applyFill="1" applyBorder="1" applyAlignment="1">
      <alignment vertical="top" wrapText="1"/>
    </xf>
    <xf numFmtId="0" fontId="4" fillId="6" borderId="3" xfId="0" applyFont="1" applyFill="1" applyBorder="1"/>
    <xf numFmtId="0" fontId="11" fillId="11" borderId="13" xfId="0" applyFont="1" applyFill="1" applyBorder="1" applyAlignment="1">
      <alignment horizontal="left" vertical="center" wrapText="1"/>
    </xf>
    <xf numFmtId="0" fontId="10" fillId="10" borderId="3" xfId="0" applyFont="1" applyFill="1" applyBorder="1" applyAlignment="1">
      <alignment horizontal="left" vertical="center" wrapText="1"/>
    </xf>
    <xf numFmtId="0" fontId="4" fillId="8" borderId="3" xfId="0" applyFont="1" applyFill="1" applyBorder="1" applyAlignment="1">
      <alignment horizontal="left" vertical="top" wrapText="1"/>
    </xf>
    <xf numFmtId="0" fontId="0" fillId="0" borderId="4" xfId="0" applyBorder="1"/>
    <xf numFmtId="0" fontId="0" fillId="0" borderId="5" xfId="0" applyBorder="1"/>
    <xf numFmtId="0" fontId="0" fillId="0" borderId="8" xfId="0" applyBorder="1"/>
    <xf numFmtId="0" fontId="0" fillId="0" borderId="0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12" borderId="13" xfId="0" applyFill="1" applyBorder="1" applyAlignment="1">
      <alignment horizontal="left" vertical="top" wrapText="1"/>
    </xf>
    <xf numFmtId="0" fontId="0" fillId="0" borderId="14" xfId="0" applyBorder="1"/>
    <xf numFmtId="0" fontId="0" fillId="0" borderId="15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11" borderId="13" xfId="0" applyFill="1" applyBorder="1"/>
    <xf numFmtId="0" fontId="1" fillId="0" borderId="4" xfId="0" applyFont="1" applyBorder="1" applyAlignment="1">
      <alignment horizontal="left" vertical="center" wrapText="1"/>
    </xf>
    <xf numFmtId="0" fontId="0" fillId="0" borderId="16" xfId="0" applyBorder="1"/>
    <xf numFmtId="0" fontId="1" fillId="0" borderId="4" xfId="0" applyFont="1" applyBorder="1" applyAlignment="1">
      <alignment vertical="center" wrapText="1"/>
    </xf>
    <xf numFmtId="0" fontId="0" fillId="0" borderId="2" xfId="0" applyBorder="1"/>
  </cellXfs>
  <cellStyles count="2">
    <cellStyle name="Collegamento ipertestuale" xfId="1" builtinId="8"/>
    <cellStyle name="Normale" xfId="0" builtinId="0"/>
  </cellStyles>
  <dxfs count="4">
    <dxf>
      <fill>
        <patternFill patternType="solid">
          <fgColor rgb="FFF8CBAD"/>
        </patternFill>
      </fill>
    </dxf>
    <dxf>
      <fill>
        <patternFill patternType="solid">
          <fgColor rgb="FFF8CBAD"/>
        </patternFill>
      </fill>
    </dxf>
    <dxf>
      <fill>
        <patternFill patternType="solid">
          <fgColor rgb="FFF8CBAD"/>
        </patternFill>
      </fill>
    </dxf>
    <dxf>
      <fill>
        <patternFill patternType="solid">
          <fgColor rgb="FFF8CBAD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it-IT"/>
              <a:t>Consumo per materiale (g)</a:t>
            </a:r>
          </a:p>
        </c:rich>
      </c:tx>
      <c:layout>
        <c:manualLayout>
          <c:xMode val="edge"/>
          <c:yMode val="edge"/>
          <c:x val="2.355718200423183E-2"/>
          <c:y val="3.4602076124567477E-2"/>
        </c:manualLayout>
      </c:layout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DASHBOARD!$F$6</c:f>
              <c:strCache>
                <c:ptCount val="1"/>
                <c:pt idx="0">
                  <c:v>Grammi</c:v>
                </c:pt>
              </c:strCache>
            </c:strRef>
          </c:tx>
          <c:spPr>
            <a:ln>
              <a:prstDash val="solid"/>
            </a:ln>
          </c:spPr>
          <c:cat>
            <c:strRef>
              <c:f>DASHBOARD!$E$7:$E$12</c:f>
              <c:strCache>
                <c:ptCount val="6"/>
                <c:pt idx="0">
                  <c:v>PLA</c:v>
                </c:pt>
                <c:pt idx="1">
                  <c:v>PETG</c:v>
                </c:pt>
                <c:pt idx="2">
                  <c:v>ABS</c:v>
                </c:pt>
                <c:pt idx="3">
                  <c:v>ASA</c:v>
                </c:pt>
                <c:pt idx="4">
                  <c:v>TPU</c:v>
                </c:pt>
                <c:pt idx="5">
                  <c:v>NYLON</c:v>
                </c:pt>
              </c:strCache>
            </c:strRef>
          </c:cat>
          <c:val>
            <c:numRef>
              <c:f>DASHBOARD!$F$7:$F$12</c:f>
              <c:numCache>
                <c:formatCode>0</c:formatCode>
                <c:ptCount val="6"/>
                <c:pt idx="0">
                  <c:v>632.3900000000001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3E-3E48-B44A-BF6431C713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it-IT"/>
              <a:t>Costo totale per mese (€)</a:t>
            </a:r>
          </a:p>
        </c:rich>
      </c:tx>
      <c:layout>
        <c:manualLayout>
          <c:xMode val="edge"/>
          <c:yMode val="edge"/>
          <c:x val="2.1918465227817711E-2"/>
          <c:y val="3.4482758620689648E-2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2.6378896882494E-2"/>
          <c:y val="0.15517241379310351"/>
          <c:w val="0.78062350119904078"/>
          <c:h val="0.80689655172413788"/>
        </c:manualLayout>
      </c:layout>
      <c:lineChart>
        <c:grouping val="standard"/>
        <c:varyColors val="1"/>
        <c:ser>
          <c:idx val="0"/>
          <c:order val="0"/>
          <c:tx>
            <c:strRef>
              <c:f>DASHBOARD!$I$6</c:f>
              <c:strCache>
                <c:ptCount val="1"/>
                <c:pt idx="0">
                  <c:v>Costo €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DASHBOARD!$H$7:$H$12</c:f>
              <c:strCache>
                <c:ptCount val="6"/>
                <c:pt idx="0">
                  <c:v>2025-09</c:v>
                </c:pt>
                <c:pt idx="1">
                  <c:v>2025-10</c:v>
                </c:pt>
                <c:pt idx="2">
                  <c:v>2025-11</c:v>
                </c:pt>
                <c:pt idx="3">
                  <c:v>2025-12</c:v>
                </c:pt>
                <c:pt idx="4">
                  <c:v>2026-01</c:v>
                </c:pt>
                <c:pt idx="5">
                  <c:v>2026-02</c:v>
                </c:pt>
              </c:strCache>
            </c:strRef>
          </c:cat>
          <c:val>
            <c:numRef>
              <c:f>DASHBOARD!$I$7:$I$12</c:f>
              <c:numCache>
                <c:formatCode>0.00"€"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36.322374781636363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51B-384A-BBF0-3C19E06BC7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numFmt formatCode="0.00&quot;€&quot;" sourceLinked="1"/>
        <c:majorTickMark val="out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469900</xdr:colOff>
      <xdr:row>12</xdr:row>
      <xdr:rowOff>317500</xdr:rowOff>
    </xdr:from>
    <xdr:ext cx="5765800" cy="36703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11</xdr:col>
      <xdr:colOff>57150</xdr:colOff>
      <xdr:row>12</xdr:row>
      <xdr:rowOff>314325</xdr:rowOff>
    </xdr:from>
    <xdr:ext cx="5295900" cy="3683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3dfilamentprofiles.com/filament/details/1407" TargetMode="External"/><Relationship Id="rId2" Type="http://schemas.openxmlformats.org/officeDocument/2006/relationships/hyperlink" Target="https://3dfilamentprofiles.com/filament/details/1407" TargetMode="External"/><Relationship Id="rId1" Type="http://schemas.openxmlformats.org/officeDocument/2006/relationships/hyperlink" Target="https://3dfilamentprofiles.com/filament/details/70" TargetMode="External"/><Relationship Id="rId6" Type="http://schemas.openxmlformats.org/officeDocument/2006/relationships/hyperlink" Target="https://3dfilamentprofiles.com/filament/details/10012" TargetMode="External"/><Relationship Id="rId5" Type="http://schemas.openxmlformats.org/officeDocument/2006/relationships/hyperlink" Target="https://3dfilamentprofiles.com/filament/details/1193" TargetMode="External"/><Relationship Id="rId4" Type="http://schemas.openxmlformats.org/officeDocument/2006/relationships/hyperlink" Target="https://3dfilamentprofiles.com/filament/details/258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A1:I27"/>
  <sheetViews>
    <sheetView showGridLines="0" workbookViewId="0">
      <pane ySplit="4" topLeftCell="A5" activePane="bottomLeft" state="frozen"/>
      <selection pane="bottomLeft" activeCell="C11" sqref="C11"/>
    </sheetView>
  </sheetViews>
  <sheetFormatPr baseColWidth="10" defaultColWidth="8.83203125" defaultRowHeight="15" x14ac:dyDescent="0.2"/>
  <cols>
    <col min="1" max="1" width="4.1640625" style="40" customWidth="1"/>
    <col min="2" max="2" width="43.83203125" bestFit="1" customWidth="1"/>
    <col min="3" max="3" width="18" customWidth="1"/>
    <col min="4" max="4" width="2" customWidth="1"/>
    <col min="5" max="5" width="26" customWidth="1"/>
    <col min="6" max="6" width="14" customWidth="1"/>
    <col min="7" max="7" width="2" customWidth="1"/>
    <col min="8" max="8" width="26" customWidth="1"/>
    <col min="9" max="9" width="14" customWidth="1"/>
  </cols>
  <sheetData>
    <row r="1" spans="2:9" s="40" customFormat="1" x14ac:dyDescent="0.2"/>
    <row r="2" spans="2:9" ht="26" customHeight="1" x14ac:dyDescent="0.2">
      <c r="B2" s="48" t="s">
        <v>0</v>
      </c>
      <c r="C2" s="49"/>
      <c r="D2" s="49"/>
      <c r="E2" s="49"/>
      <c r="F2" s="49"/>
      <c r="G2" s="49"/>
      <c r="H2" s="49"/>
      <c r="I2" s="50"/>
    </row>
    <row r="3" spans="2:9" ht="18" customHeight="1" x14ac:dyDescent="0.2">
      <c r="B3" s="56" t="s">
        <v>1</v>
      </c>
      <c r="C3" s="49"/>
      <c r="D3" s="49"/>
      <c r="E3" s="49"/>
      <c r="F3" s="49"/>
      <c r="G3" s="49"/>
      <c r="H3" s="49"/>
      <c r="I3" s="50"/>
    </row>
    <row r="5" spans="2:9" ht="16" customHeight="1" x14ac:dyDescent="0.2">
      <c r="B5" s="41" t="s">
        <v>2</v>
      </c>
      <c r="C5" s="16">
        <f>COUNTIF(STORICO_STAMPE!E:E,"OK")+COUNTIF(STORICO_STAMPE!E:E,"Parziale")</f>
        <v>8</v>
      </c>
      <c r="E5" s="54" t="s">
        <v>3</v>
      </c>
      <c r="F5" s="50"/>
      <c r="H5" s="54" t="s">
        <v>4</v>
      </c>
      <c r="I5" s="50"/>
    </row>
    <row r="6" spans="2:9" ht="16" customHeight="1" x14ac:dyDescent="0.2">
      <c r="B6" s="29" t="s">
        <v>5</v>
      </c>
      <c r="C6" s="47">
        <f>COUNTIF(STORICO_STAMPE!E:E,"Preventivo")</f>
        <v>0</v>
      </c>
      <c r="D6" s="19"/>
      <c r="E6" s="1" t="s">
        <v>6</v>
      </c>
      <c r="F6" s="1" t="s">
        <v>7</v>
      </c>
      <c r="H6" s="1" t="s">
        <v>8</v>
      </c>
      <c r="I6" s="1" t="s">
        <v>9</v>
      </c>
    </row>
    <row r="7" spans="2:9" ht="16" customHeight="1" x14ac:dyDescent="0.2">
      <c r="B7" s="29" t="s">
        <v>10</v>
      </c>
      <c r="C7" s="20">
        <f>SUMIF(STORICO_STAMPE!E:E,"OK",STORICO_STAMPE!O:O)+SUMIF(STORICO_STAMPE!E:E,"Parziale",STORICO_STAMPE!O:O)</f>
        <v>28.290000000000003</v>
      </c>
      <c r="E7" s="3" t="s">
        <v>11</v>
      </c>
      <c r="F7" s="21">
        <f>SUMIFS(STORICO_STAMPE!$N:$N,STORICO_STAMPE!$H:$H,"PLA",STORICO_STAMPE!$E:$E,"OK")+SUMIFS(STORICO_STAMPE!$N:$N,STORICO_STAMPE!$H:$H,"PLA",STORICO_STAMPE!$E:$E,"Parziale")</f>
        <v>632.3900000000001</v>
      </c>
      <c r="H7" s="3" t="s">
        <v>12</v>
      </c>
      <c r="I7" s="22">
        <f>SUMIFS(STORICO_STAMPE!$S:$S,STORICO_STAMPE!$A:$A,"&gt;="&amp;DATE(2025,9,1),STORICO_STAMPE!$A:$A,"&lt;"&amp;DATE(2025,10,1),STORICO_STAMPE!$E:$E,"OK")+SUMIFS(STORICO_STAMPE!$S:$S,STORICO_STAMPE!$A:$A,"&gt;="&amp;DATE(2025,9,1),STORICO_STAMPE!$A:$A,"&lt;"&amp;DATE(2025,10,1),STORICO_STAMPE!$E:$E,"Parziale")</f>
        <v>0</v>
      </c>
    </row>
    <row r="8" spans="2:9" ht="16" customHeight="1" x14ac:dyDescent="0.2">
      <c r="B8" s="29" t="s">
        <v>13</v>
      </c>
      <c r="C8" s="10">
        <f>SUMIF(STORICO_STAMPE!E:E,"OK",STORICO_STAMPE!S:S)+SUMIF(STORICO_STAMPE!E:E,"Parziale",STORICO_STAMPE!S:S)</f>
        <v>36.322374781636363</v>
      </c>
      <c r="E8" s="3" t="s">
        <v>14</v>
      </c>
      <c r="F8" s="21">
        <f>SUMIFS(STORICO_STAMPE!$N:$N,STORICO_STAMPE!$H:$H,"PETG",STORICO_STAMPE!$E:$E,"OK")+SUMIFS(STORICO_STAMPE!$N:$N,STORICO_STAMPE!$H:$H,"PETG",STORICO_STAMPE!$E:$E,"Parziale")</f>
        <v>0</v>
      </c>
      <c r="H8" s="3" t="s">
        <v>15</v>
      </c>
      <c r="I8" s="22">
        <f>SUMIFS(STORICO_STAMPE!$S:$S,STORICO_STAMPE!$A:$A,"&gt;="&amp;DATE(2025,10,1),STORICO_STAMPE!$A:$A,"&lt;"&amp;DATE(2025,11,1),STORICO_STAMPE!$E:$E,"OK")+SUMIFS(STORICO_STAMPE!$S:$S,STORICO_STAMPE!$A:$A,"&gt;="&amp;DATE(2025,10,1),STORICO_STAMPE!$A:$A,"&lt;"&amp;DATE(2025,11,1),STORICO_STAMPE!$E:$E,"Parziale")</f>
        <v>0</v>
      </c>
    </row>
    <row r="9" spans="2:9" ht="16" customHeight="1" x14ac:dyDescent="0.2">
      <c r="B9" s="29" t="s">
        <v>16</v>
      </c>
      <c r="C9" s="10">
        <f>SUMIF(STORICO_STAMPE!E:E,"OK",STORICO_STAMPE!R:R)+SUMIF(STORICO_STAMPE!E:E,"Parziale",STORICO_STAMPE!R:R)</f>
        <v>92</v>
      </c>
      <c r="E9" s="3" t="s">
        <v>17</v>
      </c>
      <c r="F9" s="21">
        <f>SUMIFS(STORICO_STAMPE!$N:$N,STORICO_STAMPE!$H:$H,"ABS",STORICO_STAMPE!$E:$E,"OK")+SUMIFS(STORICO_STAMPE!$N:$N,STORICO_STAMPE!$H:$H,"ABS",STORICO_STAMPE!$E:$E,"Parziale")</f>
        <v>0</v>
      </c>
      <c r="H9" s="3" t="s">
        <v>18</v>
      </c>
      <c r="I9" s="22">
        <f>SUMIFS(STORICO_STAMPE!$S:$S,STORICO_STAMPE!$A:$A,"&gt;="&amp;DATE(2025,11,1),STORICO_STAMPE!$A:$A,"&lt;"&amp;DATE(2025,12,1),STORICO_STAMPE!$E:$E,"OK")+SUMIFS(STORICO_STAMPE!$S:$S,STORICO_STAMPE!$A:$A,"&gt;="&amp;DATE(2025,11,1),STORICO_STAMPE!$A:$A,"&lt;"&amp;DATE(2025,12,1),STORICO_STAMPE!$E:$E,"Parziale")</f>
        <v>0</v>
      </c>
    </row>
    <row r="10" spans="2:9" ht="16" customHeight="1" x14ac:dyDescent="0.2">
      <c r="B10" s="29" t="s">
        <v>19</v>
      </c>
      <c r="C10" s="10">
        <f>SUMIF(STORICO_STAMPE!E:E,"OK",STORICO_STAMPE!T:T)+SUMIF(STORICO_STAMPE!E:E,"Parziale",STORICO_STAMPE!T:T)</f>
        <v>55.677625218363644</v>
      </c>
      <c r="E10" s="3" t="s">
        <v>20</v>
      </c>
      <c r="F10" s="21">
        <f>SUMIFS(STORICO_STAMPE!$N:$N,STORICO_STAMPE!$H:$H,"ASA",STORICO_STAMPE!$E:$E,"OK")+SUMIFS(STORICO_STAMPE!$N:$N,STORICO_STAMPE!$H:$H,"ASA",STORICO_STAMPE!$E:$E,"Parziale")</f>
        <v>0</v>
      </c>
      <c r="H10" s="3" t="s">
        <v>21</v>
      </c>
      <c r="I10" s="22">
        <f>SUMIFS(STORICO_STAMPE!$S:$S,STORICO_STAMPE!$A:$A,"&gt;="&amp;DATE(2025,12,1),STORICO_STAMPE!$A:$A,"&lt;"&amp;DATE(2026,1,1),STORICO_STAMPE!$E:$E,"OK")+SUMIFS(STORICO_STAMPE!$S:$S,STORICO_STAMPE!$A:$A,"&gt;="&amp;DATE(2025,12,1),STORICO_STAMPE!$A:$A,"&lt;"&amp;DATE(2026,1,1),STORICO_STAMPE!$E:$E,"Parziale")</f>
        <v>0</v>
      </c>
    </row>
    <row r="11" spans="2:9" ht="16" customHeight="1" x14ac:dyDescent="0.2">
      <c r="B11" s="29" t="s">
        <v>22</v>
      </c>
      <c r="C11" s="10">
        <f>SUM(SCARTI!H:H)</f>
        <v>0</v>
      </c>
      <c r="E11" s="3" t="s">
        <v>23</v>
      </c>
      <c r="F11" s="21">
        <f>SUMIFS(STORICO_STAMPE!$N:$N,STORICO_STAMPE!$H:$H,"TPU",STORICO_STAMPE!$E:$E,"OK")+SUMIFS(STORICO_STAMPE!$N:$N,STORICO_STAMPE!$H:$H,"TPU",STORICO_STAMPE!$E:$E,"Parziale")</f>
        <v>0</v>
      </c>
      <c r="H11" s="3" t="s">
        <v>24</v>
      </c>
      <c r="I11" s="22">
        <f>SUMIFS(STORICO_STAMPE!$S:$S,STORICO_STAMPE!$A:$A,"&gt;="&amp;DATE(2026,1,1),STORICO_STAMPE!$A:$A,"&lt;"&amp;DATE(2026,2,1),STORICO_STAMPE!$E:$E,"OK")+SUMIFS(STORICO_STAMPE!$S:$S,STORICO_STAMPE!$A:$A,"&gt;="&amp;DATE(2026,1,1),STORICO_STAMPE!$A:$A,"&lt;"&amp;DATE(2026,2,1),STORICO_STAMPE!$E:$E,"Parziale")</f>
        <v>0</v>
      </c>
    </row>
    <row r="12" spans="2:9" ht="16" customHeight="1" x14ac:dyDescent="0.2">
      <c r="E12" s="3" t="s">
        <v>25</v>
      </c>
      <c r="F12" s="21">
        <f>SUMIFS(STORICO_STAMPE!$N:$N,STORICO_STAMPE!$H:$H,"NYLON",STORICO_STAMPE!$E:$E,"OK")+SUMIFS(STORICO_STAMPE!$N:$N,STORICO_STAMPE!$H:$H,"NYLON",STORICO_STAMPE!$E:$E,"Parziale")</f>
        <v>0</v>
      </c>
      <c r="H12" s="3" t="s">
        <v>26</v>
      </c>
      <c r="I12" s="22">
        <f>SUMIFS(STORICO_STAMPE!$S:$S,STORICO_STAMPE!$A:$A,"&gt;="&amp;DATE(2026,2,1),STORICO_STAMPE!$A:$A,"&lt;"&amp;DATE(2026,3,1),STORICO_STAMPE!$E:$E,"OK")+SUMIFS(STORICO_STAMPE!$S:$S,STORICO_STAMPE!$A:$A,"&gt;="&amp;DATE(2026,2,1),STORICO_STAMPE!$A:$A,"&lt;"&amp;DATE(2026,3,1),STORICO_STAMPE!$E:$E,"Parziale")</f>
        <v>36.322374781636363</v>
      </c>
    </row>
    <row r="13" spans="2:9" ht="32" customHeight="1" x14ac:dyDescent="0.2">
      <c r="B13" s="53" t="s">
        <v>27</v>
      </c>
      <c r="C13" s="50"/>
    </row>
    <row r="17" spans="2:3" x14ac:dyDescent="0.2">
      <c r="B17" s="55" t="s">
        <v>28</v>
      </c>
      <c r="C17" s="52"/>
    </row>
    <row r="18" spans="2:3" ht="16" x14ac:dyDescent="0.2">
      <c r="B18" s="34" t="s">
        <v>29</v>
      </c>
      <c r="C18" s="35">
        <f>IFERROR(SUM(STORICO_STAMPE!$S:$S)/SUM(STORICO_STAMPE!$M:$M),"")</f>
        <v>0.58584475454252194</v>
      </c>
    </row>
    <row r="19" spans="2:3" ht="16" x14ac:dyDescent="0.2">
      <c r="B19" s="34" t="s">
        <v>30</v>
      </c>
      <c r="C19" s="35">
        <f>IFERROR(SUM(STORICO_STAMPE!$R:$R)/SUM(STORICO_STAMPE!$K:$K),"")</f>
        <v>1.6140350877192982</v>
      </c>
    </row>
    <row r="20" spans="2:3" ht="16" x14ac:dyDescent="0.2">
      <c r="B20" s="34" t="s">
        <v>31</v>
      </c>
      <c r="C20" s="35">
        <f>IFERROR((SUM(STORICO_STAMPE!$R:$R)-SUM(STORICO_STAMPE!$S:$S))/SUM(STORICO_STAMPE!$K:$K),"")</f>
        <v>0.97680044242743225</v>
      </c>
    </row>
    <row r="21" spans="2:3" ht="16" x14ac:dyDescent="0.2">
      <c r="B21" s="34" t="s">
        <v>32</v>
      </c>
      <c r="C21" s="36">
        <f>IFERROR((SUM(STORICO_STAMPE!$R:$R)-SUM(STORICO_STAMPE!$S:$S))/SUM(STORICO_STAMPE!$R:$R),"")</f>
        <v>0.60519157846047433</v>
      </c>
    </row>
    <row r="22" spans="2:3" ht="16" x14ac:dyDescent="0.2">
      <c r="B22" s="34" t="s">
        <v>33</v>
      </c>
      <c r="C22" s="36">
        <f>IFERROR(SUM(STORICO_STAMPE!$S:$S)/SUM(STORICO_STAMPE!$R:$R),"")</f>
        <v>0.39480842153952567</v>
      </c>
    </row>
    <row r="24" spans="2:3" x14ac:dyDescent="0.2">
      <c r="B24" s="51" t="s">
        <v>34</v>
      </c>
      <c r="C24" s="52"/>
    </row>
    <row r="25" spans="2:3" ht="16" x14ac:dyDescent="0.2">
      <c r="B25" s="34" t="s">
        <v>35</v>
      </c>
      <c r="C25" s="35">
        <f>IFERROR((SUMIF(STORICO_STAMPE!$E:$E,"OK",STORICO_STAMPE!$T:$T)+SUMIF(STORICO_STAMPE!$E:$E,"Parziale",STORICO_STAMPE!$T:$T))/(COUNTIF(STORICO_STAMPE!$E:$E,"OK")+COUNTIF(STORICO_STAMPE!$E:$E,"Parziale")),"")</f>
        <v>6.9597031522954556</v>
      </c>
    </row>
    <row r="26" spans="2:3" ht="16" x14ac:dyDescent="0.2">
      <c r="B26" s="34" t="s">
        <v>36</v>
      </c>
      <c r="C26" s="36">
        <f>IFERROR((COUNTIFS(STORICO_STAMPE!$E:$E,"OK",STORICO_STAMPE!$T:$T,"&lt;0")+COUNTIFS(STORICO_STAMPE!$E:$E,"Parziale",STORICO_STAMPE!$T:$T,"&lt;0"))/(COUNTIF(STORICO_STAMPE!$E:$E,"OK")+COUNTIF(STORICO_STAMPE!$E:$E,"Parziale")),"")</f>
        <v>0</v>
      </c>
    </row>
    <row r="27" spans="2:3" ht="16" x14ac:dyDescent="0.2">
      <c r="B27" s="34" t="s">
        <v>37</v>
      </c>
      <c r="C27" s="36">
        <f>IFERROR(SUM(SCARTI!$M:$M)/SUM(STORICO_STAMPE!$R:$R),"")</f>
        <v>0</v>
      </c>
    </row>
  </sheetData>
  <mergeCells count="7">
    <mergeCell ref="B2:I2"/>
    <mergeCell ref="B24:C24"/>
    <mergeCell ref="B13:C13"/>
    <mergeCell ref="H5:I5"/>
    <mergeCell ref="B17:C17"/>
    <mergeCell ref="B3:I3"/>
    <mergeCell ref="E5:F5"/>
  </mergeCells>
  <pageMargins left="0.75" right="0.75" top="1" bottom="1" header="0.5" footer="0.5"/>
  <pageSetup paperSize="9" orientation="portrait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F5597"/>
  </sheetPr>
  <dimension ref="A1:I39"/>
  <sheetViews>
    <sheetView showGridLines="0" workbookViewId="0">
      <pane ySplit="5" topLeftCell="A6" activePane="bottomLeft" state="frozen"/>
      <selection pane="bottomLeft" activeCell="L24" sqref="L24"/>
    </sheetView>
  </sheetViews>
  <sheetFormatPr baseColWidth="10" defaultColWidth="8.83203125" defaultRowHeight="15" x14ac:dyDescent="0.2"/>
  <cols>
    <col min="1" max="1" width="2.6640625" style="40" customWidth="1"/>
    <col min="2" max="2" width="32" customWidth="1"/>
    <col min="3" max="3" width="18" customWidth="1"/>
    <col min="4" max="4" width="2" customWidth="1"/>
    <col min="5" max="6" width="18" customWidth="1"/>
    <col min="7" max="7" width="2" customWidth="1"/>
    <col min="8" max="9" width="14" customWidth="1"/>
  </cols>
  <sheetData>
    <row r="1" spans="2:9" s="40" customFormat="1" x14ac:dyDescent="0.2"/>
    <row r="2" spans="2:9" ht="26" customHeight="1" x14ac:dyDescent="0.2">
      <c r="B2" s="48" t="s">
        <v>38</v>
      </c>
      <c r="C2" s="49"/>
      <c r="D2" s="49"/>
      <c r="E2" s="49"/>
      <c r="F2" s="49"/>
      <c r="G2" s="49"/>
      <c r="H2" s="49"/>
      <c r="I2" s="50"/>
    </row>
    <row r="3" spans="2:9" ht="18" customHeight="1" x14ac:dyDescent="0.2">
      <c r="B3" s="56" t="s">
        <v>39</v>
      </c>
      <c r="C3" s="49"/>
      <c r="D3" s="49"/>
      <c r="E3" s="49"/>
      <c r="F3" s="49"/>
      <c r="G3" s="49"/>
      <c r="H3" s="49"/>
      <c r="I3" s="50"/>
    </row>
    <row r="4" spans="2:9" x14ac:dyDescent="0.2">
      <c r="E4" s="30" t="s">
        <v>40</v>
      </c>
    </row>
    <row r="5" spans="2:9" ht="16" customHeight="1" x14ac:dyDescent="0.2">
      <c r="B5" s="1" t="s">
        <v>41</v>
      </c>
      <c r="C5" s="1" t="s">
        <v>42</v>
      </c>
      <c r="E5" s="57" t="s">
        <v>43</v>
      </c>
      <c r="F5" s="58"/>
      <c r="G5" s="58"/>
      <c r="H5" s="58"/>
      <c r="I5" s="59"/>
    </row>
    <row r="6" spans="2:9" ht="32" customHeight="1" x14ac:dyDescent="0.2">
      <c r="B6" s="3" t="s">
        <v>44</v>
      </c>
      <c r="C6" s="4">
        <v>0.15</v>
      </c>
      <c r="E6" s="60"/>
      <c r="F6" s="61"/>
      <c r="G6" s="61"/>
      <c r="H6" s="61"/>
      <c r="I6" s="62"/>
    </row>
    <row r="7" spans="2:9" ht="32" customHeight="1" x14ac:dyDescent="0.2">
      <c r="B7" s="3" t="s">
        <v>45</v>
      </c>
      <c r="C7" s="4">
        <v>10</v>
      </c>
      <c r="E7" s="60"/>
      <c r="F7" s="61"/>
      <c r="G7" s="61"/>
      <c r="H7" s="61"/>
      <c r="I7" s="62"/>
    </row>
    <row r="8" spans="2:9" ht="16" customHeight="1" x14ac:dyDescent="0.2">
      <c r="B8" s="3" t="s">
        <v>46</v>
      </c>
      <c r="C8" s="5">
        <v>0.3</v>
      </c>
      <c r="E8" s="63"/>
      <c r="F8" s="64"/>
      <c r="G8" s="64"/>
      <c r="H8" s="64"/>
      <c r="I8" s="65"/>
    </row>
    <row r="9" spans="2:9" ht="16" customHeight="1" x14ac:dyDescent="0.2">
      <c r="B9" s="3" t="s">
        <v>47</v>
      </c>
      <c r="C9" s="5">
        <v>0.05</v>
      </c>
      <c r="E9" s="30" t="s">
        <v>48</v>
      </c>
    </row>
    <row r="10" spans="2:9" ht="16" customHeight="1" x14ac:dyDescent="0.2">
      <c r="B10" s="3" t="s">
        <v>49</v>
      </c>
      <c r="C10" s="5">
        <v>0.05</v>
      </c>
      <c r="E10" s="31" t="s">
        <v>50</v>
      </c>
      <c r="F10" s="32" t="s">
        <v>51</v>
      </c>
      <c r="H10" s="31" t="s">
        <v>52</v>
      </c>
      <c r="I10" s="32" t="s">
        <v>11</v>
      </c>
    </row>
    <row r="11" spans="2:9" ht="16" customHeight="1" x14ac:dyDescent="0.2">
      <c r="B11" s="3" t="s">
        <v>53</v>
      </c>
      <c r="C11" s="4">
        <v>0.5</v>
      </c>
      <c r="E11" s="32"/>
      <c r="F11" s="32" t="s">
        <v>54</v>
      </c>
      <c r="H11" s="32"/>
      <c r="I11" s="32" t="s">
        <v>14</v>
      </c>
    </row>
    <row r="12" spans="2:9" ht="16" customHeight="1" x14ac:dyDescent="0.2">
      <c r="B12" s="3" t="s">
        <v>55</v>
      </c>
      <c r="C12" s="6">
        <v>150</v>
      </c>
      <c r="E12" s="32"/>
      <c r="F12" s="32" t="s">
        <v>56</v>
      </c>
      <c r="H12" s="32"/>
      <c r="I12" s="32" t="s">
        <v>17</v>
      </c>
    </row>
    <row r="13" spans="2:9" ht="16" customHeight="1" x14ac:dyDescent="0.2">
      <c r="E13" s="32"/>
      <c r="F13" s="32" t="s">
        <v>57</v>
      </c>
      <c r="H13" s="32"/>
      <c r="I13" s="32" t="s">
        <v>20</v>
      </c>
    </row>
    <row r="14" spans="2:9" x14ac:dyDescent="0.2">
      <c r="I14" t="s">
        <v>23</v>
      </c>
    </row>
    <row r="15" spans="2:9" ht="16" customHeight="1" x14ac:dyDescent="0.2">
      <c r="E15" s="31" t="s">
        <v>58</v>
      </c>
      <c r="F15" s="32" t="s">
        <v>59</v>
      </c>
      <c r="H15" s="31" t="s">
        <v>60</v>
      </c>
      <c r="I15" s="32" t="s">
        <v>57</v>
      </c>
    </row>
    <row r="16" spans="2:9" ht="16" customHeight="1" x14ac:dyDescent="0.2">
      <c r="E16" s="32"/>
      <c r="F16" s="32" t="s">
        <v>61</v>
      </c>
      <c r="H16" s="32"/>
      <c r="I16" s="32" t="s">
        <v>62</v>
      </c>
    </row>
    <row r="17" spans="5:9" ht="16" customHeight="1" x14ac:dyDescent="0.2">
      <c r="E17" s="32"/>
      <c r="F17" s="32" t="s">
        <v>63</v>
      </c>
      <c r="H17" s="32"/>
      <c r="I17" s="32" t="s">
        <v>54</v>
      </c>
    </row>
    <row r="18" spans="5:9" ht="16" customHeight="1" x14ac:dyDescent="0.2">
      <c r="E18" s="32"/>
      <c r="F18" s="32" t="s">
        <v>64</v>
      </c>
      <c r="H18" s="32"/>
      <c r="I18" s="32"/>
    </row>
    <row r="19" spans="5:9" ht="16" customHeight="1" x14ac:dyDescent="0.2">
      <c r="E19" s="32"/>
      <c r="F19" s="32" t="s">
        <v>65</v>
      </c>
      <c r="H19" s="32"/>
      <c r="I19" s="32"/>
    </row>
    <row r="21" spans="5:9" x14ac:dyDescent="0.2">
      <c r="E21" s="51" t="s">
        <v>66</v>
      </c>
      <c r="F21" s="74"/>
      <c r="G21" s="74"/>
      <c r="H21" s="74"/>
      <c r="I21" s="74"/>
    </row>
    <row r="22" spans="5:9" x14ac:dyDescent="0.2">
      <c r="E22" s="37" t="s">
        <v>67</v>
      </c>
      <c r="F22" s="38" t="s">
        <v>68</v>
      </c>
      <c r="H22" s="37" t="s">
        <v>69</v>
      </c>
      <c r="I22" s="38" t="s">
        <v>70</v>
      </c>
    </row>
    <row r="23" spans="5:9" x14ac:dyDescent="0.2">
      <c r="F23" s="38" t="s">
        <v>71</v>
      </c>
      <c r="I23" s="38" t="s">
        <v>72</v>
      </c>
    </row>
    <row r="24" spans="5:9" x14ac:dyDescent="0.2">
      <c r="F24" s="38" t="s">
        <v>73</v>
      </c>
      <c r="I24" s="38" t="s">
        <v>74</v>
      </c>
    </row>
    <row r="25" spans="5:9" x14ac:dyDescent="0.2">
      <c r="F25" s="38" t="s">
        <v>75</v>
      </c>
      <c r="I25" s="38" t="s">
        <v>76</v>
      </c>
    </row>
    <row r="26" spans="5:9" x14ac:dyDescent="0.2">
      <c r="F26" s="38" t="s">
        <v>77</v>
      </c>
      <c r="I26" s="38" t="s">
        <v>78</v>
      </c>
    </row>
    <row r="27" spans="5:9" x14ac:dyDescent="0.2">
      <c r="I27" s="38" t="s">
        <v>79</v>
      </c>
    </row>
    <row r="29" spans="5:9" x14ac:dyDescent="0.2">
      <c r="E29" s="37" t="s">
        <v>80</v>
      </c>
      <c r="F29" s="38" t="s">
        <v>81</v>
      </c>
    </row>
    <row r="30" spans="5:9" x14ac:dyDescent="0.2">
      <c r="F30" s="38" t="s">
        <v>82</v>
      </c>
    </row>
    <row r="31" spans="5:9" x14ac:dyDescent="0.2">
      <c r="F31" s="38" t="s">
        <v>6</v>
      </c>
    </row>
    <row r="32" spans="5:9" x14ac:dyDescent="0.2">
      <c r="F32" s="38" t="s">
        <v>83</v>
      </c>
    </row>
    <row r="33" spans="5:9" x14ac:dyDescent="0.2">
      <c r="F33" s="38" t="s">
        <v>84</v>
      </c>
    </row>
    <row r="35" spans="5:9" x14ac:dyDescent="0.2">
      <c r="E35" s="37" t="s">
        <v>85</v>
      </c>
    </row>
    <row r="36" spans="5:9" x14ac:dyDescent="0.2">
      <c r="E36" s="66" t="s">
        <v>86</v>
      </c>
      <c r="F36" s="67"/>
      <c r="G36" s="67"/>
      <c r="H36" s="67"/>
      <c r="I36" s="68"/>
    </row>
    <row r="37" spans="5:9" x14ac:dyDescent="0.2">
      <c r="E37" s="69"/>
      <c r="F37" s="61"/>
      <c r="G37" s="61"/>
      <c r="H37" s="61"/>
      <c r="I37" s="70"/>
    </row>
    <row r="38" spans="5:9" x14ac:dyDescent="0.2">
      <c r="E38" s="69"/>
      <c r="F38" s="61"/>
      <c r="G38" s="61"/>
      <c r="H38" s="61"/>
      <c r="I38" s="70"/>
    </row>
    <row r="39" spans="5:9" x14ac:dyDescent="0.2">
      <c r="E39" s="71"/>
      <c r="F39" s="72"/>
      <c r="G39" s="72"/>
      <c r="H39" s="72"/>
      <c r="I39" s="73"/>
    </row>
  </sheetData>
  <mergeCells count="5">
    <mergeCell ref="E5:I8"/>
    <mergeCell ref="E36:I39"/>
    <mergeCell ref="E21:I21"/>
    <mergeCell ref="B3:I3"/>
    <mergeCell ref="B2:I2"/>
  </mergeCells>
  <pageMargins left="0.75" right="0.75" top="1" bottom="1" header="0.5" footer="0.5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F5597"/>
  </sheetPr>
  <dimension ref="A1:T509"/>
  <sheetViews>
    <sheetView showGridLines="0" tabSelected="1" workbookViewId="0">
      <pane ySplit="4" topLeftCell="A5" activePane="bottomLeft" state="frozen"/>
      <selection activeCell="E1" sqref="E1"/>
      <selection pane="bottomLeft" activeCell="O20" sqref="O20"/>
    </sheetView>
  </sheetViews>
  <sheetFormatPr baseColWidth="10" defaultColWidth="8.83203125" defaultRowHeight="15" x14ac:dyDescent="0.2"/>
  <cols>
    <col min="1" max="1" width="16" customWidth="1"/>
    <col min="2" max="2" width="12" customWidth="1"/>
    <col min="3" max="3" width="10" customWidth="1"/>
    <col min="4" max="4" width="10" style="40" customWidth="1"/>
    <col min="5" max="5" width="11.5" bestFit="1" customWidth="1"/>
    <col min="6" max="6" width="10" style="40" customWidth="1"/>
    <col min="7" max="7" width="12" customWidth="1"/>
    <col min="8" max="8" width="13" customWidth="1"/>
    <col min="9" max="9" width="14" customWidth="1"/>
    <col min="10" max="11" width="10" customWidth="1"/>
    <col min="12" max="12" width="13" customWidth="1"/>
    <col min="13" max="13" width="14" customWidth="1"/>
    <col min="14" max="14" width="12" customWidth="1"/>
    <col min="15" max="15" width="15" style="78" bestFit="1" customWidth="1"/>
    <col min="16" max="16" width="12" customWidth="1"/>
    <col min="17" max="17" width="50.1640625" bestFit="1" customWidth="1"/>
    <col min="19" max="19" width="6.33203125" hidden="1" customWidth="1"/>
    <col min="20" max="20" width="10.5" hidden="1" customWidth="1"/>
  </cols>
  <sheetData>
    <row r="1" spans="1:20" ht="26" customHeight="1" x14ac:dyDescent="0.2">
      <c r="A1" s="48" t="s">
        <v>87</v>
      </c>
      <c r="B1" s="49"/>
      <c r="C1" s="49"/>
      <c r="D1" s="76"/>
      <c r="E1" s="49"/>
      <c r="F1" s="76"/>
      <c r="G1" s="49"/>
      <c r="H1" s="49"/>
      <c r="I1" s="49"/>
      <c r="J1" s="49"/>
      <c r="K1" s="49"/>
      <c r="L1" s="49"/>
      <c r="M1" s="49"/>
      <c r="N1" s="49"/>
      <c r="O1" s="76"/>
      <c r="P1" s="49"/>
      <c r="Q1" s="50"/>
    </row>
    <row r="2" spans="1:20" ht="18" customHeight="1" x14ac:dyDescent="0.2">
      <c r="A2" s="75" t="s">
        <v>88</v>
      </c>
      <c r="B2" s="58"/>
      <c r="C2" s="58"/>
      <c r="D2" s="67"/>
      <c r="E2" s="58"/>
      <c r="F2" s="67"/>
      <c r="G2" s="58"/>
      <c r="H2" s="58"/>
      <c r="I2" s="58"/>
      <c r="J2" s="58"/>
      <c r="K2" s="58"/>
      <c r="L2" s="58"/>
      <c r="M2" s="58"/>
      <c r="N2" s="58"/>
      <c r="O2" s="67"/>
      <c r="P2" s="58"/>
      <c r="Q2" s="58"/>
    </row>
    <row r="4" spans="1:20" ht="32" customHeight="1" x14ac:dyDescent="0.2">
      <c r="A4" s="1" t="s">
        <v>89</v>
      </c>
      <c r="B4" s="1" t="s">
        <v>90</v>
      </c>
      <c r="C4" s="1" t="s">
        <v>6</v>
      </c>
      <c r="D4" s="42" t="s">
        <v>213</v>
      </c>
      <c r="E4" s="1" t="s">
        <v>91</v>
      </c>
      <c r="F4" s="42" t="s">
        <v>191</v>
      </c>
      <c r="G4" s="1" t="s">
        <v>92</v>
      </c>
      <c r="H4" s="1" t="s">
        <v>93</v>
      </c>
      <c r="I4" s="1" t="s">
        <v>94</v>
      </c>
      <c r="J4" s="1" t="s">
        <v>95</v>
      </c>
      <c r="K4" s="1" t="s">
        <v>96</v>
      </c>
      <c r="L4" s="1" t="s">
        <v>97</v>
      </c>
      <c r="M4" s="1" t="s">
        <v>98</v>
      </c>
      <c r="N4" s="1" t="s">
        <v>99</v>
      </c>
      <c r="O4" s="42" t="s">
        <v>244</v>
      </c>
      <c r="P4" s="1" t="s">
        <v>100</v>
      </c>
      <c r="Q4" s="1" t="s">
        <v>101</v>
      </c>
      <c r="S4" t="s">
        <v>102</v>
      </c>
    </row>
    <row r="5" spans="1:20" ht="16" customHeight="1" x14ac:dyDescent="0.2">
      <c r="A5" s="7" t="s">
        <v>103</v>
      </c>
      <c r="B5" s="7" t="s">
        <v>195</v>
      </c>
      <c r="C5" s="7" t="s">
        <v>11</v>
      </c>
      <c r="D5" s="43" t="s">
        <v>214</v>
      </c>
      <c r="E5" s="7" t="s">
        <v>105</v>
      </c>
      <c r="F5" s="43" t="s">
        <v>196</v>
      </c>
      <c r="G5" s="8">
        <v>1.75</v>
      </c>
      <c r="H5" s="6">
        <v>1100</v>
      </c>
      <c r="I5" s="4">
        <v>8.99</v>
      </c>
      <c r="J5" s="9">
        <f t="shared" ref="J5:J73" si="0">IFERROR(I5/H5,"")</f>
        <v>8.1727272727272725E-3</v>
      </c>
      <c r="K5" s="10">
        <f t="shared" ref="K5:K73" si="1">IFERROR(J5*1000,"")</f>
        <v>8.172727272727272</v>
      </c>
      <c r="L5" s="6"/>
      <c r="M5" s="10">
        <f>IFERROR(L5*J5,"")</f>
        <v>0</v>
      </c>
      <c r="N5" s="7" t="s">
        <v>63</v>
      </c>
      <c r="O5" s="43" t="s">
        <v>245</v>
      </c>
      <c r="P5" s="44">
        <v>46003</v>
      </c>
      <c r="Q5" s="7" t="s">
        <v>207</v>
      </c>
      <c r="S5" t="s">
        <v>11</v>
      </c>
      <c r="T5" t="s">
        <v>59</v>
      </c>
    </row>
    <row r="6" spans="1:20" s="40" customFormat="1" ht="16" customHeight="1" x14ac:dyDescent="0.2">
      <c r="A6" s="7" t="s">
        <v>197</v>
      </c>
      <c r="B6" s="7" t="s">
        <v>195</v>
      </c>
      <c r="C6" s="7" t="s">
        <v>11</v>
      </c>
      <c r="D6" s="43" t="s">
        <v>214</v>
      </c>
      <c r="E6" s="7" t="s">
        <v>105</v>
      </c>
      <c r="F6" s="43" t="s">
        <v>196</v>
      </c>
      <c r="G6" s="8">
        <v>1.75</v>
      </c>
      <c r="H6" s="6">
        <v>1100</v>
      </c>
      <c r="I6" s="4">
        <v>8.99</v>
      </c>
      <c r="J6" s="9">
        <f t="shared" si="0"/>
        <v>8.1727272727272725E-3</v>
      </c>
      <c r="K6" s="10">
        <f t="shared" si="1"/>
        <v>8.172727272727272</v>
      </c>
      <c r="L6" s="45"/>
      <c r="M6" s="10">
        <f t="shared" ref="M6:M10" si="2">IFERROR(L6*J6,"")</f>
        <v>0</v>
      </c>
      <c r="N6" s="43" t="s">
        <v>61</v>
      </c>
      <c r="O6" s="43" t="s">
        <v>246</v>
      </c>
      <c r="P6" s="44">
        <v>46003</v>
      </c>
      <c r="Q6" s="7" t="s">
        <v>207</v>
      </c>
    </row>
    <row r="7" spans="1:20" s="40" customFormat="1" ht="16" customHeight="1" x14ac:dyDescent="0.2">
      <c r="A7" s="7" t="s">
        <v>198</v>
      </c>
      <c r="B7" s="7" t="s">
        <v>195</v>
      </c>
      <c r="C7" s="7" t="s">
        <v>11</v>
      </c>
      <c r="D7" s="43" t="s">
        <v>214</v>
      </c>
      <c r="E7" s="7" t="s">
        <v>105</v>
      </c>
      <c r="F7" s="43" t="s">
        <v>196</v>
      </c>
      <c r="G7" s="8">
        <v>1.75</v>
      </c>
      <c r="H7" s="6">
        <v>1100</v>
      </c>
      <c r="I7" s="4">
        <v>8.99</v>
      </c>
      <c r="J7" s="9">
        <f t="shared" si="0"/>
        <v>8.1727272727272725E-3</v>
      </c>
      <c r="K7" s="10">
        <f t="shared" si="1"/>
        <v>8.172727272727272</v>
      </c>
      <c r="L7" s="45"/>
      <c r="M7" s="10">
        <f t="shared" si="2"/>
        <v>0</v>
      </c>
      <c r="N7" s="43" t="s">
        <v>59</v>
      </c>
      <c r="O7" s="43" t="s">
        <v>247</v>
      </c>
      <c r="P7" s="44">
        <v>46003</v>
      </c>
      <c r="Q7" s="7" t="s">
        <v>207</v>
      </c>
    </row>
    <row r="8" spans="1:20" s="40" customFormat="1" ht="16" customHeight="1" x14ac:dyDescent="0.2">
      <c r="A8" s="7" t="s">
        <v>199</v>
      </c>
      <c r="B8" s="7" t="s">
        <v>195</v>
      </c>
      <c r="C8" s="7" t="s">
        <v>11</v>
      </c>
      <c r="D8" s="43" t="s">
        <v>214</v>
      </c>
      <c r="E8" s="43" t="s">
        <v>202</v>
      </c>
      <c r="F8" s="43" t="s">
        <v>203</v>
      </c>
      <c r="G8" s="8">
        <v>1.75</v>
      </c>
      <c r="H8" s="6">
        <v>1100</v>
      </c>
      <c r="I8" s="4">
        <v>8.99</v>
      </c>
      <c r="J8" s="9">
        <f t="shared" si="0"/>
        <v>8.1727272727272725E-3</v>
      </c>
      <c r="K8" s="10">
        <f t="shared" si="1"/>
        <v>8.172727272727272</v>
      </c>
      <c r="L8" s="45"/>
      <c r="M8" s="10">
        <f t="shared" si="2"/>
        <v>0</v>
      </c>
      <c r="N8" s="43" t="s">
        <v>63</v>
      </c>
      <c r="O8" s="43" t="s">
        <v>245</v>
      </c>
      <c r="P8" s="44">
        <v>46003</v>
      </c>
      <c r="Q8" s="7" t="s">
        <v>207</v>
      </c>
    </row>
    <row r="9" spans="1:20" s="40" customFormat="1" ht="16" customHeight="1" x14ac:dyDescent="0.2">
      <c r="A9" s="7" t="s">
        <v>200</v>
      </c>
      <c r="B9" s="7" t="s">
        <v>195</v>
      </c>
      <c r="C9" s="7" t="s">
        <v>11</v>
      </c>
      <c r="D9" s="43" t="s">
        <v>214</v>
      </c>
      <c r="E9" s="43" t="s">
        <v>202</v>
      </c>
      <c r="F9" s="43" t="s">
        <v>203</v>
      </c>
      <c r="G9" s="8">
        <v>1.75</v>
      </c>
      <c r="H9" s="6">
        <v>1100</v>
      </c>
      <c r="I9" s="4">
        <v>8.99</v>
      </c>
      <c r="J9" s="9">
        <f t="shared" si="0"/>
        <v>8.1727272727272725E-3</v>
      </c>
      <c r="K9" s="10">
        <f t="shared" si="1"/>
        <v>8.172727272727272</v>
      </c>
      <c r="L9" s="45"/>
      <c r="M9" s="10">
        <f t="shared" si="2"/>
        <v>0</v>
      </c>
      <c r="N9" s="43" t="s">
        <v>59</v>
      </c>
      <c r="O9" s="43" t="s">
        <v>247</v>
      </c>
      <c r="P9" s="44">
        <v>46003</v>
      </c>
      <c r="Q9" s="7" t="s">
        <v>207</v>
      </c>
    </row>
    <row r="10" spans="1:20" s="40" customFormat="1" ht="16" customHeight="1" x14ac:dyDescent="0.2">
      <c r="A10" s="7" t="s">
        <v>201</v>
      </c>
      <c r="B10" s="7" t="s">
        <v>195</v>
      </c>
      <c r="C10" s="7" t="s">
        <v>11</v>
      </c>
      <c r="D10" s="43" t="s">
        <v>214</v>
      </c>
      <c r="E10" s="43" t="s">
        <v>202</v>
      </c>
      <c r="F10" s="43" t="s">
        <v>203</v>
      </c>
      <c r="G10" s="8">
        <v>1.75</v>
      </c>
      <c r="H10" s="6">
        <v>1100</v>
      </c>
      <c r="I10" s="4">
        <v>8.99</v>
      </c>
      <c r="J10" s="9">
        <f t="shared" si="0"/>
        <v>8.1727272727272725E-3</v>
      </c>
      <c r="K10" s="10">
        <f t="shared" si="1"/>
        <v>8.172727272727272</v>
      </c>
      <c r="L10" s="45"/>
      <c r="M10" s="10">
        <f t="shared" si="2"/>
        <v>0</v>
      </c>
      <c r="N10" s="43" t="s">
        <v>59</v>
      </c>
      <c r="O10" s="43" t="s">
        <v>247</v>
      </c>
      <c r="P10" s="44">
        <v>46003</v>
      </c>
      <c r="Q10" s="7" t="s">
        <v>207</v>
      </c>
    </row>
    <row r="11" spans="1:20" ht="16" customHeight="1" x14ac:dyDescent="0.2">
      <c r="A11" s="7" t="s">
        <v>205</v>
      </c>
      <c r="B11" s="7" t="s">
        <v>192</v>
      </c>
      <c r="C11" s="7" t="s">
        <v>11</v>
      </c>
      <c r="D11" s="43" t="s">
        <v>214</v>
      </c>
      <c r="E11" s="7" t="s">
        <v>193</v>
      </c>
      <c r="F11" s="43" t="s">
        <v>194</v>
      </c>
      <c r="G11" s="8">
        <v>1.75</v>
      </c>
      <c r="H11" s="6">
        <v>1000</v>
      </c>
      <c r="I11" s="4">
        <v>13.59</v>
      </c>
      <c r="J11" s="9">
        <f t="shared" si="0"/>
        <v>1.359E-2</v>
      </c>
      <c r="K11" s="10">
        <f t="shared" si="1"/>
        <v>13.59</v>
      </c>
      <c r="L11" s="6"/>
      <c r="M11" s="10">
        <f t="shared" ref="M11:M73" si="3">IFERROR(L11*J11,"")</f>
        <v>0</v>
      </c>
      <c r="N11" s="7" t="s">
        <v>61</v>
      </c>
      <c r="O11" s="43" t="s">
        <v>246</v>
      </c>
      <c r="P11" s="44">
        <v>46043</v>
      </c>
      <c r="Q11" s="7" t="s">
        <v>218</v>
      </c>
      <c r="S11" t="s">
        <v>14</v>
      </c>
      <c r="T11" t="s">
        <v>61</v>
      </c>
    </row>
    <row r="12" spans="1:20" ht="16" customHeight="1" x14ac:dyDescent="0.2">
      <c r="A12" s="7" t="s">
        <v>204</v>
      </c>
      <c r="B12" s="7" t="s">
        <v>104</v>
      </c>
      <c r="C12" s="7" t="s">
        <v>11</v>
      </c>
      <c r="D12" s="43" t="s">
        <v>215</v>
      </c>
      <c r="E12" s="7" t="s">
        <v>206</v>
      </c>
      <c r="F12" s="43" t="s">
        <v>217</v>
      </c>
      <c r="G12" s="8">
        <v>1.75</v>
      </c>
      <c r="H12" s="6">
        <v>1000</v>
      </c>
      <c r="I12" s="4">
        <v>7.35</v>
      </c>
      <c r="J12" s="9">
        <f t="shared" si="0"/>
        <v>7.3499999999999998E-3</v>
      </c>
      <c r="K12" s="10">
        <f t="shared" si="1"/>
        <v>7.35</v>
      </c>
      <c r="L12" s="6"/>
      <c r="M12" s="10">
        <f t="shared" si="3"/>
        <v>0</v>
      </c>
      <c r="N12" s="7" t="s">
        <v>61</v>
      </c>
      <c r="O12" s="43" t="s">
        <v>246</v>
      </c>
      <c r="P12" s="44">
        <v>46048</v>
      </c>
      <c r="Q12" s="46" t="s">
        <v>216</v>
      </c>
      <c r="S12" t="s">
        <v>17</v>
      </c>
      <c r="T12" t="s">
        <v>63</v>
      </c>
    </row>
    <row r="13" spans="1:20" ht="16" customHeight="1" x14ac:dyDescent="0.2">
      <c r="A13" s="7" t="s">
        <v>208</v>
      </c>
      <c r="B13" s="7" t="s">
        <v>104</v>
      </c>
      <c r="C13" s="7" t="s">
        <v>11</v>
      </c>
      <c r="D13" s="43" t="s">
        <v>215</v>
      </c>
      <c r="E13" s="7" t="s">
        <v>206</v>
      </c>
      <c r="F13" s="43" t="s">
        <v>217</v>
      </c>
      <c r="G13" s="8">
        <v>1.75</v>
      </c>
      <c r="H13" s="6">
        <v>1000</v>
      </c>
      <c r="I13" s="4">
        <v>7.35</v>
      </c>
      <c r="J13" s="9">
        <f t="shared" si="0"/>
        <v>7.3499999999999998E-3</v>
      </c>
      <c r="K13" s="10">
        <f t="shared" si="1"/>
        <v>7.35</v>
      </c>
      <c r="L13" s="6"/>
      <c r="M13" s="10">
        <f t="shared" si="3"/>
        <v>0</v>
      </c>
      <c r="N13" s="7" t="s">
        <v>59</v>
      </c>
      <c r="O13" s="43" t="s">
        <v>248</v>
      </c>
      <c r="P13" s="44">
        <v>46049</v>
      </c>
      <c r="Q13" s="46" t="s">
        <v>216</v>
      </c>
      <c r="S13" t="s">
        <v>20</v>
      </c>
      <c r="T13" t="s">
        <v>107</v>
      </c>
    </row>
    <row r="14" spans="1:20" ht="16" customHeight="1" x14ac:dyDescent="0.2">
      <c r="A14" s="7" t="s">
        <v>209</v>
      </c>
      <c r="B14" s="7" t="s">
        <v>104</v>
      </c>
      <c r="C14" s="7" t="s">
        <v>11</v>
      </c>
      <c r="D14" s="43" t="s">
        <v>214</v>
      </c>
      <c r="E14" s="7" t="s">
        <v>210</v>
      </c>
      <c r="F14" s="43" t="s">
        <v>211</v>
      </c>
      <c r="G14" s="8">
        <v>1.75</v>
      </c>
      <c r="H14" s="6">
        <v>1000</v>
      </c>
      <c r="I14" s="4">
        <v>12.29</v>
      </c>
      <c r="J14" s="9">
        <f t="shared" si="0"/>
        <v>1.2289999999999999E-2</v>
      </c>
      <c r="K14" s="10">
        <f t="shared" si="1"/>
        <v>12.29</v>
      </c>
      <c r="L14" s="6"/>
      <c r="M14" s="10">
        <f t="shared" si="3"/>
        <v>0</v>
      </c>
      <c r="N14" s="7" t="s">
        <v>59</v>
      </c>
      <c r="O14" s="43" t="s">
        <v>247</v>
      </c>
      <c r="P14" s="44">
        <v>46045</v>
      </c>
      <c r="Q14" s="46" t="s">
        <v>212</v>
      </c>
      <c r="S14" t="s">
        <v>23</v>
      </c>
      <c r="T14" t="s">
        <v>108</v>
      </c>
    </row>
    <row r="15" spans="1:20" ht="16" customHeight="1" x14ac:dyDescent="0.2">
      <c r="A15" s="7" t="s">
        <v>224</v>
      </c>
      <c r="B15" s="7" t="s">
        <v>104</v>
      </c>
      <c r="C15" s="7" t="s">
        <v>11</v>
      </c>
      <c r="D15" s="43" t="s">
        <v>214</v>
      </c>
      <c r="E15" s="7" t="s">
        <v>225</v>
      </c>
      <c r="F15" s="43" t="s">
        <v>227</v>
      </c>
      <c r="G15" s="8">
        <v>1.75</v>
      </c>
      <c r="H15" s="6">
        <v>1000</v>
      </c>
      <c r="I15" s="4">
        <v>15.56</v>
      </c>
      <c r="J15" s="9">
        <f t="shared" si="0"/>
        <v>1.5560000000000001E-2</v>
      </c>
      <c r="K15" s="10">
        <f t="shared" si="1"/>
        <v>15.56</v>
      </c>
      <c r="L15" s="6"/>
      <c r="M15" s="10">
        <f t="shared" si="3"/>
        <v>0</v>
      </c>
      <c r="N15" s="7" t="s">
        <v>61</v>
      </c>
      <c r="O15" s="43" t="s">
        <v>249</v>
      </c>
      <c r="P15" s="44">
        <v>46048</v>
      </c>
      <c r="Q15" s="46" t="s">
        <v>226</v>
      </c>
      <c r="S15" t="s">
        <v>25</v>
      </c>
    </row>
    <row r="16" spans="1:20" ht="16" customHeight="1" x14ac:dyDescent="0.2">
      <c r="A16" s="7" t="s">
        <v>230</v>
      </c>
      <c r="B16" s="7" t="s">
        <v>192</v>
      </c>
      <c r="C16" s="7" t="s">
        <v>11</v>
      </c>
      <c r="D16" s="43" t="s">
        <v>214</v>
      </c>
      <c r="E16" s="7" t="s">
        <v>231</v>
      </c>
      <c r="F16" s="43" t="s">
        <v>232</v>
      </c>
      <c r="G16" s="8">
        <v>1.75</v>
      </c>
      <c r="H16" s="6">
        <v>1000</v>
      </c>
      <c r="I16" s="4">
        <v>17.989999999999998</v>
      </c>
      <c r="J16" s="9">
        <f t="shared" si="0"/>
        <v>1.7989999999999999E-2</v>
      </c>
      <c r="K16" s="10">
        <f t="shared" si="1"/>
        <v>17.989999999999998</v>
      </c>
      <c r="L16" s="6"/>
      <c r="M16" s="10">
        <f t="shared" si="3"/>
        <v>0</v>
      </c>
      <c r="N16" s="7" t="s">
        <v>59</v>
      </c>
      <c r="O16" s="43" t="s">
        <v>249</v>
      </c>
      <c r="P16" s="44">
        <v>46063</v>
      </c>
      <c r="Q16" s="46" t="s">
        <v>233</v>
      </c>
      <c r="S16" t="s">
        <v>109</v>
      </c>
    </row>
    <row r="17" spans="1:19" ht="16" customHeight="1" x14ac:dyDescent="0.2">
      <c r="A17" s="7" t="s">
        <v>237</v>
      </c>
      <c r="B17" s="7" t="s">
        <v>192</v>
      </c>
      <c r="C17" s="7" t="s">
        <v>11</v>
      </c>
      <c r="D17" s="43" t="s">
        <v>214</v>
      </c>
      <c r="E17" s="7" t="s">
        <v>234</v>
      </c>
      <c r="F17" s="43" t="s">
        <v>235</v>
      </c>
      <c r="G17" s="8">
        <v>1.75</v>
      </c>
      <c r="H17" s="6">
        <v>1000</v>
      </c>
      <c r="I17" s="4">
        <v>13.59</v>
      </c>
      <c r="J17" s="9">
        <f t="shared" si="0"/>
        <v>1.359E-2</v>
      </c>
      <c r="K17" s="10">
        <f t="shared" si="1"/>
        <v>13.59</v>
      </c>
      <c r="L17" s="6"/>
      <c r="M17" s="10">
        <f t="shared" si="3"/>
        <v>0</v>
      </c>
      <c r="N17" s="7" t="s">
        <v>61</v>
      </c>
      <c r="O17" s="43" t="s">
        <v>246</v>
      </c>
      <c r="P17" s="44">
        <v>46043</v>
      </c>
      <c r="Q17" s="46" t="s">
        <v>236</v>
      </c>
      <c r="S17" t="s">
        <v>110</v>
      </c>
    </row>
    <row r="18" spans="1:19" ht="16" customHeight="1" x14ac:dyDescent="0.2">
      <c r="A18" s="7" t="s">
        <v>240</v>
      </c>
      <c r="B18" s="7" t="s">
        <v>241</v>
      </c>
      <c r="C18" s="7" t="s">
        <v>11</v>
      </c>
      <c r="D18" s="43" t="s">
        <v>214</v>
      </c>
      <c r="E18" s="7" t="s">
        <v>105</v>
      </c>
      <c r="F18" s="43" t="s">
        <v>196</v>
      </c>
      <c r="G18" s="8">
        <v>1.75</v>
      </c>
      <c r="H18" s="6">
        <v>1000</v>
      </c>
      <c r="I18" s="4">
        <v>16.989999999999998</v>
      </c>
      <c r="J18" s="9">
        <f t="shared" si="0"/>
        <v>1.6989999999999998E-2</v>
      </c>
      <c r="K18" s="10">
        <f t="shared" si="1"/>
        <v>16.989999999999998</v>
      </c>
      <c r="L18" s="6"/>
      <c r="M18" s="10">
        <f t="shared" si="3"/>
        <v>0</v>
      </c>
      <c r="N18" s="7" t="s">
        <v>59</v>
      </c>
      <c r="O18" s="43" t="s">
        <v>248</v>
      </c>
      <c r="P18" s="44">
        <v>46065</v>
      </c>
      <c r="Q18" s="7"/>
      <c r="S18" t="s">
        <v>111</v>
      </c>
    </row>
    <row r="19" spans="1:19" ht="16" customHeight="1" x14ac:dyDescent="0.2">
      <c r="A19" s="7" t="s">
        <v>242</v>
      </c>
      <c r="B19" s="7" t="s">
        <v>192</v>
      </c>
      <c r="C19" s="7" t="s">
        <v>11</v>
      </c>
      <c r="D19" s="43" t="s">
        <v>243</v>
      </c>
      <c r="E19" s="7" t="s">
        <v>105</v>
      </c>
      <c r="F19" s="43" t="s">
        <v>196</v>
      </c>
      <c r="G19" s="8">
        <v>1.75</v>
      </c>
      <c r="H19" s="6">
        <v>1000</v>
      </c>
      <c r="I19" s="4">
        <v>16.989999999999998</v>
      </c>
      <c r="J19" s="9">
        <f t="shared" si="0"/>
        <v>1.6989999999999998E-2</v>
      </c>
      <c r="K19" s="10">
        <f t="shared" si="1"/>
        <v>16.989999999999998</v>
      </c>
      <c r="L19" s="6"/>
      <c r="M19" s="10">
        <f t="shared" si="3"/>
        <v>0</v>
      </c>
      <c r="N19" s="7" t="s">
        <v>59</v>
      </c>
      <c r="O19" s="43" t="s">
        <v>248</v>
      </c>
      <c r="P19" s="11"/>
      <c r="Q19" s="7"/>
      <c r="S19" t="s">
        <v>79</v>
      </c>
    </row>
    <row r="20" spans="1:19" ht="16" customHeight="1" x14ac:dyDescent="0.2">
      <c r="A20" s="7"/>
      <c r="B20" s="7"/>
      <c r="C20" s="7"/>
      <c r="D20" s="43"/>
      <c r="E20" s="7"/>
      <c r="F20" s="43"/>
      <c r="G20" s="8"/>
      <c r="H20" s="6"/>
      <c r="I20" s="4"/>
      <c r="J20" s="9" t="str">
        <f t="shared" si="0"/>
        <v/>
      </c>
      <c r="K20" s="10" t="str">
        <f t="shared" si="1"/>
        <v/>
      </c>
      <c r="L20" s="6"/>
      <c r="M20" s="10" t="str">
        <f t="shared" si="3"/>
        <v/>
      </c>
      <c r="N20" s="7"/>
      <c r="O20" s="43"/>
      <c r="P20" s="11"/>
      <c r="Q20" s="7"/>
    </row>
    <row r="21" spans="1:19" ht="16" customHeight="1" x14ac:dyDescent="0.2">
      <c r="A21" s="7"/>
      <c r="B21" s="7"/>
      <c r="C21" s="7"/>
      <c r="D21" s="43"/>
      <c r="E21" s="7"/>
      <c r="F21" s="43"/>
      <c r="G21" s="8"/>
      <c r="H21" s="6"/>
      <c r="I21" s="4"/>
      <c r="J21" s="9" t="str">
        <f t="shared" si="0"/>
        <v/>
      </c>
      <c r="K21" s="10" t="str">
        <f t="shared" si="1"/>
        <v/>
      </c>
      <c r="L21" s="6"/>
      <c r="M21" s="10" t="str">
        <f t="shared" si="3"/>
        <v/>
      </c>
      <c r="N21" s="7"/>
      <c r="O21" s="43"/>
      <c r="P21" s="11"/>
      <c r="Q21" s="7"/>
    </row>
    <row r="22" spans="1:19" ht="16" customHeight="1" x14ac:dyDescent="0.2">
      <c r="A22" s="7"/>
      <c r="B22" s="7"/>
      <c r="C22" s="7"/>
      <c r="D22" s="43"/>
      <c r="E22" s="7"/>
      <c r="F22" s="43"/>
      <c r="G22" s="8"/>
      <c r="H22" s="6"/>
      <c r="I22" s="4"/>
      <c r="J22" s="9" t="str">
        <f t="shared" si="0"/>
        <v/>
      </c>
      <c r="K22" s="10" t="str">
        <f t="shared" si="1"/>
        <v/>
      </c>
      <c r="L22" s="6"/>
      <c r="M22" s="10" t="str">
        <f t="shared" si="3"/>
        <v/>
      </c>
      <c r="N22" s="7"/>
      <c r="O22" s="43"/>
      <c r="P22" s="11"/>
      <c r="Q22" s="7"/>
    </row>
    <row r="23" spans="1:19" ht="16" customHeight="1" x14ac:dyDescent="0.2">
      <c r="A23" s="7"/>
      <c r="B23" s="7"/>
      <c r="C23" s="7"/>
      <c r="D23" s="43"/>
      <c r="E23" s="7"/>
      <c r="F23" s="43"/>
      <c r="G23" s="8"/>
      <c r="H23" s="6"/>
      <c r="I23" s="4"/>
      <c r="J23" s="9" t="str">
        <f t="shared" si="0"/>
        <v/>
      </c>
      <c r="K23" s="10" t="str">
        <f t="shared" si="1"/>
        <v/>
      </c>
      <c r="L23" s="6"/>
      <c r="M23" s="10" t="str">
        <f t="shared" si="3"/>
        <v/>
      </c>
      <c r="N23" s="7"/>
      <c r="O23" s="43"/>
      <c r="P23" s="11"/>
      <c r="Q23" s="7"/>
    </row>
    <row r="24" spans="1:19" ht="16" customHeight="1" x14ac:dyDescent="0.2">
      <c r="A24" s="7"/>
      <c r="B24" s="7"/>
      <c r="C24" s="7"/>
      <c r="D24" s="43"/>
      <c r="E24" s="7"/>
      <c r="F24" s="43"/>
      <c r="G24" s="8"/>
      <c r="H24" s="6"/>
      <c r="I24" s="4"/>
      <c r="J24" s="9" t="str">
        <f t="shared" si="0"/>
        <v/>
      </c>
      <c r="K24" s="10" t="str">
        <f t="shared" si="1"/>
        <v/>
      </c>
      <c r="L24" s="6"/>
      <c r="M24" s="10" t="str">
        <f t="shared" si="3"/>
        <v/>
      </c>
      <c r="N24" s="7"/>
      <c r="O24" s="43"/>
      <c r="P24" s="11"/>
      <c r="Q24" s="7"/>
    </row>
    <row r="25" spans="1:19" ht="16" customHeight="1" x14ac:dyDescent="0.2">
      <c r="A25" s="7"/>
      <c r="B25" s="7"/>
      <c r="C25" s="7"/>
      <c r="D25" s="43"/>
      <c r="E25" s="7"/>
      <c r="F25" s="43"/>
      <c r="G25" s="8"/>
      <c r="H25" s="6"/>
      <c r="I25" s="4"/>
      <c r="J25" s="9" t="str">
        <f t="shared" si="0"/>
        <v/>
      </c>
      <c r="K25" s="10" t="str">
        <f t="shared" si="1"/>
        <v/>
      </c>
      <c r="L25" s="6"/>
      <c r="M25" s="10" t="str">
        <f t="shared" si="3"/>
        <v/>
      </c>
      <c r="N25" s="7"/>
      <c r="O25" s="43"/>
      <c r="P25" s="11"/>
      <c r="Q25" s="7"/>
    </row>
    <row r="26" spans="1:19" ht="16" customHeight="1" x14ac:dyDescent="0.2">
      <c r="A26" s="7"/>
      <c r="B26" s="7"/>
      <c r="C26" s="7"/>
      <c r="D26" s="43"/>
      <c r="E26" s="7"/>
      <c r="F26" s="43"/>
      <c r="G26" s="8"/>
      <c r="H26" s="6"/>
      <c r="I26" s="4"/>
      <c r="J26" s="9" t="str">
        <f t="shared" si="0"/>
        <v/>
      </c>
      <c r="K26" s="10" t="str">
        <f t="shared" si="1"/>
        <v/>
      </c>
      <c r="L26" s="6"/>
      <c r="M26" s="10" t="str">
        <f t="shared" si="3"/>
        <v/>
      </c>
      <c r="N26" s="7"/>
      <c r="O26" s="43"/>
      <c r="P26" s="11"/>
      <c r="Q26" s="7"/>
    </row>
    <row r="27" spans="1:19" ht="16" customHeight="1" x14ac:dyDescent="0.2">
      <c r="A27" s="7"/>
      <c r="B27" s="7"/>
      <c r="C27" s="7"/>
      <c r="D27" s="43"/>
      <c r="E27" s="7"/>
      <c r="F27" s="43"/>
      <c r="G27" s="8"/>
      <c r="H27" s="6"/>
      <c r="I27" s="4"/>
      <c r="J27" s="9" t="str">
        <f t="shared" si="0"/>
        <v/>
      </c>
      <c r="K27" s="10" t="str">
        <f t="shared" si="1"/>
        <v/>
      </c>
      <c r="L27" s="6"/>
      <c r="M27" s="10" t="str">
        <f t="shared" si="3"/>
        <v/>
      </c>
      <c r="N27" s="7"/>
      <c r="O27" s="43"/>
      <c r="P27" s="11"/>
      <c r="Q27" s="7"/>
    </row>
    <row r="28" spans="1:19" ht="16" customHeight="1" x14ac:dyDescent="0.2">
      <c r="A28" s="7"/>
      <c r="B28" s="7"/>
      <c r="C28" s="7"/>
      <c r="D28" s="43"/>
      <c r="E28" s="7"/>
      <c r="F28" s="43"/>
      <c r="G28" s="8"/>
      <c r="H28" s="6"/>
      <c r="I28" s="4"/>
      <c r="J28" s="9" t="str">
        <f t="shared" si="0"/>
        <v/>
      </c>
      <c r="K28" s="10" t="str">
        <f t="shared" si="1"/>
        <v/>
      </c>
      <c r="L28" s="6"/>
      <c r="M28" s="10" t="str">
        <f t="shared" si="3"/>
        <v/>
      </c>
      <c r="N28" s="7"/>
      <c r="O28" s="43"/>
      <c r="P28" s="11"/>
      <c r="Q28" s="7"/>
    </row>
    <row r="29" spans="1:19" ht="16" customHeight="1" x14ac:dyDescent="0.2">
      <c r="A29" s="7"/>
      <c r="B29" s="7"/>
      <c r="C29" s="7"/>
      <c r="D29" s="43"/>
      <c r="E29" s="7"/>
      <c r="F29" s="43"/>
      <c r="G29" s="8"/>
      <c r="H29" s="6"/>
      <c r="I29" s="4"/>
      <c r="J29" s="9" t="str">
        <f t="shared" si="0"/>
        <v/>
      </c>
      <c r="K29" s="10" t="str">
        <f t="shared" si="1"/>
        <v/>
      </c>
      <c r="L29" s="6"/>
      <c r="M29" s="10" t="str">
        <f t="shared" si="3"/>
        <v/>
      </c>
      <c r="N29" s="7"/>
      <c r="O29" s="43"/>
      <c r="P29" s="11"/>
      <c r="Q29" s="7"/>
    </row>
    <row r="30" spans="1:19" ht="16" customHeight="1" x14ac:dyDescent="0.2">
      <c r="A30" s="7"/>
      <c r="B30" s="7"/>
      <c r="C30" s="7"/>
      <c r="D30" s="43"/>
      <c r="E30" s="7"/>
      <c r="F30" s="43"/>
      <c r="G30" s="8"/>
      <c r="H30" s="6"/>
      <c r="I30" s="4"/>
      <c r="J30" s="9" t="str">
        <f t="shared" si="0"/>
        <v/>
      </c>
      <c r="K30" s="10" t="str">
        <f t="shared" si="1"/>
        <v/>
      </c>
      <c r="L30" s="6"/>
      <c r="M30" s="10" t="str">
        <f t="shared" si="3"/>
        <v/>
      </c>
      <c r="N30" s="7"/>
      <c r="O30" s="43"/>
      <c r="P30" s="11"/>
      <c r="Q30" s="7"/>
    </row>
    <row r="31" spans="1:19" ht="16" customHeight="1" x14ac:dyDescent="0.2">
      <c r="A31" s="7"/>
      <c r="B31" s="7"/>
      <c r="C31" s="7"/>
      <c r="D31" s="43"/>
      <c r="E31" s="7"/>
      <c r="F31" s="43"/>
      <c r="G31" s="8"/>
      <c r="H31" s="6"/>
      <c r="I31" s="4"/>
      <c r="J31" s="9" t="str">
        <f t="shared" si="0"/>
        <v/>
      </c>
      <c r="K31" s="10" t="str">
        <f t="shared" si="1"/>
        <v/>
      </c>
      <c r="L31" s="6"/>
      <c r="M31" s="10" t="str">
        <f t="shared" si="3"/>
        <v/>
      </c>
      <c r="N31" s="7"/>
      <c r="O31" s="43"/>
      <c r="P31" s="11"/>
      <c r="Q31" s="7"/>
    </row>
    <row r="32" spans="1:19" ht="16" customHeight="1" x14ac:dyDescent="0.2">
      <c r="A32" s="7"/>
      <c r="B32" s="7"/>
      <c r="C32" s="7"/>
      <c r="D32" s="43"/>
      <c r="E32" s="7"/>
      <c r="F32" s="43"/>
      <c r="G32" s="8"/>
      <c r="H32" s="6"/>
      <c r="I32" s="4"/>
      <c r="J32" s="9" t="str">
        <f t="shared" si="0"/>
        <v/>
      </c>
      <c r="K32" s="10" t="str">
        <f t="shared" si="1"/>
        <v/>
      </c>
      <c r="L32" s="6"/>
      <c r="M32" s="10" t="str">
        <f t="shared" si="3"/>
        <v/>
      </c>
      <c r="N32" s="7"/>
      <c r="O32" s="43"/>
      <c r="P32" s="11"/>
      <c r="Q32" s="7"/>
    </row>
    <row r="33" spans="1:17" ht="16" customHeight="1" x14ac:dyDescent="0.2">
      <c r="A33" s="7"/>
      <c r="B33" s="7"/>
      <c r="C33" s="7"/>
      <c r="D33" s="43"/>
      <c r="E33" s="7"/>
      <c r="F33" s="43"/>
      <c r="G33" s="8"/>
      <c r="H33" s="6"/>
      <c r="I33" s="4"/>
      <c r="J33" s="9" t="str">
        <f t="shared" si="0"/>
        <v/>
      </c>
      <c r="K33" s="10" t="str">
        <f t="shared" si="1"/>
        <v/>
      </c>
      <c r="L33" s="6"/>
      <c r="M33" s="10" t="str">
        <f t="shared" si="3"/>
        <v/>
      </c>
      <c r="N33" s="7"/>
      <c r="O33" s="43"/>
      <c r="P33" s="11"/>
      <c r="Q33" s="7"/>
    </row>
    <row r="34" spans="1:17" ht="16" customHeight="1" x14ac:dyDescent="0.2">
      <c r="A34" s="7"/>
      <c r="B34" s="7"/>
      <c r="C34" s="7"/>
      <c r="D34" s="43"/>
      <c r="E34" s="7"/>
      <c r="F34" s="43"/>
      <c r="G34" s="8"/>
      <c r="H34" s="6"/>
      <c r="I34" s="4"/>
      <c r="J34" s="9" t="str">
        <f t="shared" si="0"/>
        <v/>
      </c>
      <c r="K34" s="10" t="str">
        <f t="shared" si="1"/>
        <v/>
      </c>
      <c r="L34" s="6"/>
      <c r="M34" s="10" t="str">
        <f t="shared" si="3"/>
        <v/>
      </c>
      <c r="N34" s="7"/>
      <c r="O34" s="43"/>
      <c r="P34" s="11"/>
      <c r="Q34" s="7"/>
    </row>
    <row r="35" spans="1:17" ht="16" customHeight="1" x14ac:dyDescent="0.2">
      <c r="A35" s="7"/>
      <c r="B35" s="7"/>
      <c r="C35" s="7"/>
      <c r="D35" s="43"/>
      <c r="E35" s="7"/>
      <c r="F35" s="43"/>
      <c r="G35" s="8"/>
      <c r="H35" s="6"/>
      <c r="I35" s="4"/>
      <c r="J35" s="9" t="str">
        <f t="shared" si="0"/>
        <v/>
      </c>
      <c r="K35" s="10" t="str">
        <f t="shared" si="1"/>
        <v/>
      </c>
      <c r="L35" s="6"/>
      <c r="M35" s="10" t="str">
        <f t="shared" si="3"/>
        <v/>
      </c>
      <c r="N35" s="7"/>
      <c r="O35" s="43"/>
      <c r="P35" s="11"/>
      <c r="Q35" s="7"/>
    </row>
    <row r="36" spans="1:17" ht="16" customHeight="1" x14ac:dyDescent="0.2">
      <c r="A36" s="7"/>
      <c r="B36" s="7"/>
      <c r="C36" s="7"/>
      <c r="D36" s="43"/>
      <c r="E36" s="7"/>
      <c r="F36" s="43"/>
      <c r="G36" s="8"/>
      <c r="H36" s="6"/>
      <c r="I36" s="4"/>
      <c r="J36" s="9" t="str">
        <f t="shared" si="0"/>
        <v/>
      </c>
      <c r="K36" s="10" t="str">
        <f t="shared" si="1"/>
        <v/>
      </c>
      <c r="L36" s="6"/>
      <c r="M36" s="10" t="str">
        <f t="shared" si="3"/>
        <v/>
      </c>
      <c r="N36" s="7"/>
      <c r="O36" s="43"/>
      <c r="P36" s="11"/>
      <c r="Q36" s="7"/>
    </row>
    <row r="37" spans="1:17" ht="16" customHeight="1" x14ac:dyDescent="0.2">
      <c r="A37" s="7"/>
      <c r="B37" s="7"/>
      <c r="C37" s="7"/>
      <c r="D37" s="43"/>
      <c r="E37" s="7"/>
      <c r="F37" s="43"/>
      <c r="G37" s="8"/>
      <c r="H37" s="6"/>
      <c r="I37" s="4"/>
      <c r="J37" s="9" t="str">
        <f t="shared" si="0"/>
        <v/>
      </c>
      <c r="K37" s="10" t="str">
        <f t="shared" si="1"/>
        <v/>
      </c>
      <c r="L37" s="6"/>
      <c r="M37" s="10" t="str">
        <f t="shared" si="3"/>
        <v/>
      </c>
      <c r="N37" s="7"/>
      <c r="O37" s="43"/>
      <c r="P37" s="11"/>
      <c r="Q37" s="7"/>
    </row>
    <row r="38" spans="1:17" ht="16" customHeight="1" x14ac:dyDescent="0.2">
      <c r="A38" s="7"/>
      <c r="B38" s="7"/>
      <c r="C38" s="7"/>
      <c r="D38" s="43"/>
      <c r="E38" s="7"/>
      <c r="F38" s="43"/>
      <c r="G38" s="8"/>
      <c r="H38" s="6"/>
      <c r="I38" s="4"/>
      <c r="J38" s="9" t="str">
        <f t="shared" si="0"/>
        <v/>
      </c>
      <c r="K38" s="10" t="str">
        <f t="shared" si="1"/>
        <v/>
      </c>
      <c r="L38" s="6"/>
      <c r="M38" s="10" t="str">
        <f t="shared" si="3"/>
        <v/>
      </c>
      <c r="N38" s="7"/>
      <c r="O38" s="43"/>
      <c r="P38" s="11"/>
      <c r="Q38" s="7"/>
    </row>
    <row r="39" spans="1:17" ht="16" customHeight="1" x14ac:dyDescent="0.2">
      <c r="A39" s="7"/>
      <c r="B39" s="7"/>
      <c r="C39" s="7"/>
      <c r="D39" s="43"/>
      <c r="E39" s="7"/>
      <c r="F39" s="43"/>
      <c r="G39" s="8"/>
      <c r="H39" s="6"/>
      <c r="I39" s="4"/>
      <c r="J39" s="9" t="str">
        <f t="shared" si="0"/>
        <v/>
      </c>
      <c r="K39" s="10" t="str">
        <f t="shared" si="1"/>
        <v/>
      </c>
      <c r="L39" s="6"/>
      <c r="M39" s="10" t="str">
        <f t="shared" si="3"/>
        <v/>
      </c>
      <c r="N39" s="7"/>
      <c r="O39" s="43"/>
      <c r="P39" s="11"/>
      <c r="Q39" s="7"/>
    </row>
    <row r="40" spans="1:17" ht="16" customHeight="1" x14ac:dyDescent="0.2">
      <c r="A40" s="7"/>
      <c r="B40" s="7"/>
      <c r="C40" s="7"/>
      <c r="D40" s="43"/>
      <c r="E40" s="7"/>
      <c r="F40" s="43"/>
      <c r="G40" s="8"/>
      <c r="H40" s="6"/>
      <c r="I40" s="4"/>
      <c r="J40" s="9" t="str">
        <f t="shared" si="0"/>
        <v/>
      </c>
      <c r="K40" s="10" t="str">
        <f t="shared" si="1"/>
        <v/>
      </c>
      <c r="L40" s="6"/>
      <c r="M40" s="10" t="str">
        <f t="shared" si="3"/>
        <v/>
      </c>
      <c r="N40" s="7"/>
      <c r="O40" s="43"/>
      <c r="P40" s="11"/>
      <c r="Q40" s="7"/>
    </row>
    <row r="41" spans="1:17" ht="16" customHeight="1" x14ac:dyDescent="0.2">
      <c r="A41" s="7"/>
      <c r="B41" s="7"/>
      <c r="C41" s="7"/>
      <c r="D41" s="43"/>
      <c r="E41" s="7"/>
      <c r="F41" s="43"/>
      <c r="G41" s="8"/>
      <c r="H41" s="6"/>
      <c r="I41" s="4"/>
      <c r="J41" s="9" t="str">
        <f t="shared" si="0"/>
        <v/>
      </c>
      <c r="K41" s="10" t="str">
        <f t="shared" si="1"/>
        <v/>
      </c>
      <c r="L41" s="6"/>
      <c r="M41" s="10" t="str">
        <f t="shared" si="3"/>
        <v/>
      </c>
      <c r="N41" s="7"/>
      <c r="O41" s="43"/>
      <c r="P41" s="11"/>
      <c r="Q41" s="7"/>
    </row>
    <row r="42" spans="1:17" ht="16" customHeight="1" x14ac:dyDescent="0.2">
      <c r="A42" s="7"/>
      <c r="B42" s="7"/>
      <c r="C42" s="7"/>
      <c r="D42" s="43"/>
      <c r="E42" s="7"/>
      <c r="F42" s="43"/>
      <c r="G42" s="8"/>
      <c r="H42" s="6"/>
      <c r="I42" s="4"/>
      <c r="J42" s="9" t="str">
        <f t="shared" si="0"/>
        <v/>
      </c>
      <c r="K42" s="10" t="str">
        <f t="shared" si="1"/>
        <v/>
      </c>
      <c r="L42" s="6"/>
      <c r="M42" s="10" t="str">
        <f t="shared" si="3"/>
        <v/>
      </c>
      <c r="N42" s="7"/>
      <c r="O42" s="43"/>
      <c r="P42" s="11"/>
      <c r="Q42" s="7"/>
    </row>
    <row r="43" spans="1:17" ht="16" customHeight="1" x14ac:dyDescent="0.2">
      <c r="A43" s="7"/>
      <c r="B43" s="7"/>
      <c r="C43" s="7"/>
      <c r="D43" s="43"/>
      <c r="E43" s="7"/>
      <c r="F43" s="43"/>
      <c r="G43" s="8"/>
      <c r="H43" s="6"/>
      <c r="I43" s="4"/>
      <c r="J43" s="9" t="str">
        <f t="shared" si="0"/>
        <v/>
      </c>
      <c r="K43" s="10" t="str">
        <f t="shared" si="1"/>
        <v/>
      </c>
      <c r="L43" s="6"/>
      <c r="M43" s="10" t="str">
        <f t="shared" si="3"/>
        <v/>
      </c>
      <c r="N43" s="7"/>
      <c r="O43" s="43"/>
      <c r="P43" s="11"/>
      <c r="Q43" s="7"/>
    </row>
    <row r="44" spans="1:17" ht="16" customHeight="1" x14ac:dyDescent="0.2">
      <c r="A44" s="7"/>
      <c r="B44" s="7"/>
      <c r="C44" s="7"/>
      <c r="D44" s="43"/>
      <c r="E44" s="7"/>
      <c r="F44" s="43"/>
      <c r="G44" s="8"/>
      <c r="H44" s="6"/>
      <c r="I44" s="4"/>
      <c r="J44" s="9" t="str">
        <f t="shared" si="0"/>
        <v/>
      </c>
      <c r="K44" s="10" t="str">
        <f t="shared" si="1"/>
        <v/>
      </c>
      <c r="L44" s="6"/>
      <c r="M44" s="10" t="str">
        <f t="shared" si="3"/>
        <v/>
      </c>
      <c r="N44" s="7"/>
      <c r="O44" s="43"/>
      <c r="P44" s="11"/>
      <c r="Q44" s="7"/>
    </row>
    <row r="45" spans="1:17" ht="16" customHeight="1" x14ac:dyDescent="0.2">
      <c r="A45" s="7"/>
      <c r="B45" s="7"/>
      <c r="C45" s="7"/>
      <c r="D45" s="43"/>
      <c r="E45" s="7"/>
      <c r="F45" s="43"/>
      <c r="G45" s="8"/>
      <c r="H45" s="6"/>
      <c r="I45" s="4"/>
      <c r="J45" s="9" t="str">
        <f t="shared" si="0"/>
        <v/>
      </c>
      <c r="K45" s="10" t="str">
        <f t="shared" si="1"/>
        <v/>
      </c>
      <c r="L45" s="6"/>
      <c r="M45" s="10" t="str">
        <f t="shared" si="3"/>
        <v/>
      </c>
      <c r="N45" s="7"/>
      <c r="O45" s="43"/>
      <c r="P45" s="11"/>
      <c r="Q45" s="7"/>
    </row>
    <row r="46" spans="1:17" ht="16" customHeight="1" x14ac:dyDescent="0.2">
      <c r="A46" s="7"/>
      <c r="B46" s="7"/>
      <c r="C46" s="7"/>
      <c r="D46" s="43"/>
      <c r="E46" s="7"/>
      <c r="F46" s="43"/>
      <c r="G46" s="8"/>
      <c r="H46" s="6"/>
      <c r="I46" s="4"/>
      <c r="J46" s="9" t="str">
        <f t="shared" si="0"/>
        <v/>
      </c>
      <c r="K46" s="10" t="str">
        <f t="shared" si="1"/>
        <v/>
      </c>
      <c r="L46" s="6"/>
      <c r="M46" s="10" t="str">
        <f t="shared" si="3"/>
        <v/>
      </c>
      <c r="N46" s="7"/>
      <c r="O46" s="43"/>
      <c r="P46" s="11"/>
      <c r="Q46" s="7"/>
    </row>
    <row r="47" spans="1:17" ht="16" customHeight="1" x14ac:dyDescent="0.2">
      <c r="A47" s="7"/>
      <c r="B47" s="7"/>
      <c r="C47" s="7"/>
      <c r="D47" s="43"/>
      <c r="E47" s="7"/>
      <c r="F47" s="43"/>
      <c r="G47" s="8"/>
      <c r="H47" s="6"/>
      <c r="I47" s="4"/>
      <c r="J47" s="9" t="str">
        <f t="shared" si="0"/>
        <v/>
      </c>
      <c r="K47" s="10" t="str">
        <f t="shared" si="1"/>
        <v/>
      </c>
      <c r="L47" s="6"/>
      <c r="M47" s="10" t="str">
        <f t="shared" si="3"/>
        <v/>
      </c>
      <c r="N47" s="7"/>
      <c r="O47" s="43"/>
      <c r="P47" s="11"/>
      <c r="Q47" s="7"/>
    </row>
    <row r="48" spans="1:17" ht="16" customHeight="1" x14ac:dyDescent="0.2">
      <c r="A48" s="7"/>
      <c r="B48" s="7"/>
      <c r="C48" s="7"/>
      <c r="D48" s="43"/>
      <c r="E48" s="7"/>
      <c r="F48" s="43"/>
      <c r="G48" s="8"/>
      <c r="H48" s="6"/>
      <c r="I48" s="4"/>
      <c r="J48" s="9" t="str">
        <f t="shared" si="0"/>
        <v/>
      </c>
      <c r="K48" s="10" t="str">
        <f t="shared" si="1"/>
        <v/>
      </c>
      <c r="L48" s="6"/>
      <c r="M48" s="10" t="str">
        <f t="shared" si="3"/>
        <v/>
      </c>
      <c r="N48" s="7"/>
      <c r="O48" s="43"/>
      <c r="P48" s="11"/>
      <c r="Q48" s="7"/>
    </row>
    <row r="49" spans="1:17" ht="16" customHeight="1" x14ac:dyDescent="0.2">
      <c r="A49" s="7"/>
      <c r="B49" s="7"/>
      <c r="C49" s="7"/>
      <c r="D49" s="43"/>
      <c r="E49" s="7"/>
      <c r="F49" s="43"/>
      <c r="G49" s="8"/>
      <c r="H49" s="6"/>
      <c r="I49" s="4"/>
      <c r="J49" s="9" t="str">
        <f t="shared" si="0"/>
        <v/>
      </c>
      <c r="K49" s="10" t="str">
        <f t="shared" si="1"/>
        <v/>
      </c>
      <c r="L49" s="6"/>
      <c r="M49" s="10" t="str">
        <f t="shared" si="3"/>
        <v/>
      </c>
      <c r="N49" s="7"/>
      <c r="O49" s="43"/>
      <c r="P49" s="11"/>
      <c r="Q49" s="7"/>
    </row>
    <row r="50" spans="1:17" ht="16" customHeight="1" x14ac:dyDescent="0.2">
      <c r="A50" s="7"/>
      <c r="B50" s="7"/>
      <c r="C50" s="7"/>
      <c r="D50" s="43"/>
      <c r="E50" s="7"/>
      <c r="F50" s="43"/>
      <c r="G50" s="8"/>
      <c r="H50" s="6"/>
      <c r="I50" s="4"/>
      <c r="J50" s="9" t="str">
        <f t="shared" si="0"/>
        <v/>
      </c>
      <c r="K50" s="10" t="str">
        <f t="shared" si="1"/>
        <v/>
      </c>
      <c r="L50" s="6"/>
      <c r="M50" s="10" t="str">
        <f t="shared" si="3"/>
        <v/>
      </c>
      <c r="N50" s="7"/>
      <c r="O50" s="43"/>
      <c r="P50" s="11"/>
      <c r="Q50" s="7"/>
    </row>
    <row r="51" spans="1:17" ht="16" customHeight="1" x14ac:dyDescent="0.2">
      <c r="A51" s="7"/>
      <c r="B51" s="7"/>
      <c r="C51" s="7"/>
      <c r="D51" s="43"/>
      <c r="E51" s="7"/>
      <c r="F51" s="43"/>
      <c r="G51" s="8"/>
      <c r="H51" s="6"/>
      <c r="I51" s="4"/>
      <c r="J51" s="9" t="str">
        <f t="shared" si="0"/>
        <v/>
      </c>
      <c r="K51" s="10" t="str">
        <f t="shared" si="1"/>
        <v/>
      </c>
      <c r="L51" s="6"/>
      <c r="M51" s="10" t="str">
        <f t="shared" si="3"/>
        <v/>
      </c>
      <c r="N51" s="7"/>
      <c r="O51" s="43"/>
      <c r="P51" s="11"/>
      <c r="Q51" s="7"/>
    </row>
    <row r="52" spans="1:17" ht="16" customHeight="1" x14ac:dyDescent="0.2">
      <c r="A52" s="7"/>
      <c r="B52" s="7"/>
      <c r="C52" s="7"/>
      <c r="D52" s="43"/>
      <c r="E52" s="7"/>
      <c r="F52" s="43"/>
      <c r="G52" s="8"/>
      <c r="H52" s="6"/>
      <c r="I52" s="4"/>
      <c r="J52" s="9" t="str">
        <f t="shared" si="0"/>
        <v/>
      </c>
      <c r="K52" s="10" t="str">
        <f t="shared" si="1"/>
        <v/>
      </c>
      <c r="L52" s="6"/>
      <c r="M52" s="10" t="str">
        <f t="shared" si="3"/>
        <v/>
      </c>
      <c r="N52" s="7"/>
      <c r="O52" s="43"/>
      <c r="P52" s="11"/>
      <c r="Q52" s="7"/>
    </row>
    <row r="53" spans="1:17" ht="16" customHeight="1" x14ac:dyDescent="0.2">
      <c r="A53" s="7"/>
      <c r="B53" s="7"/>
      <c r="C53" s="7"/>
      <c r="D53" s="43"/>
      <c r="E53" s="7"/>
      <c r="F53" s="43"/>
      <c r="G53" s="8"/>
      <c r="H53" s="6"/>
      <c r="I53" s="4"/>
      <c r="J53" s="9" t="str">
        <f t="shared" si="0"/>
        <v/>
      </c>
      <c r="K53" s="10" t="str">
        <f t="shared" si="1"/>
        <v/>
      </c>
      <c r="L53" s="6"/>
      <c r="M53" s="10" t="str">
        <f t="shared" si="3"/>
        <v/>
      </c>
      <c r="N53" s="7"/>
      <c r="O53" s="43"/>
      <c r="P53" s="11"/>
      <c r="Q53" s="7"/>
    </row>
    <row r="54" spans="1:17" ht="16" customHeight="1" x14ac:dyDescent="0.2">
      <c r="A54" s="7"/>
      <c r="B54" s="7"/>
      <c r="C54" s="7"/>
      <c r="D54" s="43"/>
      <c r="E54" s="7"/>
      <c r="F54" s="43"/>
      <c r="G54" s="8"/>
      <c r="H54" s="6"/>
      <c r="I54" s="4"/>
      <c r="J54" s="9" t="str">
        <f t="shared" si="0"/>
        <v/>
      </c>
      <c r="K54" s="10" t="str">
        <f t="shared" si="1"/>
        <v/>
      </c>
      <c r="L54" s="6"/>
      <c r="M54" s="10" t="str">
        <f t="shared" si="3"/>
        <v/>
      </c>
      <c r="N54" s="7"/>
      <c r="O54" s="43"/>
      <c r="P54" s="11"/>
      <c r="Q54" s="7"/>
    </row>
    <row r="55" spans="1:17" ht="16" customHeight="1" x14ac:dyDescent="0.2">
      <c r="A55" s="7"/>
      <c r="B55" s="7"/>
      <c r="C55" s="7"/>
      <c r="D55" s="43"/>
      <c r="E55" s="7"/>
      <c r="F55" s="43"/>
      <c r="G55" s="8"/>
      <c r="H55" s="6"/>
      <c r="I55" s="4"/>
      <c r="J55" s="9" t="str">
        <f t="shared" si="0"/>
        <v/>
      </c>
      <c r="K55" s="10" t="str">
        <f t="shared" si="1"/>
        <v/>
      </c>
      <c r="L55" s="6"/>
      <c r="M55" s="10" t="str">
        <f t="shared" si="3"/>
        <v/>
      </c>
      <c r="N55" s="7"/>
      <c r="O55" s="43"/>
      <c r="P55" s="11"/>
      <c r="Q55" s="7"/>
    </row>
    <row r="56" spans="1:17" ht="16" customHeight="1" x14ac:dyDescent="0.2">
      <c r="A56" s="7"/>
      <c r="B56" s="7"/>
      <c r="C56" s="7"/>
      <c r="D56" s="43"/>
      <c r="E56" s="7"/>
      <c r="F56" s="43"/>
      <c r="G56" s="8"/>
      <c r="H56" s="6"/>
      <c r="I56" s="4"/>
      <c r="J56" s="9" t="str">
        <f t="shared" si="0"/>
        <v/>
      </c>
      <c r="K56" s="10" t="str">
        <f t="shared" si="1"/>
        <v/>
      </c>
      <c r="L56" s="6"/>
      <c r="M56" s="10" t="str">
        <f t="shared" si="3"/>
        <v/>
      </c>
      <c r="N56" s="7"/>
      <c r="O56" s="43"/>
      <c r="P56" s="11"/>
      <c r="Q56" s="7"/>
    </row>
    <row r="57" spans="1:17" ht="16" customHeight="1" x14ac:dyDescent="0.2">
      <c r="A57" s="7"/>
      <c r="B57" s="7"/>
      <c r="C57" s="7"/>
      <c r="D57" s="43"/>
      <c r="E57" s="7"/>
      <c r="F57" s="43"/>
      <c r="G57" s="8"/>
      <c r="H57" s="6"/>
      <c r="I57" s="4"/>
      <c r="J57" s="9" t="str">
        <f t="shared" si="0"/>
        <v/>
      </c>
      <c r="K57" s="10" t="str">
        <f t="shared" si="1"/>
        <v/>
      </c>
      <c r="L57" s="6"/>
      <c r="M57" s="10" t="str">
        <f t="shared" si="3"/>
        <v/>
      </c>
      <c r="N57" s="7"/>
      <c r="O57" s="43"/>
      <c r="P57" s="11"/>
      <c r="Q57" s="7"/>
    </row>
    <row r="58" spans="1:17" ht="16" customHeight="1" x14ac:dyDescent="0.2">
      <c r="A58" s="7"/>
      <c r="B58" s="7"/>
      <c r="C58" s="7"/>
      <c r="D58" s="43"/>
      <c r="E58" s="7"/>
      <c r="F58" s="43"/>
      <c r="G58" s="8"/>
      <c r="H58" s="6"/>
      <c r="I58" s="4"/>
      <c r="J58" s="9" t="str">
        <f t="shared" si="0"/>
        <v/>
      </c>
      <c r="K58" s="10" t="str">
        <f t="shared" si="1"/>
        <v/>
      </c>
      <c r="L58" s="6"/>
      <c r="M58" s="10" t="str">
        <f t="shared" si="3"/>
        <v/>
      </c>
      <c r="N58" s="7"/>
      <c r="O58" s="43"/>
      <c r="P58" s="11"/>
      <c r="Q58" s="7"/>
    </row>
    <row r="59" spans="1:17" ht="16" customHeight="1" x14ac:dyDescent="0.2">
      <c r="A59" s="7"/>
      <c r="B59" s="7"/>
      <c r="C59" s="7"/>
      <c r="D59" s="43"/>
      <c r="E59" s="7"/>
      <c r="F59" s="43"/>
      <c r="G59" s="8"/>
      <c r="H59" s="6"/>
      <c r="I59" s="4"/>
      <c r="J59" s="9" t="str">
        <f t="shared" si="0"/>
        <v/>
      </c>
      <c r="K59" s="10" t="str">
        <f t="shared" si="1"/>
        <v/>
      </c>
      <c r="L59" s="6"/>
      <c r="M59" s="10" t="str">
        <f t="shared" si="3"/>
        <v/>
      </c>
      <c r="N59" s="7"/>
      <c r="O59" s="43"/>
      <c r="P59" s="11"/>
      <c r="Q59" s="7"/>
    </row>
    <row r="60" spans="1:17" ht="16" customHeight="1" x14ac:dyDescent="0.2">
      <c r="A60" s="7"/>
      <c r="B60" s="7"/>
      <c r="C60" s="7"/>
      <c r="D60" s="43"/>
      <c r="E60" s="7"/>
      <c r="F60" s="43"/>
      <c r="G60" s="8"/>
      <c r="H60" s="6"/>
      <c r="I60" s="4"/>
      <c r="J60" s="9" t="str">
        <f t="shared" si="0"/>
        <v/>
      </c>
      <c r="K60" s="10" t="str">
        <f t="shared" si="1"/>
        <v/>
      </c>
      <c r="L60" s="6"/>
      <c r="M60" s="10" t="str">
        <f t="shared" si="3"/>
        <v/>
      </c>
      <c r="N60" s="7"/>
      <c r="O60" s="43"/>
      <c r="P60" s="11"/>
      <c r="Q60" s="7"/>
    </row>
    <row r="61" spans="1:17" ht="16" customHeight="1" x14ac:dyDescent="0.2">
      <c r="A61" s="7"/>
      <c r="B61" s="7"/>
      <c r="C61" s="7"/>
      <c r="D61" s="43"/>
      <c r="E61" s="7"/>
      <c r="F61" s="43"/>
      <c r="G61" s="8"/>
      <c r="H61" s="6"/>
      <c r="I61" s="4"/>
      <c r="J61" s="9" t="str">
        <f t="shared" si="0"/>
        <v/>
      </c>
      <c r="K61" s="10" t="str">
        <f t="shared" si="1"/>
        <v/>
      </c>
      <c r="L61" s="6"/>
      <c r="M61" s="10" t="str">
        <f t="shared" si="3"/>
        <v/>
      </c>
      <c r="N61" s="7"/>
      <c r="O61" s="43"/>
      <c r="P61" s="11"/>
      <c r="Q61" s="7"/>
    </row>
    <row r="62" spans="1:17" ht="16" customHeight="1" x14ac:dyDescent="0.2">
      <c r="A62" s="7"/>
      <c r="B62" s="7"/>
      <c r="C62" s="7"/>
      <c r="D62" s="43"/>
      <c r="E62" s="7"/>
      <c r="F62" s="43"/>
      <c r="G62" s="8"/>
      <c r="H62" s="6"/>
      <c r="I62" s="4"/>
      <c r="J62" s="9" t="str">
        <f t="shared" si="0"/>
        <v/>
      </c>
      <c r="K62" s="10" t="str">
        <f t="shared" si="1"/>
        <v/>
      </c>
      <c r="L62" s="6"/>
      <c r="M62" s="10" t="str">
        <f t="shared" si="3"/>
        <v/>
      </c>
      <c r="N62" s="7"/>
      <c r="O62" s="43"/>
      <c r="P62" s="11"/>
      <c r="Q62" s="7"/>
    </row>
    <row r="63" spans="1:17" ht="16" customHeight="1" x14ac:dyDescent="0.2">
      <c r="A63" s="7"/>
      <c r="B63" s="7"/>
      <c r="C63" s="7"/>
      <c r="D63" s="43"/>
      <c r="E63" s="7"/>
      <c r="F63" s="43"/>
      <c r="G63" s="8"/>
      <c r="H63" s="6"/>
      <c r="I63" s="4"/>
      <c r="J63" s="9" t="str">
        <f t="shared" si="0"/>
        <v/>
      </c>
      <c r="K63" s="10" t="str">
        <f t="shared" si="1"/>
        <v/>
      </c>
      <c r="L63" s="6"/>
      <c r="M63" s="10" t="str">
        <f t="shared" si="3"/>
        <v/>
      </c>
      <c r="N63" s="7"/>
      <c r="O63" s="43"/>
      <c r="P63" s="11"/>
      <c r="Q63" s="7"/>
    </row>
    <row r="64" spans="1:17" ht="16" customHeight="1" x14ac:dyDescent="0.2">
      <c r="A64" s="7"/>
      <c r="B64" s="7"/>
      <c r="C64" s="7"/>
      <c r="D64" s="43"/>
      <c r="E64" s="7"/>
      <c r="F64" s="43"/>
      <c r="G64" s="8"/>
      <c r="H64" s="6"/>
      <c r="I64" s="4"/>
      <c r="J64" s="9" t="str">
        <f t="shared" si="0"/>
        <v/>
      </c>
      <c r="K64" s="10" t="str">
        <f t="shared" si="1"/>
        <v/>
      </c>
      <c r="L64" s="6"/>
      <c r="M64" s="10" t="str">
        <f t="shared" si="3"/>
        <v/>
      </c>
      <c r="N64" s="7"/>
      <c r="O64" s="43"/>
      <c r="P64" s="11"/>
      <c r="Q64" s="7"/>
    </row>
    <row r="65" spans="1:17" ht="16" customHeight="1" x14ac:dyDescent="0.2">
      <c r="A65" s="7"/>
      <c r="B65" s="7"/>
      <c r="C65" s="7"/>
      <c r="D65" s="43"/>
      <c r="E65" s="7"/>
      <c r="F65" s="43"/>
      <c r="G65" s="8"/>
      <c r="H65" s="6"/>
      <c r="I65" s="4"/>
      <c r="J65" s="9" t="str">
        <f t="shared" si="0"/>
        <v/>
      </c>
      <c r="K65" s="10" t="str">
        <f t="shared" si="1"/>
        <v/>
      </c>
      <c r="L65" s="6"/>
      <c r="M65" s="10" t="str">
        <f t="shared" si="3"/>
        <v/>
      </c>
      <c r="N65" s="7"/>
      <c r="O65" s="43"/>
      <c r="P65" s="11"/>
      <c r="Q65" s="7"/>
    </row>
    <row r="66" spans="1:17" ht="16" customHeight="1" x14ac:dyDescent="0.2">
      <c r="A66" s="7"/>
      <c r="B66" s="7"/>
      <c r="C66" s="7"/>
      <c r="D66" s="43"/>
      <c r="E66" s="7"/>
      <c r="F66" s="43"/>
      <c r="G66" s="8"/>
      <c r="H66" s="6"/>
      <c r="I66" s="4"/>
      <c r="J66" s="9" t="str">
        <f t="shared" si="0"/>
        <v/>
      </c>
      <c r="K66" s="10" t="str">
        <f t="shared" si="1"/>
        <v/>
      </c>
      <c r="L66" s="6"/>
      <c r="M66" s="10" t="str">
        <f t="shared" si="3"/>
        <v/>
      </c>
      <c r="N66" s="7"/>
      <c r="O66" s="43"/>
      <c r="P66" s="11"/>
      <c r="Q66" s="7"/>
    </row>
    <row r="67" spans="1:17" ht="16" customHeight="1" x14ac:dyDescent="0.2">
      <c r="A67" s="7"/>
      <c r="B67" s="7"/>
      <c r="C67" s="7"/>
      <c r="D67" s="43"/>
      <c r="E67" s="7"/>
      <c r="F67" s="43"/>
      <c r="G67" s="8"/>
      <c r="H67" s="6"/>
      <c r="I67" s="4"/>
      <c r="J67" s="9" t="str">
        <f t="shared" si="0"/>
        <v/>
      </c>
      <c r="K67" s="10" t="str">
        <f t="shared" si="1"/>
        <v/>
      </c>
      <c r="L67" s="6"/>
      <c r="M67" s="10" t="str">
        <f t="shared" si="3"/>
        <v/>
      </c>
      <c r="N67" s="7"/>
      <c r="O67" s="43"/>
      <c r="P67" s="11"/>
      <c r="Q67" s="7"/>
    </row>
    <row r="68" spans="1:17" ht="16" customHeight="1" x14ac:dyDescent="0.2">
      <c r="A68" s="7"/>
      <c r="B68" s="7"/>
      <c r="C68" s="7"/>
      <c r="D68" s="43"/>
      <c r="E68" s="7"/>
      <c r="F68" s="43"/>
      <c r="G68" s="8"/>
      <c r="H68" s="6"/>
      <c r="I68" s="4"/>
      <c r="J68" s="9" t="str">
        <f t="shared" si="0"/>
        <v/>
      </c>
      <c r="K68" s="10" t="str">
        <f t="shared" si="1"/>
        <v/>
      </c>
      <c r="L68" s="6"/>
      <c r="M68" s="10" t="str">
        <f t="shared" si="3"/>
        <v/>
      </c>
      <c r="N68" s="7"/>
      <c r="O68" s="43"/>
      <c r="P68" s="11"/>
      <c r="Q68" s="7"/>
    </row>
    <row r="69" spans="1:17" ht="16" customHeight="1" x14ac:dyDescent="0.2">
      <c r="A69" s="7"/>
      <c r="B69" s="7"/>
      <c r="C69" s="7"/>
      <c r="D69" s="43"/>
      <c r="E69" s="7"/>
      <c r="F69" s="43"/>
      <c r="G69" s="8"/>
      <c r="H69" s="6"/>
      <c r="I69" s="4"/>
      <c r="J69" s="9" t="str">
        <f t="shared" si="0"/>
        <v/>
      </c>
      <c r="K69" s="10" t="str">
        <f t="shared" si="1"/>
        <v/>
      </c>
      <c r="L69" s="6"/>
      <c r="M69" s="10" t="str">
        <f t="shared" si="3"/>
        <v/>
      </c>
      <c r="N69" s="7"/>
      <c r="O69" s="43"/>
      <c r="P69" s="11"/>
      <c r="Q69" s="7"/>
    </row>
    <row r="70" spans="1:17" ht="16" customHeight="1" x14ac:dyDescent="0.2">
      <c r="A70" s="7"/>
      <c r="B70" s="7"/>
      <c r="C70" s="7"/>
      <c r="D70" s="43"/>
      <c r="E70" s="7"/>
      <c r="F70" s="43"/>
      <c r="G70" s="8"/>
      <c r="H70" s="6"/>
      <c r="I70" s="4"/>
      <c r="J70" s="9" t="str">
        <f t="shared" si="0"/>
        <v/>
      </c>
      <c r="K70" s="10" t="str">
        <f t="shared" si="1"/>
        <v/>
      </c>
      <c r="L70" s="6"/>
      <c r="M70" s="10" t="str">
        <f t="shared" si="3"/>
        <v/>
      </c>
      <c r="N70" s="7"/>
      <c r="O70" s="43"/>
      <c r="P70" s="11"/>
      <c r="Q70" s="7"/>
    </row>
    <row r="71" spans="1:17" ht="16" customHeight="1" x14ac:dyDescent="0.2">
      <c r="A71" s="7"/>
      <c r="B71" s="7"/>
      <c r="C71" s="7"/>
      <c r="D71" s="43"/>
      <c r="E71" s="7"/>
      <c r="F71" s="43"/>
      <c r="G71" s="8"/>
      <c r="H71" s="6"/>
      <c r="I71" s="4"/>
      <c r="J71" s="9" t="str">
        <f t="shared" si="0"/>
        <v/>
      </c>
      <c r="K71" s="10" t="str">
        <f t="shared" si="1"/>
        <v/>
      </c>
      <c r="L71" s="6"/>
      <c r="M71" s="10" t="str">
        <f t="shared" si="3"/>
        <v/>
      </c>
      <c r="N71" s="7"/>
      <c r="O71" s="43"/>
      <c r="P71" s="11"/>
      <c r="Q71" s="7"/>
    </row>
    <row r="72" spans="1:17" ht="16" customHeight="1" x14ac:dyDescent="0.2">
      <c r="A72" s="7"/>
      <c r="B72" s="7"/>
      <c r="C72" s="7"/>
      <c r="D72" s="43"/>
      <c r="E72" s="7"/>
      <c r="F72" s="43"/>
      <c r="G72" s="8"/>
      <c r="H72" s="6"/>
      <c r="I72" s="4"/>
      <c r="J72" s="9" t="str">
        <f t="shared" si="0"/>
        <v/>
      </c>
      <c r="K72" s="10" t="str">
        <f t="shared" si="1"/>
        <v/>
      </c>
      <c r="L72" s="6"/>
      <c r="M72" s="10" t="str">
        <f t="shared" si="3"/>
        <v/>
      </c>
      <c r="N72" s="7"/>
      <c r="O72" s="43"/>
      <c r="P72" s="11"/>
      <c r="Q72" s="7"/>
    </row>
    <row r="73" spans="1:17" ht="16" customHeight="1" x14ac:dyDescent="0.2">
      <c r="A73" s="7"/>
      <c r="B73" s="7"/>
      <c r="C73" s="7"/>
      <c r="D73" s="43"/>
      <c r="E73" s="7"/>
      <c r="F73" s="43"/>
      <c r="G73" s="8"/>
      <c r="H73" s="6"/>
      <c r="I73" s="4"/>
      <c r="J73" s="9" t="str">
        <f t="shared" si="0"/>
        <v/>
      </c>
      <c r="K73" s="10" t="str">
        <f t="shared" si="1"/>
        <v/>
      </c>
      <c r="L73" s="6"/>
      <c r="M73" s="10" t="str">
        <f t="shared" si="3"/>
        <v/>
      </c>
      <c r="N73" s="7"/>
      <c r="O73" s="43"/>
      <c r="P73" s="11"/>
      <c r="Q73" s="7"/>
    </row>
    <row r="74" spans="1:17" ht="16" customHeight="1" x14ac:dyDescent="0.2">
      <c r="A74" s="7"/>
      <c r="B74" s="7"/>
      <c r="C74" s="7"/>
      <c r="D74" s="43"/>
      <c r="E74" s="7"/>
      <c r="F74" s="43"/>
      <c r="G74" s="8"/>
      <c r="H74" s="6"/>
      <c r="I74" s="4"/>
      <c r="J74" s="9" t="str">
        <f t="shared" ref="J74:J137" si="4">IFERROR(I74/H74,"")</f>
        <v/>
      </c>
      <c r="K74" s="10" t="str">
        <f t="shared" ref="K74:K137" si="5">IFERROR(J74*1000,"")</f>
        <v/>
      </c>
      <c r="L74" s="6"/>
      <c r="M74" s="10" t="str">
        <f t="shared" ref="M74:M137" si="6">IFERROR(L74*J74,"")</f>
        <v/>
      </c>
      <c r="N74" s="7"/>
      <c r="O74" s="43"/>
      <c r="P74" s="11"/>
      <c r="Q74" s="7"/>
    </row>
    <row r="75" spans="1:17" ht="16" customHeight="1" x14ac:dyDescent="0.2">
      <c r="A75" s="7"/>
      <c r="B75" s="7"/>
      <c r="C75" s="7"/>
      <c r="D75" s="43"/>
      <c r="E75" s="7"/>
      <c r="F75" s="43"/>
      <c r="G75" s="8"/>
      <c r="H75" s="6"/>
      <c r="I75" s="4"/>
      <c r="J75" s="9" t="str">
        <f t="shared" si="4"/>
        <v/>
      </c>
      <c r="K75" s="10" t="str">
        <f t="shared" si="5"/>
        <v/>
      </c>
      <c r="L75" s="6"/>
      <c r="M75" s="10" t="str">
        <f t="shared" si="6"/>
        <v/>
      </c>
      <c r="N75" s="7"/>
      <c r="O75" s="43"/>
      <c r="P75" s="11"/>
      <c r="Q75" s="7"/>
    </row>
    <row r="76" spans="1:17" ht="16" customHeight="1" x14ac:dyDescent="0.2">
      <c r="A76" s="7"/>
      <c r="B76" s="7"/>
      <c r="C76" s="7"/>
      <c r="D76" s="43"/>
      <c r="E76" s="7"/>
      <c r="F76" s="43"/>
      <c r="G76" s="8"/>
      <c r="H76" s="6"/>
      <c r="I76" s="4"/>
      <c r="J76" s="9" t="str">
        <f t="shared" si="4"/>
        <v/>
      </c>
      <c r="K76" s="10" t="str">
        <f t="shared" si="5"/>
        <v/>
      </c>
      <c r="L76" s="6"/>
      <c r="M76" s="10" t="str">
        <f t="shared" si="6"/>
        <v/>
      </c>
      <c r="N76" s="7"/>
      <c r="O76" s="43"/>
      <c r="P76" s="11"/>
      <c r="Q76" s="7"/>
    </row>
    <row r="77" spans="1:17" ht="16" customHeight="1" x14ac:dyDescent="0.2">
      <c r="A77" s="7"/>
      <c r="B77" s="7"/>
      <c r="C77" s="7"/>
      <c r="D77" s="43"/>
      <c r="E77" s="7"/>
      <c r="F77" s="43"/>
      <c r="G77" s="8"/>
      <c r="H77" s="6"/>
      <c r="I77" s="4"/>
      <c r="J77" s="9" t="str">
        <f t="shared" si="4"/>
        <v/>
      </c>
      <c r="K77" s="10" t="str">
        <f t="shared" si="5"/>
        <v/>
      </c>
      <c r="L77" s="6"/>
      <c r="M77" s="10" t="str">
        <f t="shared" si="6"/>
        <v/>
      </c>
      <c r="N77" s="7"/>
      <c r="O77" s="43"/>
      <c r="P77" s="11"/>
      <c r="Q77" s="7"/>
    </row>
    <row r="78" spans="1:17" ht="16" customHeight="1" x14ac:dyDescent="0.2">
      <c r="A78" s="7"/>
      <c r="B78" s="7"/>
      <c r="C78" s="7"/>
      <c r="D78" s="43"/>
      <c r="E78" s="7"/>
      <c r="F78" s="43"/>
      <c r="G78" s="8"/>
      <c r="H78" s="6"/>
      <c r="I78" s="4"/>
      <c r="J78" s="9" t="str">
        <f t="shared" si="4"/>
        <v/>
      </c>
      <c r="K78" s="10" t="str">
        <f t="shared" si="5"/>
        <v/>
      </c>
      <c r="L78" s="6"/>
      <c r="M78" s="10" t="str">
        <f t="shared" si="6"/>
        <v/>
      </c>
      <c r="N78" s="7"/>
      <c r="O78" s="43"/>
      <c r="P78" s="11"/>
      <c r="Q78" s="7"/>
    </row>
    <row r="79" spans="1:17" ht="16" customHeight="1" x14ac:dyDescent="0.2">
      <c r="A79" s="7"/>
      <c r="B79" s="7"/>
      <c r="C79" s="7"/>
      <c r="D79" s="43"/>
      <c r="E79" s="7"/>
      <c r="F79" s="43"/>
      <c r="G79" s="8"/>
      <c r="H79" s="6"/>
      <c r="I79" s="4"/>
      <c r="J79" s="9" t="str">
        <f t="shared" si="4"/>
        <v/>
      </c>
      <c r="K79" s="10" t="str">
        <f t="shared" si="5"/>
        <v/>
      </c>
      <c r="L79" s="6"/>
      <c r="M79" s="10" t="str">
        <f t="shared" si="6"/>
        <v/>
      </c>
      <c r="N79" s="7"/>
      <c r="O79" s="43"/>
      <c r="P79" s="11"/>
      <c r="Q79" s="7"/>
    </row>
    <row r="80" spans="1:17" ht="16" customHeight="1" x14ac:dyDescent="0.2">
      <c r="A80" s="7"/>
      <c r="B80" s="7"/>
      <c r="C80" s="7"/>
      <c r="D80" s="43"/>
      <c r="E80" s="7"/>
      <c r="F80" s="43"/>
      <c r="G80" s="8"/>
      <c r="H80" s="6"/>
      <c r="I80" s="4"/>
      <c r="J80" s="9" t="str">
        <f t="shared" si="4"/>
        <v/>
      </c>
      <c r="K80" s="10" t="str">
        <f t="shared" si="5"/>
        <v/>
      </c>
      <c r="L80" s="6"/>
      <c r="M80" s="10" t="str">
        <f t="shared" si="6"/>
        <v/>
      </c>
      <c r="N80" s="7"/>
      <c r="O80" s="43"/>
      <c r="P80" s="11"/>
      <c r="Q80" s="7"/>
    </row>
    <row r="81" spans="1:17" ht="16" customHeight="1" x14ac:dyDescent="0.2">
      <c r="A81" s="7"/>
      <c r="B81" s="7"/>
      <c r="C81" s="7"/>
      <c r="D81" s="43"/>
      <c r="E81" s="7"/>
      <c r="F81" s="43"/>
      <c r="G81" s="8"/>
      <c r="H81" s="6"/>
      <c r="I81" s="4"/>
      <c r="J81" s="9" t="str">
        <f t="shared" si="4"/>
        <v/>
      </c>
      <c r="K81" s="10" t="str">
        <f t="shared" si="5"/>
        <v/>
      </c>
      <c r="L81" s="6"/>
      <c r="M81" s="10" t="str">
        <f t="shared" si="6"/>
        <v/>
      </c>
      <c r="N81" s="7"/>
      <c r="O81" s="43"/>
      <c r="P81" s="11"/>
      <c r="Q81" s="7"/>
    </row>
    <row r="82" spans="1:17" ht="16" customHeight="1" x14ac:dyDescent="0.2">
      <c r="A82" s="7"/>
      <c r="B82" s="7"/>
      <c r="C82" s="7"/>
      <c r="D82" s="43"/>
      <c r="E82" s="7"/>
      <c r="F82" s="43"/>
      <c r="G82" s="8"/>
      <c r="H82" s="6"/>
      <c r="I82" s="4"/>
      <c r="J82" s="9" t="str">
        <f t="shared" si="4"/>
        <v/>
      </c>
      <c r="K82" s="10" t="str">
        <f t="shared" si="5"/>
        <v/>
      </c>
      <c r="L82" s="6"/>
      <c r="M82" s="10" t="str">
        <f t="shared" si="6"/>
        <v/>
      </c>
      <c r="N82" s="7"/>
      <c r="O82" s="43"/>
      <c r="P82" s="11"/>
      <c r="Q82" s="7"/>
    </row>
    <row r="83" spans="1:17" ht="16" customHeight="1" x14ac:dyDescent="0.2">
      <c r="A83" s="7"/>
      <c r="B83" s="7"/>
      <c r="C83" s="7"/>
      <c r="D83" s="43"/>
      <c r="E83" s="7"/>
      <c r="F83" s="43"/>
      <c r="G83" s="8"/>
      <c r="H83" s="6"/>
      <c r="I83" s="4"/>
      <c r="J83" s="9" t="str">
        <f t="shared" si="4"/>
        <v/>
      </c>
      <c r="K83" s="10" t="str">
        <f t="shared" si="5"/>
        <v/>
      </c>
      <c r="L83" s="6"/>
      <c r="M83" s="10" t="str">
        <f t="shared" si="6"/>
        <v/>
      </c>
      <c r="N83" s="7"/>
      <c r="O83" s="43"/>
      <c r="P83" s="11"/>
      <c r="Q83" s="7"/>
    </row>
    <row r="84" spans="1:17" ht="16" customHeight="1" x14ac:dyDescent="0.2">
      <c r="A84" s="7"/>
      <c r="B84" s="7"/>
      <c r="C84" s="7"/>
      <c r="D84" s="43"/>
      <c r="E84" s="7"/>
      <c r="F84" s="43"/>
      <c r="G84" s="8"/>
      <c r="H84" s="6"/>
      <c r="I84" s="4"/>
      <c r="J84" s="9" t="str">
        <f t="shared" si="4"/>
        <v/>
      </c>
      <c r="K84" s="10" t="str">
        <f t="shared" si="5"/>
        <v/>
      </c>
      <c r="L84" s="6"/>
      <c r="M84" s="10" t="str">
        <f t="shared" si="6"/>
        <v/>
      </c>
      <c r="N84" s="7"/>
      <c r="O84" s="43"/>
      <c r="P84" s="11"/>
      <c r="Q84" s="7"/>
    </row>
    <row r="85" spans="1:17" ht="16" customHeight="1" x14ac:dyDescent="0.2">
      <c r="A85" s="7"/>
      <c r="B85" s="7"/>
      <c r="C85" s="7"/>
      <c r="D85" s="43"/>
      <c r="E85" s="7"/>
      <c r="F85" s="43"/>
      <c r="G85" s="8"/>
      <c r="H85" s="6"/>
      <c r="I85" s="4"/>
      <c r="J85" s="9" t="str">
        <f t="shared" si="4"/>
        <v/>
      </c>
      <c r="K85" s="10" t="str">
        <f t="shared" si="5"/>
        <v/>
      </c>
      <c r="L85" s="6"/>
      <c r="M85" s="10" t="str">
        <f t="shared" si="6"/>
        <v/>
      </c>
      <c r="N85" s="7"/>
      <c r="O85" s="43"/>
      <c r="P85" s="11"/>
      <c r="Q85" s="7"/>
    </row>
    <row r="86" spans="1:17" ht="16" customHeight="1" x14ac:dyDescent="0.2">
      <c r="A86" s="7"/>
      <c r="B86" s="7"/>
      <c r="C86" s="7"/>
      <c r="D86" s="43"/>
      <c r="E86" s="7"/>
      <c r="F86" s="43"/>
      <c r="G86" s="8"/>
      <c r="H86" s="6"/>
      <c r="I86" s="4"/>
      <c r="J86" s="9" t="str">
        <f t="shared" si="4"/>
        <v/>
      </c>
      <c r="K86" s="10" t="str">
        <f t="shared" si="5"/>
        <v/>
      </c>
      <c r="L86" s="6"/>
      <c r="M86" s="10" t="str">
        <f t="shared" si="6"/>
        <v/>
      </c>
      <c r="N86" s="7"/>
      <c r="O86" s="43"/>
      <c r="P86" s="11"/>
      <c r="Q86" s="7"/>
    </row>
    <row r="87" spans="1:17" ht="16" customHeight="1" x14ac:dyDescent="0.2">
      <c r="A87" s="7"/>
      <c r="B87" s="7"/>
      <c r="C87" s="7"/>
      <c r="D87" s="43"/>
      <c r="E87" s="7"/>
      <c r="F87" s="43"/>
      <c r="G87" s="8"/>
      <c r="H87" s="6"/>
      <c r="I87" s="4"/>
      <c r="J87" s="9" t="str">
        <f t="shared" si="4"/>
        <v/>
      </c>
      <c r="K87" s="10" t="str">
        <f t="shared" si="5"/>
        <v/>
      </c>
      <c r="L87" s="6"/>
      <c r="M87" s="10" t="str">
        <f t="shared" si="6"/>
        <v/>
      </c>
      <c r="N87" s="7"/>
      <c r="O87" s="43"/>
      <c r="P87" s="11"/>
      <c r="Q87" s="7"/>
    </row>
    <row r="88" spans="1:17" ht="16" customHeight="1" x14ac:dyDescent="0.2">
      <c r="A88" s="7"/>
      <c r="B88" s="7"/>
      <c r="C88" s="7"/>
      <c r="D88" s="43"/>
      <c r="E88" s="7"/>
      <c r="F88" s="43"/>
      <c r="G88" s="8"/>
      <c r="H88" s="6"/>
      <c r="I88" s="4"/>
      <c r="J88" s="9" t="str">
        <f t="shared" si="4"/>
        <v/>
      </c>
      <c r="K88" s="10" t="str">
        <f t="shared" si="5"/>
        <v/>
      </c>
      <c r="L88" s="6"/>
      <c r="M88" s="10" t="str">
        <f t="shared" si="6"/>
        <v/>
      </c>
      <c r="N88" s="7"/>
      <c r="O88" s="43"/>
      <c r="P88" s="11"/>
      <c r="Q88" s="7"/>
    </row>
    <row r="89" spans="1:17" ht="16" customHeight="1" x14ac:dyDescent="0.2">
      <c r="A89" s="7"/>
      <c r="B89" s="7"/>
      <c r="C89" s="7"/>
      <c r="D89" s="43"/>
      <c r="E89" s="7"/>
      <c r="F89" s="43"/>
      <c r="G89" s="8"/>
      <c r="H89" s="6"/>
      <c r="I89" s="4"/>
      <c r="J89" s="9" t="str">
        <f t="shared" si="4"/>
        <v/>
      </c>
      <c r="K89" s="10" t="str">
        <f t="shared" si="5"/>
        <v/>
      </c>
      <c r="L89" s="6"/>
      <c r="M89" s="10" t="str">
        <f t="shared" si="6"/>
        <v/>
      </c>
      <c r="N89" s="7"/>
      <c r="O89" s="43"/>
      <c r="P89" s="11"/>
      <c r="Q89" s="7"/>
    </row>
    <row r="90" spans="1:17" ht="16" customHeight="1" x14ac:dyDescent="0.2">
      <c r="A90" s="7"/>
      <c r="B90" s="7"/>
      <c r="C90" s="7"/>
      <c r="D90" s="43"/>
      <c r="E90" s="7"/>
      <c r="F90" s="43"/>
      <c r="G90" s="8"/>
      <c r="H90" s="6"/>
      <c r="I90" s="4"/>
      <c r="J90" s="9" t="str">
        <f t="shared" si="4"/>
        <v/>
      </c>
      <c r="K90" s="10" t="str">
        <f t="shared" si="5"/>
        <v/>
      </c>
      <c r="L90" s="6"/>
      <c r="M90" s="10" t="str">
        <f t="shared" si="6"/>
        <v/>
      </c>
      <c r="N90" s="7"/>
      <c r="O90" s="43"/>
      <c r="P90" s="11"/>
      <c r="Q90" s="7"/>
    </row>
    <row r="91" spans="1:17" ht="16" customHeight="1" x14ac:dyDescent="0.2">
      <c r="A91" s="7"/>
      <c r="B91" s="7"/>
      <c r="C91" s="7"/>
      <c r="D91" s="43"/>
      <c r="E91" s="7"/>
      <c r="F91" s="43"/>
      <c r="G91" s="8"/>
      <c r="H91" s="6"/>
      <c r="I91" s="4"/>
      <c r="J91" s="9" t="str">
        <f t="shared" si="4"/>
        <v/>
      </c>
      <c r="K91" s="10" t="str">
        <f t="shared" si="5"/>
        <v/>
      </c>
      <c r="L91" s="6"/>
      <c r="M91" s="10" t="str">
        <f t="shared" si="6"/>
        <v/>
      </c>
      <c r="N91" s="7"/>
      <c r="O91" s="43"/>
      <c r="P91" s="11"/>
      <c r="Q91" s="7"/>
    </row>
    <row r="92" spans="1:17" ht="16" customHeight="1" x14ac:dyDescent="0.2">
      <c r="A92" s="7"/>
      <c r="B92" s="7"/>
      <c r="C92" s="7"/>
      <c r="D92" s="43"/>
      <c r="E92" s="7"/>
      <c r="F92" s="43"/>
      <c r="G92" s="8"/>
      <c r="H92" s="6"/>
      <c r="I92" s="4"/>
      <c r="J92" s="9" t="str">
        <f t="shared" si="4"/>
        <v/>
      </c>
      <c r="K92" s="10" t="str">
        <f t="shared" si="5"/>
        <v/>
      </c>
      <c r="L92" s="6"/>
      <c r="M92" s="10" t="str">
        <f t="shared" si="6"/>
        <v/>
      </c>
      <c r="N92" s="7"/>
      <c r="O92" s="43"/>
      <c r="P92" s="11"/>
      <c r="Q92" s="7"/>
    </row>
    <row r="93" spans="1:17" ht="16" customHeight="1" x14ac:dyDescent="0.2">
      <c r="A93" s="7"/>
      <c r="B93" s="7"/>
      <c r="C93" s="7"/>
      <c r="D93" s="43"/>
      <c r="E93" s="7"/>
      <c r="F93" s="43"/>
      <c r="G93" s="8"/>
      <c r="H93" s="6"/>
      <c r="I93" s="4"/>
      <c r="J93" s="9" t="str">
        <f t="shared" si="4"/>
        <v/>
      </c>
      <c r="K93" s="10" t="str">
        <f t="shared" si="5"/>
        <v/>
      </c>
      <c r="L93" s="6"/>
      <c r="M93" s="10" t="str">
        <f t="shared" si="6"/>
        <v/>
      </c>
      <c r="N93" s="7"/>
      <c r="O93" s="43"/>
      <c r="P93" s="11"/>
      <c r="Q93" s="7"/>
    </row>
    <row r="94" spans="1:17" ht="16" customHeight="1" x14ac:dyDescent="0.2">
      <c r="A94" s="7"/>
      <c r="B94" s="7"/>
      <c r="C94" s="7"/>
      <c r="D94" s="43"/>
      <c r="E94" s="7"/>
      <c r="F94" s="43"/>
      <c r="G94" s="8"/>
      <c r="H94" s="6"/>
      <c r="I94" s="4"/>
      <c r="J94" s="9" t="str">
        <f t="shared" si="4"/>
        <v/>
      </c>
      <c r="K94" s="10" t="str">
        <f t="shared" si="5"/>
        <v/>
      </c>
      <c r="L94" s="6"/>
      <c r="M94" s="10" t="str">
        <f t="shared" si="6"/>
        <v/>
      </c>
      <c r="N94" s="7"/>
      <c r="O94" s="43"/>
      <c r="P94" s="11"/>
      <c r="Q94" s="7"/>
    </row>
    <row r="95" spans="1:17" ht="16" customHeight="1" x14ac:dyDescent="0.2">
      <c r="A95" s="7"/>
      <c r="B95" s="7"/>
      <c r="C95" s="7"/>
      <c r="D95" s="43"/>
      <c r="E95" s="7"/>
      <c r="F95" s="43"/>
      <c r="G95" s="8"/>
      <c r="H95" s="6"/>
      <c r="I95" s="4"/>
      <c r="J95" s="9" t="str">
        <f t="shared" si="4"/>
        <v/>
      </c>
      <c r="K95" s="10" t="str">
        <f t="shared" si="5"/>
        <v/>
      </c>
      <c r="L95" s="6"/>
      <c r="M95" s="10" t="str">
        <f t="shared" si="6"/>
        <v/>
      </c>
      <c r="N95" s="7"/>
      <c r="O95" s="43"/>
      <c r="P95" s="11"/>
      <c r="Q95" s="7"/>
    </row>
    <row r="96" spans="1:17" ht="16" customHeight="1" x14ac:dyDescent="0.2">
      <c r="A96" s="7"/>
      <c r="B96" s="7"/>
      <c r="C96" s="7"/>
      <c r="D96" s="43"/>
      <c r="E96" s="7"/>
      <c r="F96" s="43"/>
      <c r="G96" s="8"/>
      <c r="H96" s="6"/>
      <c r="I96" s="4"/>
      <c r="J96" s="9" t="str">
        <f t="shared" si="4"/>
        <v/>
      </c>
      <c r="K96" s="10" t="str">
        <f t="shared" si="5"/>
        <v/>
      </c>
      <c r="L96" s="6"/>
      <c r="M96" s="10" t="str">
        <f t="shared" si="6"/>
        <v/>
      </c>
      <c r="N96" s="7"/>
      <c r="O96" s="43"/>
      <c r="P96" s="11"/>
      <c r="Q96" s="7"/>
    </row>
    <row r="97" spans="1:17" ht="16" customHeight="1" x14ac:dyDescent="0.2">
      <c r="A97" s="7"/>
      <c r="B97" s="7"/>
      <c r="C97" s="7"/>
      <c r="D97" s="43"/>
      <c r="E97" s="7"/>
      <c r="F97" s="43"/>
      <c r="G97" s="8"/>
      <c r="H97" s="6"/>
      <c r="I97" s="4"/>
      <c r="J97" s="9" t="str">
        <f t="shared" si="4"/>
        <v/>
      </c>
      <c r="K97" s="10" t="str">
        <f t="shared" si="5"/>
        <v/>
      </c>
      <c r="L97" s="6"/>
      <c r="M97" s="10" t="str">
        <f t="shared" si="6"/>
        <v/>
      </c>
      <c r="N97" s="7"/>
      <c r="O97" s="43"/>
      <c r="P97" s="11"/>
      <c r="Q97" s="7"/>
    </row>
    <row r="98" spans="1:17" ht="16" customHeight="1" x14ac:dyDescent="0.2">
      <c r="A98" s="7"/>
      <c r="B98" s="7"/>
      <c r="C98" s="7"/>
      <c r="D98" s="43"/>
      <c r="E98" s="7"/>
      <c r="F98" s="43"/>
      <c r="G98" s="8"/>
      <c r="H98" s="6"/>
      <c r="I98" s="4"/>
      <c r="J98" s="9" t="str">
        <f t="shared" si="4"/>
        <v/>
      </c>
      <c r="K98" s="10" t="str">
        <f t="shared" si="5"/>
        <v/>
      </c>
      <c r="L98" s="6"/>
      <c r="M98" s="10" t="str">
        <f t="shared" si="6"/>
        <v/>
      </c>
      <c r="N98" s="7"/>
      <c r="O98" s="43"/>
      <c r="P98" s="11"/>
      <c r="Q98" s="7"/>
    </row>
    <row r="99" spans="1:17" ht="16" customHeight="1" x14ac:dyDescent="0.2">
      <c r="A99" s="7"/>
      <c r="B99" s="7"/>
      <c r="C99" s="7"/>
      <c r="D99" s="43"/>
      <c r="E99" s="7"/>
      <c r="F99" s="43"/>
      <c r="G99" s="8"/>
      <c r="H99" s="6"/>
      <c r="I99" s="4"/>
      <c r="J99" s="9" t="str">
        <f t="shared" si="4"/>
        <v/>
      </c>
      <c r="K99" s="10" t="str">
        <f t="shared" si="5"/>
        <v/>
      </c>
      <c r="L99" s="6"/>
      <c r="M99" s="10" t="str">
        <f t="shared" si="6"/>
        <v/>
      </c>
      <c r="N99" s="7"/>
      <c r="O99" s="43"/>
      <c r="P99" s="11"/>
      <c r="Q99" s="7"/>
    </row>
    <row r="100" spans="1:17" ht="16" customHeight="1" x14ac:dyDescent="0.2">
      <c r="A100" s="7"/>
      <c r="B100" s="7"/>
      <c r="C100" s="7"/>
      <c r="D100" s="43"/>
      <c r="E100" s="7"/>
      <c r="F100" s="43"/>
      <c r="G100" s="8"/>
      <c r="H100" s="6"/>
      <c r="I100" s="4"/>
      <c r="J100" s="9" t="str">
        <f t="shared" si="4"/>
        <v/>
      </c>
      <c r="K100" s="10" t="str">
        <f t="shared" si="5"/>
        <v/>
      </c>
      <c r="L100" s="6"/>
      <c r="M100" s="10" t="str">
        <f t="shared" si="6"/>
        <v/>
      </c>
      <c r="N100" s="7"/>
      <c r="O100" s="43"/>
      <c r="P100" s="11"/>
      <c r="Q100" s="7"/>
    </row>
    <row r="101" spans="1:17" ht="16" customHeight="1" x14ac:dyDescent="0.2">
      <c r="A101" s="7"/>
      <c r="B101" s="7"/>
      <c r="C101" s="7"/>
      <c r="D101" s="43"/>
      <c r="E101" s="7"/>
      <c r="F101" s="43"/>
      <c r="G101" s="8"/>
      <c r="H101" s="6"/>
      <c r="I101" s="4"/>
      <c r="J101" s="9" t="str">
        <f t="shared" si="4"/>
        <v/>
      </c>
      <c r="K101" s="10" t="str">
        <f t="shared" si="5"/>
        <v/>
      </c>
      <c r="L101" s="6"/>
      <c r="M101" s="10" t="str">
        <f t="shared" si="6"/>
        <v/>
      </c>
      <c r="N101" s="7"/>
      <c r="O101" s="43"/>
      <c r="P101" s="11"/>
      <c r="Q101" s="7"/>
    </row>
    <row r="102" spans="1:17" ht="16" customHeight="1" x14ac:dyDescent="0.2">
      <c r="A102" s="7"/>
      <c r="B102" s="7"/>
      <c r="C102" s="7"/>
      <c r="D102" s="43"/>
      <c r="E102" s="7"/>
      <c r="F102" s="43"/>
      <c r="G102" s="8"/>
      <c r="H102" s="6"/>
      <c r="I102" s="4"/>
      <c r="J102" s="9" t="str">
        <f t="shared" si="4"/>
        <v/>
      </c>
      <c r="K102" s="10" t="str">
        <f t="shared" si="5"/>
        <v/>
      </c>
      <c r="L102" s="6"/>
      <c r="M102" s="10" t="str">
        <f t="shared" si="6"/>
        <v/>
      </c>
      <c r="N102" s="7"/>
      <c r="O102" s="43"/>
      <c r="P102" s="11"/>
      <c r="Q102" s="7"/>
    </row>
    <row r="103" spans="1:17" ht="16" customHeight="1" x14ac:dyDescent="0.2">
      <c r="A103" s="7"/>
      <c r="B103" s="7"/>
      <c r="C103" s="7"/>
      <c r="D103" s="43"/>
      <c r="E103" s="7"/>
      <c r="F103" s="43"/>
      <c r="G103" s="8"/>
      <c r="H103" s="6"/>
      <c r="I103" s="4"/>
      <c r="J103" s="9" t="str">
        <f t="shared" si="4"/>
        <v/>
      </c>
      <c r="K103" s="10" t="str">
        <f t="shared" si="5"/>
        <v/>
      </c>
      <c r="L103" s="6"/>
      <c r="M103" s="10" t="str">
        <f t="shared" si="6"/>
        <v/>
      </c>
      <c r="N103" s="7"/>
      <c r="O103" s="43"/>
      <c r="P103" s="11"/>
      <c r="Q103" s="7"/>
    </row>
    <row r="104" spans="1:17" ht="16" customHeight="1" x14ac:dyDescent="0.2">
      <c r="A104" s="7"/>
      <c r="B104" s="7"/>
      <c r="C104" s="7"/>
      <c r="D104" s="43"/>
      <c r="E104" s="7"/>
      <c r="F104" s="43"/>
      <c r="G104" s="8"/>
      <c r="H104" s="6"/>
      <c r="I104" s="4"/>
      <c r="J104" s="9" t="str">
        <f t="shared" si="4"/>
        <v/>
      </c>
      <c r="K104" s="10" t="str">
        <f t="shared" si="5"/>
        <v/>
      </c>
      <c r="L104" s="6"/>
      <c r="M104" s="10" t="str">
        <f t="shared" si="6"/>
        <v/>
      </c>
      <c r="N104" s="7"/>
      <c r="O104" s="43"/>
      <c r="P104" s="11"/>
      <c r="Q104" s="7"/>
    </row>
    <row r="105" spans="1:17" ht="16" customHeight="1" x14ac:dyDescent="0.2">
      <c r="A105" s="7"/>
      <c r="B105" s="7"/>
      <c r="C105" s="7"/>
      <c r="D105" s="43"/>
      <c r="E105" s="7"/>
      <c r="F105" s="43"/>
      <c r="G105" s="8"/>
      <c r="H105" s="6"/>
      <c r="I105" s="4"/>
      <c r="J105" s="9" t="str">
        <f t="shared" si="4"/>
        <v/>
      </c>
      <c r="K105" s="10" t="str">
        <f t="shared" si="5"/>
        <v/>
      </c>
      <c r="L105" s="6"/>
      <c r="M105" s="10" t="str">
        <f t="shared" si="6"/>
        <v/>
      </c>
      <c r="N105" s="7"/>
      <c r="O105" s="43"/>
      <c r="P105" s="11"/>
      <c r="Q105" s="7"/>
    </row>
    <row r="106" spans="1:17" ht="16" customHeight="1" x14ac:dyDescent="0.2">
      <c r="A106" s="7"/>
      <c r="B106" s="7"/>
      <c r="C106" s="7"/>
      <c r="D106" s="43"/>
      <c r="E106" s="7"/>
      <c r="F106" s="43"/>
      <c r="G106" s="8"/>
      <c r="H106" s="6"/>
      <c r="I106" s="4"/>
      <c r="J106" s="9" t="str">
        <f t="shared" si="4"/>
        <v/>
      </c>
      <c r="K106" s="10" t="str">
        <f t="shared" si="5"/>
        <v/>
      </c>
      <c r="L106" s="6"/>
      <c r="M106" s="10" t="str">
        <f t="shared" si="6"/>
        <v/>
      </c>
      <c r="N106" s="7"/>
      <c r="O106" s="43"/>
      <c r="P106" s="11"/>
      <c r="Q106" s="7"/>
    </row>
    <row r="107" spans="1:17" ht="16" customHeight="1" x14ac:dyDescent="0.2">
      <c r="A107" s="7"/>
      <c r="B107" s="7"/>
      <c r="C107" s="7"/>
      <c r="D107" s="43"/>
      <c r="E107" s="7"/>
      <c r="F107" s="43"/>
      <c r="G107" s="8"/>
      <c r="H107" s="6"/>
      <c r="I107" s="4"/>
      <c r="J107" s="9" t="str">
        <f t="shared" si="4"/>
        <v/>
      </c>
      <c r="K107" s="10" t="str">
        <f t="shared" si="5"/>
        <v/>
      </c>
      <c r="L107" s="6"/>
      <c r="M107" s="10" t="str">
        <f t="shared" si="6"/>
        <v/>
      </c>
      <c r="N107" s="7"/>
      <c r="O107" s="43"/>
      <c r="P107" s="11"/>
      <c r="Q107" s="7"/>
    </row>
    <row r="108" spans="1:17" ht="16" customHeight="1" x14ac:dyDescent="0.2">
      <c r="A108" s="7"/>
      <c r="B108" s="7"/>
      <c r="C108" s="7"/>
      <c r="D108" s="43"/>
      <c r="E108" s="7"/>
      <c r="F108" s="43"/>
      <c r="G108" s="8"/>
      <c r="H108" s="6"/>
      <c r="I108" s="4"/>
      <c r="J108" s="9" t="str">
        <f t="shared" si="4"/>
        <v/>
      </c>
      <c r="K108" s="10" t="str">
        <f t="shared" si="5"/>
        <v/>
      </c>
      <c r="L108" s="6"/>
      <c r="M108" s="10" t="str">
        <f t="shared" si="6"/>
        <v/>
      </c>
      <c r="N108" s="7"/>
      <c r="O108" s="43"/>
      <c r="P108" s="11"/>
      <c r="Q108" s="7"/>
    </row>
    <row r="109" spans="1:17" ht="16" customHeight="1" x14ac:dyDescent="0.2">
      <c r="A109" s="7"/>
      <c r="B109" s="7"/>
      <c r="C109" s="7"/>
      <c r="D109" s="43"/>
      <c r="E109" s="7"/>
      <c r="F109" s="43"/>
      <c r="G109" s="8"/>
      <c r="H109" s="6"/>
      <c r="I109" s="4"/>
      <c r="J109" s="9" t="str">
        <f t="shared" si="4"/>
        <v/>
      </c>
      <c r="K109" s="10" t="str">
        <f t="shared" si="5"/>
        <v/>
      </c>
      <c r="L109" s="6"/>
      <c r="M109" s="10" t="str">
        <f t="shared" si="6"/>
        <v/>
      </c>
      <c r="N109" s="7"/>
      <c r="O109" s="43"/>
      <c r="P109" s="11"/>
      <c r="Q109" s="7"/>
    </row>
    <row r="110" spans="1:17" ht="16" customHeight="1" x14ac:dyDescent="0.2">
      <c r="A110" s="7"/>
      <c r="B110" s="7"/>
      <c r="C110" s="7"/>
      <c r="D110" s="43"/>
      <c r="E110" s="7"/>
      <c r="F110" s="43"/>
      <c r="G110" s="8"/>
      <c r="H110" s="6"/>
      <c r="I110" s="4"/>
      <c r="J110" s="9" t="str">
        <f t="shared" si="4"/>
        <v/>
      </c>
      <c r="K110" s="10" t="str">
        <f t="shared" si="5"/>
        <v/>
      </c>
      <c r="L110" s="6"/>
      <c r="M110" s="10" t="str">
        <f t="shared" si="6"/>
        <v/>
      </c>
      <c r="N110" s="7"/>
      <c r="O110" s="43"/>
      <c r="P110" s="11"/>
      <c r="Q110" s="7"/>
    </row>
    <row r="111" spans="1:17" ht="16" customHeight="1" x14ac:dyDescent="0.2">
      <c r="A111" s="7"/>
      <c r="B111" s="7"/>
      <c r="C111" s="7"/>
      <c r="D111" s="43"/>
      <c r="E111" s="7"/>
      <c r="F111" s="43"/>
      <c r="G111" s="8"/>
      <c r="H111" s="6"/>
      <c r="I111" s="4"/>
      <c r="J111" s="9" t="str">
        <f t="shared" si="4"/>
        <v/>
      </c>
      <c r="K111" s="10" t="str">
        <f t="shared" si="5"/>
        <v/>
      </c>
      <c r="L111" s="6"/>
      <c r="M111" s="10" t="str">
        <f t="shared" si="6"/>
        <v/>
      </c>
      <c r="N111" s="7"/>
      <c r="O111" s="43"/>
      <c r="P111" s="11"/>
      <c r="Q111" s="7"/>
    </row>
    <row r="112" spans="1:17" ht="16" customHeight="1" x14ac:dyDescent="0.2">
      <c r="A112" s="7"/>
      <c r="B112" s="7"/>
      <c r="C112" s="7"/>
      <c r="D112" s="43"/>
      <c r="E112" s="7"/>
      <c r="F112" s="43"/>
      <c r="G112" s="8"/>
      <c r="H112" s="6"/>
      <c r="I112" s="4"/>
      <c r="J112" s="9" t="str">
        <f t="shared" si="4"/>
        <v/>
      </c>
      <c r="K112" s="10" t="str">
        <f t="shared" si="5"/>
        <v/>
      </c>
      <c r="L112" s="6"/>
      <c r="M112" s="10" t="str">
        <f t="shared" si="6"/>
        <v/>
      </c>
      <c r="N112" s="7"/>
      <c r="O112" s="43"/>
      <c r="P112" s="11"/>
      <c r="Q112" s="7"/>
    </row>
    <row r="113" spans="1:17" ht="16" customHeight="1" x14ac:dyDescent="0.2">
      <c r="A113" s="7"/>
      <c r="B113" s="7"/>
      <c r="C113" s="7"/>
      <c r="D113" s="43"/>
      <c r="E113" s="7"/>
      <c r="F113" s="43"/>
      <c r="G113" s="8"/>
      <c r="H113" s="6"/>
      <c r="I113" s="4"/>
      <c r="J113" s="9" t="str">
        <f t="shared" si="4"/>
        <v/>
      </c>
      <c r="K113" s="10" t="str">
        <f t="shared" si="5"/>
        <v/>
      </c>
      <c r="L113" s="6"/>
      <c r="M113" s="10" t="str">
        <f t="shared" si="6"/>
        <v/>
      </c>
      <c r="N113" s="7"/>
      <c r="O113" s="43"/>
      <c r="P113" s="11"/>
      <c r="Q113" s="7"/>
    </row>
    <row r="114" spans="1:17" ht="16" customHeight="1" x14ac:dyDescent="0.2">
      <c r="A114" s="7"/>
      <c r="B114" s="7"/>
      <c r="C114" s="7"/>
      <c r="D114" s="43"/>
      <c r="E114" s="7"/>
      <c r="F114" s="43"/>
      <c r="G114" s="8"/>
      <c r="H114" s="6"/>
      <c r="I114" s="4"/>
      <c r="J114" s="9" t="str">
        <f t="shared" si="4"/>
        <v/>
      </c>
      <c r="K114" s="10" t="str">
        <f t="shared" si="5"/>
        <v/>
      </c>
      <c r="L114" s="6"/>
      <c r="M114" s="10" t="str">
        <f t="shared" si="6"/>
        <v/>
      </c>
      <c r="N114" s="7"/>
      <c r="O114" s="43"/>
      <c r="P114" s="11"/>
      <c r="Q114" s="7"/>
    </row>
    <row r="115" spans="1:17" ht="16" customHeight="1" x14ac:dyDescent="0.2">
      <c r="A115" s="7"/>
      <c r="B115" s="7"/>
      <c r="C115" s="7"/>
      <c r="D115" s="43"/>
      <c r="E115" s="7"/>
      <c r="F115" s="43"/>
      <c r="G115" s="8"/>
      <c r="H115" s="6"/>
      <c r="I115" s="4"/>
      <c r="J115" s="9" t="str">
        <f t="shared" si="4"/>
        <v/>
      </c>
      <c r="K115" s="10" t="str">
        <f t="shared" si="5"/>
        <v/>
      </c>
      <c r="L115" s="6"/>
      <c r="M115" s="10" t="str">
        <f t="shared" si="6"/>
        <v/>
      </c>
      <c r="N115" s="7"/>
      <c r="O115" s="43"/>
      <c r="P115" s="11"/>
      <c r="Q115" s="7"/>
    </row>
    <row r="116" spans="1:17" ht="16" customHeight="1" x14ac:dyDescent="0.2">
      <c r="A116" s="7"/>
      <c r="B116" s="7"/>
      <c r="C116" s="7"/>
      <c r="D116" s="43"/>
      <c r="E116" s="7"/>
      <c r="F116" s="43"/>
      <c r="G116" s="8"/>
      <c r="H116" s="6"/>
      <c r="I116" s="4"/>
      <c r="J116" s="9" t="str">
        <f t="shared" si="4"/>
        <v/>
      </c>
      <c r="K116" s="10" t="str">
        <f t="shared" si="5"/>
        <v/>
      </c>
      <c r="L116" s="6"/>
      <c r="M116" s="10" t="str">
        <f t="shared" si="6"/>
        <v/>
      </c>
      <c r="N116" s="7"/>
      <c r="O116" s="43"/>
      <c r="P116" s="11"/>
      <c r="Q116" s="7"/>
    </row>
    <row r="117" spans="1:17" ht="16" customHeight="1" x14ac:dyDescent="0.2">
      <c r="A117" s="7"/>
      <c r="B117" s="7"/>
      <c r="C117" s="7"/>
      <c r="D117" s="43"/>
      <c r="E117" s="7"/>
      <c r="F117" s="43"/>
      <c r="G117" s="8"/>
      <c r="H117" s="6"/>
      <c r="I117" s="4"/>
      <c r="J117" s="9" t="str">
        <f t="shared" si="4"/>
        <v/>
      </c>
      <c r="K117" s="10" t="str">
        <f t="shared" si="5"/>
        <v/>
      </c>
      <c r="L117" s="6"/>
      <c r="M117" s="10" t="str">
        <f t="shared" si="6"/>
        <v/>
      </c>
      <c r="N117" s="7"/>
      <c r="O117" s="43"/>
      <c r="P117" s="11"/>
      <c r="Q117" s="7"/>
    </row>
    <row r="118" spans="1:17" ht="16" customHeight="1" x14ac:dyDescent="0.2">
      <c r="A118" s="7"/>
      <c r="B118" s="7"/>
      <c r="C118" s="7"/>
      <c r="D118" s="43"/>
      <c r="E118" s="7"/>
      <c r="F118" s="43"/>
      <c r="G118" s="8"/>
      <c r="H118" s="6"/>
      <c r="I118" s="4"/>
      <c r="J118" s="9" t="str">
        <f t="shared" si="4"/>
        <v/>
      </c>
      <c r="K118" s="10" t="str">
        <f t="shared" si="5"/>
        <v/>
      </c>
      <c r="L118" s="6"/>
      <c r="M118" s="10" t="str">
        <f t="shared" si="6"/>
        <v/>
      </c>
      <c r="N118" s="7"/>
      <c r="O118" s="43"/>
      <c r="P118" s="11"/>
      <c r="Q118" s="7"/>
    </row>
    <row r="119" spans="1:17" ht="16" customHeight="1" x14ac:dyDescent="0.2">
      <c r="A119" s="7"/>
      <c r="B119" s="7"/>
      <c r="C119" s="7"/>
      <c r="D119" s="43"/>
      <c r="E119" s="7"/>
      <c r="F119" s="43"/>
      <c r="G119" s="8"/>
      <c r="H119" s="6"/>
      <c r="I119" s="4"/>
      <c r="J119" s="9" t="str">
        <f t="shared" si="4"/>
        <v/>
      </c>
      <c r="K119" s="10" t="str">
        <f t="shared" si="5"/>
        <v/>
      </c>
      <c r="L119" s="6"/>
      <c r="M119" s="10" t="str">
        <f t="shared" si="6"/>
        <v/>
      </c>
      <c r="N119" s="7"/>
      <c r="O119" s="43"/>
      <c r="P119" s="11"/>
      <c r="Q119" s="7"/>
    </row>
    <row r="120" spans="1:17" ht="16" customHeight="1" x14ac:dyDescent="0.2">
      <c r="A120" s="7"/>
      <c r="B120" s="7"/>
      <c r="C120" s="7"/>
      <c r="D120" s="43"/>
      <c r="E120" s="7"/>
      <c r="F120" s="43"/>
      <c r="G120" s="8"/>
      <c r="H120" s="6"/>
      <c r="I120" s="4"/>
      <c r="J120" s="9" t="str">
        <f t="shared" si="4"/>
        <v/>
      </c>
      <c r="K120" s="10" t="str">
        <f t="shared" si="5"/>
        <v/>
      </c>
      <c r="L120" s="6"/>
      <c r="M120" s="10" t="str">
        <f t="shared" si="6"/>
        <v/>
      </c>
      <c r="N120" s="7"/>
      <c r="O120" s="43"/>
      <c r="P120" s="11"/>
      <c r="Q120" s="7"/>
    </row>
    <row r="121" spans="1:17" ht="16" customHeight="1" x14ac:dyDescent="0.2">
      <c r="A121" s="7"/>
      <c r="B121" s="7"/>
      <c r="C121" s="7"/>
      <c r="D121" s="43"/>
      <c r="E121" s="7"/>
      <c r="F121" s="43"/>
      <c r="G121" s="8"/>
      <c r="H121" s="6"/>
      <c r="I121" s="4"/>
      <c r="J121" s="9" t="str">
        <f t="shared" si="4"/>
        <v/>
      </c>
      <c r="K121" s="10" t="str">
        <f t="shared" si="5"/>
        <v/>
      </c>
      <c r="L121" s="6"/>
      <c r="M121" s="10" t="str">
        <f t="shared" si="6"/>
        <v/>
      </c>
      <c r="N121" s="7"/>
      <c r="O121" s="43"/>
      <c r="P121" s="11"/>
      <c r="Q121" s="7"/>
    </row>
    <row r="122" spans="1:17" ht="16" customHeight="1" x14ac:dyDescent="0.2">
      <c r="A122" s="7"/>
      <c r="B122" s="7"/>
      <c r="C122" s="7"/>
      <c r="D122" s="43"/>
      <c r="E122" s="7"/>
      <c r="F122" s="43"/>
      <c r="G122" s="8"/>
      <c r="H122" s="6"/>
      <c r="I122" s="4"/>
      <c r="J122" s="9" t="str">
        <f t="shared" si="4"/>
        <v/>
      </c>
      <c r="K122" s="10" t="str">
        <f t="shared" si="5"/>
        <v/>
      </c>
      <c r="L122" s="6"/>
      <c r="M122" s="10" t="str">
        <f t="shared" si="6"/>
        <v/>
      </c>
      <c r="N122" s="7"/>
      <c r="O122" s="43"/>
      <c r="P122" s="11"/>
      <c r="Q122" s="7"/>
    </row>
    <row r="123" spans="1:17" ht="16" customHeight="1" x14ac:dyDescent="0.2">
      <c r="A123" s="7"/>
      <c r="B123" s="7"/>
      <c r="C123" s="7"/>
      <c r="D123" s="43"/>
      <c r="E123" s="7"/>
      <c r="F123" s="43"/>
      <c r="G123" s="8"/>
      <c r="H123" s="6"/>
      <c r="I123" s="4"/>
      <c r="J123" s="9" t="str">
        <f t="shared" si="4"/>
        <v/>
      </c>
      <c r="K123" s="10" t="str">
        <f t="shared" si="5"/>
        <v/>
      </c>
      <c r="L123" s="6"/>
      <c r="M123" s="10" t="str">
        <f t="shared" si="6"/>
        <v/>
      </c>
      <c r="N123" s="7"/>
      <c r="O123" s="43"/>
      <c r="P123" s="11"/>
      <c r="Q123" s="7"/>
    </row>
    <row r="124" spans="1:17" ht="16" customHeight="1" x14ac:dyDescent="0.2">
      <c r="A124" s="7"/>
      <c r="B124" s="7"/>
      <c r="C124" s="7"/>
      <c r="D124" s="43"/>
      <c r="E124" s="7"/>
      <c r="F124" s="43"/>
      <c r="G124" s="8"/>
      <c r="H124" s="6"/>
      <c r="I124" s="4"/>
      <c r="J124" s="9" t="str">
        <f t="shared" si="4"/>
        <v/>
      </c>
      <c r="K124" s="10" t="str">
        <f t="shared" si="5"/>
        <v/>
      </c>
      <c r="L124" s="6"/>
      <c r="M124" s="10" t="str">
        <f t="shared" si="6"/>
        <v/>
      </c>
      <c r="N124" s="7"/>
      <c r="O124" s="43"/>
      <c r="P124" s="11"/>
      <c r="Q124" s="7"/>
    </row>
    <row r="125" spans="1:17" ht="16" customHeight="1" x14ac:dyDescent="0.2">
      <c r="A125" s="7"/>
      <c r="B125" s="7"/>
      <c r="C125" s="7"/>
      <c r="D125" s="43"/>
      <c r="E125" s="7"/>
      <c r="F125" s="43"/>
      <c r="G125" s="8"/>
      <c r="H125" s="6"/>
      <c r="I125" s="4"/>
      <c r="J125" s="9" t="str">
        <f t="shared" si="4"/>
        <v/>
      </c>
      <c r="K125" s="10" t="str">
        <f t="shared" si="5"/>
        <v/>
      </c>
      <c r="L125" s="6"/>
      <c r="M125" s="10" t="str">
        <f t="shared" si="6"/>
        <v/>
      </c>
      <c r="N125" s="7"/>
      <c r="O125" s="43"/>
      <c r="P125" s="11"/>
      <c r="Q125" s="7"/>
    </row>
    <row r="126" spans="1:17" ht="16" customHeight="1" x14ac:dyDescent="0.2">
      <c r="A126" s="7"/>
      <c r="B126" s="7"/>
      <c r="C126" s="7"/>
      <c r="D126" s="43"/>
      <c r="E126" s="7"/>
      <c r="F126" s="43"/>
      <c r="G126" s="8"/>
      <c r="H126" s="6"/>
      <c r="I126" s="4"/>
      <c r="J126" s="9" t="str">
        <f t="shared" si="4"/>
        <v/>
      </c>
      <c r="K126" s="10" t="str">
        <f t="shared" si="5"/>
        <v/>
      </c>
      <c r="L126" s="6"/>
      <c r="M126" s="10" t="str">
        <f t="shared" si="6"/>
        <v/>
      </c>
      <c r="N126" s="7"/>
      <c r="O126" s="43"/>
      <c r="P126" s="11"/>
      <c r="Q126" s="7"/>
    </row>
    <row r="127" spans="1:17" ht="16" customHeight="1" x14ac:dyDescent="0.2">
      <c r="A127" s="7"/>
      <c r="B127" s="7"/>
      <c r="C127" s="7"/>
      <c r="D127" s="43"/>
      <c r="E127" s="7"/>
      <c r="F127" s="43"/>
      <c r="G127" s="8"/>
      <c r="H127" s="6"/>
      <c r="I127" s="4"/>
      <c r="J127" s="9" t="str">
        <f t="shared" si="4"/>
        <v/>
      </c>
      <c r="K127" s="10" t="str">
        <f t="shared" si="5"/>
        <v/>
      </c>
      <c r="L127" s="6"/>
      <c r="M127" s="10" t="str">
        <f t="shared" si="6"/>
        <v/>
      </c>
      <c r="N127" s="7"/>
      <c r="O127" s="43"/>
      <c r="P127" s="11"/>
      <c r="Q127" s="7"/>
    </row>
    <row r="128" spans="1:17" ht="16" customHeight="1" x14ac:dyDescent="0.2">
      <c r="A128" s="7"/>
      <c r="B128" s="7"/>
      <c r="C128" s="7"/>
      <c r="D128" s="43"/>
      <c r="E128" s="7"/>
      <c r="F128" s="43"/>
      <c r="G128" s="8"/>
      <c r="H128" s="6"/>
      <c r="I128" s="4"/>
      <c r="J128" s="9" t="str">
        <f t="shared" si="4"/>
        <v/>
      </c>
      <c r="K128" s="10" t="str">
        <f t="shared" si="5"/>
        <v/>
      </c>
      <c r="L128" s="6"/>
      <c r="M128" s="10" t="str">
        <f t="shared" si="6"/>
        <v/>
      </c>
      <c r="N128" s="7"/>
      <c r="O128" s="43"/>
      <c r="P128" s="11"/>
      <c r="Q128" s="7"/>
    </row>
    <row r="129" spans="1:17" ht="16" customHeight="1" x14ac:dyDescent="0.2">
      <c r="A129" s="7"/>
      <c r="B129" s="7"/>
      <c r="C129" s="7"/>
      <c r="D129" s="43"/>
      <c r="E129" s="7"/>
      <c r="F129" s="43"/>
      <c r="G129" s="8"/>
      <c r="H129" s="6"/>
      <c r="I129" s="4"/>
      <c r="J129" s="9" t="str">
        <f t="shared" si="4"/>
        <v/>
      </c>
      <c r="K129" s="10" t="str">
        <f t="shared" si="5"/>
        <v/>
      </c>
      <c r="L129" s="6"/>
      <c r="M129" s="10" t="str">
        <f t="shared" si="6"/>
        <v/>
      </c>
      <c r="N129" s="7"/>
      <c r="O129" s="43"/>
      <c r="P129" s="11"/>
      <c r="Q129" s="7"/>
    </row>
    <row r="130" spans="1:17" ht="16" customHeight="1" x14ac:dyDescent="0.2">
      <c r="A130" s="7"/>
      <c r="B130" s="7"/>
      <c r="C130" s="7"/>
      <c r="D130" s="43"/>
      <c r="E130" s="7"/>
      <c r="F130" s="43"/>
      <c r="G130" s="8"/>
      <c r="H130" s="6"/>
      <c r="I130" s="4"/>
      <c r="J130" s="9" t="str">
        <f t="shared" si="4"/>
        <v/>
      </c>
      <c r="K130" s="10" t="str">
        <f t="shared" si="5"/>
        <v/>
      </c>
      <c r="L130" s="6"/>
      <c r="M130" s="10" t="str">
        <f t="shared" si="6"/>
        <v/>
      </c>
      <c r="N130" s="7"/>
      <c r="O130" s="43"/>
      <c r="P130" s="11"/>
      <c r="Q130" s="7"/>
    </row>
    <row r="131" spans="1:17" ht="16" customHeight="1" x14ac:dyDescent="0.2">
      <c r="A131" s="7"/>
      <c r="B131" s="7"/>
      <c r="C131" s="7"/>
      <c r="D131" s="43"/>
      <c r="E131" s="7"/>
      <c r="F131" s="43"/>
      <c r="G131" s="8"/>
      <c r="H131" s="6"/>
      <c r="I131" s="4"/>
      <c r="J131" s="9" t="str">
        <f t="shared" si="4"/>
        <v/>
      </c>
      <c r="K131" s="10" t="str">
        <f t="shared" si="5"/>
        <v/>
      </c>
      <c r="L131" s="6"/>
      <c r="M131" s="10" t="str">
        <f t="shared" si="6"/>
        <v/>
      </c>
      <c r="N131" s="7"/>
      <c r="O131" s="43"/>
      <c r="P131" s="11"/>
      <c r="Q131" s="7"/>
    </row>
    <row r="132" spans="1:17" ht="16" customHeight="1" x14ac:dyDescent="0.2">
      <c r="A132" s="7"/>
      <c r="B132" s="7"/>
      <c r="C132" s="7"/>
      <c r="D132" s="43"/>
      <c r="E132" s="7"/>
      <c r="F132" s="43"/>
      <c r="G132" s="8"/>
      <c r="H132" s="6"/>
      <c r="I132" s="4"/>
      <c r="J132" s="9" t="str">
        <f t="shared" si="4"/>
        <v/>
      </c>
      <c r="K132" s="10" t="str">
        <f t="shared" si="5"/>
        <v/>
      </c>
      <c r="L132" s="6"/>
      <c r="M132" s="10" t="str">
        <f t="shared" si="6"/>
        <v/>
      </c>
      <c r="N132" s="7"/>
      <c r="O132" s="43"/>
      <c r="P132" s="11"/>
      <c r="Q132" s="7"/>
    </row>
    <row r="133" spans="1:17" ht="16" customHeight="1" x14ac:dyDescent="0.2">
      <c r="A133" s="7"/>
      <c r="B133" s="7"/>
      <c r="C133" s="7"/>
      <c r="D133" s="43"/>
      <c r="E133" s="7"/>
      <c r="F133" s="43"/>
      <c r="G133" s="8"/>
      <c r="H133" s="6"/>
      <c r="I133" s="4"/>
      <c r="J133" s="9" t="str">
        <f t="shared" si="4"/>
        <v/>
      </c>
      <c r="K133" s="10" t="str">
        <f t="shared" si="5"/>
        <v/>
      </c>
      <c r="L133" s="6"/>
      <c r="M133" s="10" t="str">
        <f t="shared" si="6"/>
        <v/>
      </c>
      <c r="N133" s="7"/>
      <c r="O133" s="43"/>
      <c r="P133" s="11"/>
      <c r="Q133" s="7"/>
    </row>
    <row r="134" spans="1:17" ht="16" customHeight="1" x14ac:dyDescent="0.2">
      <c r="A134" s="7"/>
      <c r="B134" s="7"/>
      <c r="C134" s="7"/>
      <c r="D134" s="43"/>
      <c r="E134" s="7"/>
      <c r="F134" s="43"/>
      <c r="G134" s="8"/>
      <c r="H134" s="6"/>
      <c r="I134" s="4"/>
      <c r="J134" s="9" t="str">
        <f t="shared" si="4"/>
        <v/>
      </c>
      <c r="K134" s="10" t="str">
        <f t="shared" si="5"/>
        <v/>
      </c>
      <c r="L134" s="6"/>
      <c r="M134" s="10" t="str">
        <f t="shared" si="6"/>
        <v/>
      </c>
      <c r="N134" s="7"/>
      <c r="O134" s="43"/>
      <c r="P134" s="11"/>
      <c r="Q134" s="7"/>
    </row>
    <row r="135" spans="1:17" ht="16" customHeight="1" x14ac:dyDescent="0.2">
      <c r="A135" s="7"/>
      <c r="B135" s="7"/>
      <c r="C135" s="7"/>
      <c r="D135" s="43"/>
      <c r="E135" s="7"/>
      <c r="F135" s="43"/>
      <c r="G135" s="8"/>
      <c r="H135" s="6"/>
      <c r="I135" s="4"/>
      <c r="J135" s="9" t="str">
        <f t="shared" si="4"/>
        <v/>
      </c>
      <c r="K135" s="10" t="str">
        <f t="shared" si="5"/>
        <v/>
      </c>
      <c r="L135" s="6"/>
      <c r="M135" s="10" t="str">
        <f t="shared" si="6"/>
        <v/>
      </c>
      <c r="N135" s="7"/>
      <c r="O135" s="43"/>
      <c r="P135" s="11"/>
      <c r="Q135" s="7"/>
    </row>
    <row r="136" spans="1:17" ht="16" customHeight="1" x14ac:dyDescent="0.2">
      <c r="A136" s="7"/>
      <c r="B136" s="7"/>
      <c r="C136" s="7"/>
      <c r="D136" s="43"/>
      <c r="E136" s="7"/>
      <c r="F136" s="43"/>
      <c r="G136" s="8"/>
      <c r="H136" s="6"/>
      <c r="I136" s="4"/>
      <c r="J136" s="9" t="str">
        <f t="shared" si="4"/>
        <v/>
      </c>
      <c r="K136" s="10" t="str">
        <f t="shared" si="5"/>
        <v/>
      </c>
      <c r="L136" s="6"/>
      <c r="M136" s="10" t="str">
        <f t="shared" si="6"/>
        <v/>
      </c>
      <c r="N136" s="7"/>
      <c r="O136" s="43"/>
      <c r="P136" s="11"/>
      <c r="Q136" s="7"/>
    </row>
    <row r="137" spans="1:17" ht="16" customHeight="1" x14ac:dyDescent="0.2">
      <c r="A137" s="7"/>
      <c r="B137" s="7"/>
      <c r="C137" s="7"/>
      <c r="D137" s="43"/>
      <c r="E137" s="7"/>
      <c r="F137" s="43"/>
      <c r="G137" s="8"/>
      <c r="H137" s="6"/>
      <c r="I137" s="4"/>
      <c r="J137" s="9" t="str">
        <f t="shared" si="4"/>
        <v/>
      </c>
      <c r="K137" s="10" t="str">
        <f t="shared" si="5"/>
        <v/>
      </c>
      <c r="L137" s="6"/>
      <c r="M137" s="10" t="str">
        <f t="shared" si="6"/>
        <v/>
      </c>
      <c r="N137" s="7"/>
      <c r="O137" s="43"/>
      <c r="P137" s="11"/>
      <c r="Q137" s="7"/>
    </row>
    <row r="138" spans="1:17" ht="16" customHeight="1" x14ac:dyDescent="0.2">
      <c r="A138" s="7"/>
      <c r="B138" s="7"/>
      <c r="C138" s="7"/>
      <c r="D138" s="43"/>
      <c r="E138" s="7"/>
      <c r="F138" s="43"/>
      <c r="G138" s="8"/>
      <c r="H138" s="6"/>
      <c r="I138" s="4"/>
      <c r="J138" s="9" t="str">
        <f t="shared" ref="J138:J201" si="7">IFERROR(I138/H138,"")</f>
        <v/>
      </c>
      <c r="K138" s="10" t="str">
        <f t="shared" ref="K138:K201" si="8">IFERROR(J138*1000,"")</f>
        <v/>
      </c>
      <c r="L138" s="6"/>
      <c r="M138" s="10" t="str">
        <f t="shared" ref="M138:M201" si="9">IFERROR(L138*J138,"")</f>
        <v/>
      </c>
      <c r="N138" s="7"/>
      <c r="O138" s="43"/>
      <c r="P138" s="11"/>
      <c r="Q138" s="7"/>
    </row>
    <row r="139" spans="1:17" ht="16" customHeight="1" x14ac:dyDescent="0.2">
      <c r="A139" s="7"/>
      <c r="B139" s="7"/>
      <c r="C139" s="7"/>
      <c r="D139" s="43"/>
      <c r="E139" s="7"/>
      <c r="F139" s="43"/>
      <c r="G139" s="8"/>
      <c r="H139" s="6"/>
      <c r="I139" s="4"/>
      <c r="J139" s="9" t="str">
        <f t="shared" si="7"/>
        <v/>
      </c>
      <c r="K139" s="10" t="str">
        <f t="shared" si="8"/>
        <v/>
      </c>
      <c r="L139" s="6"/>
      <c r="M139" s="10" t="str">
        <f t="shared" si="9"/>
        <v/>
      </c>
      <c r="N139" s="7"/>
      <c r="O139" s="43"/>
      <c r="P139" s="11"/>
      <c r="Q139" s="7"/>
    </row>
    <row r="140" spans="1:17" ht="16" customHeight="1" x14ac:dyDescent="0.2">
      <c r="A140" s="7"/>
      <c r="B140" s="7"/>
      <c r="C140" s="7"/>
      <c r="D140" s="43"/>
      <c r="E140" s="7"/>
      <c r="F140" s="43"/>
      <c r="G140" s="8"/>
      <c r="H140" s="6"/>
      <c r="I140" s="4"/>
      <c r="J140" s="9" t="str">
        <f t="shared" si="7"/>
        <v/>
      </c>
      <c r="K140" s="10" t="str">
        <f t="shared" si="8"/>
        <v/>
      </c>
      <c r="L140" s="6"/>
      <c r="M140" s="10" t="str">
        <f t="shared" si="9"/>
        <v/>
      </c>
      <c r="N140" s="7"/>
      <c r="O140" s="43"/>
      <c r="P140" s="11"/>
      <c r="Q140" s="7"/>
    </row>
    <row r="141" spans="1:17" ht="16" customHeight="1" x14ac:dyDescent="0.2">
      <c r="A141" s="7"/>
      <c r="B141" s="7"/>
      <c r="C141" s="7"/>
      <c r="D141" s="43"/>
      <c r="E141" s="7"/>
      <c r="F141" s="43"/>
      <c r="G141" s="8"/>
      <c r="H141" s="6"/>
      <c r="I141" s="4"/>
      <c r="J141" s="9" t="str">
        <f t="shared" si="7"/>
        <v/>
      </c>
      <c r="K141" s="10" t="str">
        <f t="shared" si="8"/>
        <v/>
      </c>
      <c r="L141" s="6"/>
      <c r="M141" s="10" t="str">
        <f t="shared" si="9"/>
        <v/>
      </c>
      <c r="N141" s="7"/>
      <c r="O141" s="43"/>
      <c r="P141" s="11"/>
      <c r="Q141" s="7"/>
    </row>
    <row r="142" spans="1:17" ht="16" customHeight="1" x14ac:dyDescent="0.2">
      <c r="A142" s="7"/>
      <c r="B142" s="7"/>
      <c r="C142" s="7"/>
      <c r="D142" s="43"/>
      <c r="E142" s="7"/>
      <c r="F142" s="43"/>
      <c r="G142" s="8"/>
      <c r="H142" s="6"/>
      <c r="I142" s="4"/>
      <c r="J142" s="9" t="str">
        <f t="shared" si="7"/>
        <v/>
      </c>
      <c r="K142" s="10" t="str">
        <f t="shared" si="8"/>
        <v/>
      </c>
      <c r="L142" s="6"/>
      <c r="M142" s="10" t="str">
        <f t="shared" si="9"/>
        <v/>
      </c>
      <c r="N142" s="7"/>
      <c r="O142" s="43"/>
      <c r="P142" s="11"/>
      <c r="Q142" s="7"/>
    </row>
    <row r="143" spans="1:17" ht="16" customHeight="1" x14ac:dyDescent="0.2">
      <c r="A143" s="7"/>
      <c r="B143" s="7"/>
      <c r="C143" s="7"/>
      <c r="D143" s="43"/>
      <c r="E143" s="7"/>
      <c r="F143" s="43"/>
      <c r="G143" s="8"/>
      <c r="H143" s="6"/>
      <c r="I143" s="4"/>
      <c r="J143" s="9" t="str">
        <f t="shared" si="7"/>
        <v/>
      </c>
      <c r="K143" s="10" t="str">
        <f t="shared" si="8"/>
        <v/>
      </c>
      <c r="L143" s="6"/>
      <c r="M143" s="10" t="str">
        <f t="shared" si="9"/>
        <v/>
      </c>
      <c r="N143" s="7"/>
      <c r="O143" s="43"/>
      <c r="P143" s="11"/>
      <c r="Q143" s="7"/>
    </row>
    <row r="144" spans="1:17" ht="16" customHeight="1" x14ac:dyDescent="0.2">
      <c r="A144" s="7"/>
      <c r="B144" s="7"/>
      <c r="C144" s="7"/>
      <c r="D144" s="43"/>
      <c r="E144" s="7"/>
      <c r="F144" s="43"/>
      <c r="G144" s="8"/>
      <c r="H144" s="6"/>
      <c r="I144" s="4"/>
      <c r="J144" s="9" t="str">
        <f t="shared" si="7"/>
        <v/>
      </c>
      <c r="K144" s="10" t="str">
        <f t="shared" si="8"/>
        <v/>
      </c>
      <c r="L144" s="6"/>
      <c r="M144" s="10" t="str">
        <f t="shared" si="9"/>
        <v/>
      </c>
      <c r="N144" s="7"/>
      <c r="O144" s="43"/>
      <c r="P144" s="11"/>
      <c r="Q144" s="7"/>
    </row>
    <row r="145" spans="1:17" ht="16" customHeight="1" x14ac:dyDescent="0.2">
      <c r="A145" s="7"/>
      <c r="B145" s="7"/>
      <c r="C145" s="7"/>
      <c r="D145" s="43"/>
      <c r="E145" s="7"/>
      <c r="F145" s="43"/>
      <c r="G145" s="8"/>
      <c r="H145" s="6"/>
      <c r="I145" s="4"/>
      <c r="J145" s="9" t="str">
        <f t="shared" si="7"/>
        <v/>
      </c>
      <c r="K145" s="10" t="str">
        <f t="shared" si="8"/>
        <v/>
      </c>
      <c r="L145" s="6"/>
      <c r="M145" s="10" t="str">
        <f t="shared" si="9"/>
        <v/>
      </c>
      <c r="N145" s="7"/>
      <c r="O145" s="43"/>
      <c r="P145" s="11"/>
      <c r="Q145" s="7"/>
    </row>
    <row r="146" spans="1:17" ht="16" customHeight="1" x14ac:dyDescent="0.2">
      <c r="A146" s="7"/>
      <c r="B146" s="7"/>
      <c r="C146" s="7"/>
      <c r="D146" s="43"/>
      <c r="E146" s="7"/>
      <c r="F146" s="43"/>
      <c r="G146" s="8"/>
      <c r="H146" s="6"/>
      <c r="I146" s="4"/>
      <c r="J146" s="9" t="str">
        <f t="shared" si="7"/>
        <v/>
      </c>
      <c r="K146" s="10" t="str">
        <f t="shared" si="8"/>
        <v/>
      </c>
      <c r="L146" s="6"/>
      <c r="M146" s="10" t="str">
        <f t="shared" si="9"/>
        <v/>
      </c>
      <c r="N146" s="7"/>
      <c r="O146" s="43"/>
      <c r="P146" s="11"/>
      <c r="Q146" s="7"/>
    </row>
    <row r="147" spans="1:17" ht="16" customHeight="1" x14ac:dyDescent="0.2">
      <c r="A147" s="7"/>
      <c r="B147" s="7"/>
      <c r="C147" s="7"/>
      <c r="D147" s="43"/>
      <c r="E147" s="7"/>
      <c r="F147" s="43"/>
      <c r="G147" s="8"/>
      <c r="H147" s="6"/>
      <c r="I147" s="4"/>
      <c r="J147" s="9" t="str">
        <f t="shared" si="7"/>
        <v/>
      </c>
      <c r="K147" s="10" t="str">
        <f t="shared" si="8"/>
        <v/>
      </c>
      <c r="L147" s="6"/>
      <c r="M147" s="10" t="str">
        <f t="shared" si="9"/>
        <v/>
      </c>
      <c r="N147" s="7"/>
      <c r="O147" s="43"/>
      <c r="P147" s="11"/>
      <c r="Q147" s="7"/>
    </row>
    <row r="148" spans="1:17" ht="16" customHeight="1" x14ac:dyDescent="0.2">
      <c r="A148" s="7"/>
      <c r="B148" s="7"/>
      <c r="C148" s="7"/>
      <c r="D148" s="43"/>
      <c r="E148" s="7"/>
      <c r="F148" s="43"/>
      <c r="G148" s="8"/>
      <c r="H148" s="6"/>
      <c r="I148" s="4"/>
      <c r="J148" s="9" t="str">
        <f t="shared" si="7"/>
        <v/>
      </c>
      <c r="K148" s="10" t="str">
        <f t="shared" si="8"/>
        <v/>
      </c>
      <c r="L148" s="6"/>
      <c r="M148" s="10" t="str">
        <f t="shared" si="9"/>
        <v/>
      </c>
      <c r="N148" s="7"/>
      <c r="O148" s="43"/>
      <c r="P148" s="11"/>
      <c r="Q148" s="7"/>
    </row>
    <row r="149" spans="1:17" ht="16" customHeight="1" x14ac:dyDescent="0.2">
      <c r="A149" s="7"/>
      <c r="B149" s="7"/>
      <c r="C149" s="7"/>
      <c r="D149" s="43"/>
      <c r="E149" s="7"/>
      <c r="F149" s="43"/>
      <c r="G149" s="8"/>
      <c r="H149" s="6"/>
      <c r="I149" s="4"/>
      <c r="J149" s="9" t="str">
        <f t="shared" si="7"/>
        <v/>
      </c>
      <c r="K149" s="10" t="str">
        <f t="shared" si="8"/>
        <v/>
      </c>
      <c r="L149" s="6"/>
      <c r="M149" s="10" t="str">
        <f t="shared" si="9"/>
        <v/>
      </c>
      <c r="N149" s="7"/>
      <c r="O149" s="43"/>
      <c r="P149" s="11"/>
      <c r="Q149" s="7"/>
    </row>
    <row r="150" spans="1:17" ht="16" customHeight="1" x14ac:dyDescent="0.2">
      <c r="A150" s="7"/>
      <c r="B150" s="7"/>
      <c r="C150" s="7"/>
      <c r="D150" s="43"/>
      <c r="E150" s="7"/>
      <c r="F150" s="43"/>
      <c r="G150" s="8"/>
      <c r="H150" s="6"/>
      <c r="I150" s="4"/>
      <c r="J150" s="9" t="str">
        <f t="shared" si="7"/>
        <v/>
      </c>
      <c r="K150" s="10" t="str">
        <f t="shared" si="8"/>
        <v/>
      </c>
      <c r="L150" s="6"/>
      <c r="M150" s="10" t="str">
        <f t="shared" si="9"/>
        <v/>
      </c>
      <c r="N150" s="7"/>
      <c r="O150" s="43"/>
      <c r="P150" s="11"/>
      <c r="Q150" s="7"/>
    </row>
    <row r="151" spans="1:17" ht="16" customHeight="1" x14ac:dyDescent="0.2">
      <c r="A151" s="7"/>
      <c r="B151" s="7"/>
      <c r="C151" s="7"/>
      <c r="D151" s="43"/>
      <c r="E151" s="7"/>
      <c r="F151" s="43"/>
      <c r="G151" s="8"/>
      <c r="H151" s="6"/>
      <c r="I151" s="4"/>
      <c r="J151" s="9" t="str">
        <f t="shared" si="7"/>
        <v/>
      </c>
      <c r="K151" s="10" t="str">
        <f t="shared" si="8"/>
        <v/>
      </c>
      <c r="L151" s="6"/>
      <c r="M151" s="10" t="str">
        <f t="shared" si="9"/>
        <v/>
      </c>
      <c r="N151" s="7"/>
      <c r="O151" s="43"/>
      <c r="P151" s="11"/>
      <c r="Q151" s="7"/>
    </row>
    <row r="152" spans="1:17" ht="16" customHeight="1" x14ac:dyDescent="0.2">
      <c r="A152" s="7"/>
      <c r="B152" s="7"/>
      <c r="C152" s="7"/>
      <c r="D152" s="43"/>
      <c r="E152" s="7"/>
      <c r="F152" s="43"/>
      <c r="G152" s="8"/>
      <c r="H152" s="6"/>
      <c r="I152" s="4"/>
      <c r="J152" s="9" t="str">
        <f t="shared" si="7"/>
        <v/>
      </c>
      <c r="K152" s="10" t="str">
        <f t="shared" si="8"/>
        <v/>
      </c>
      <c r="L152" s="6"/>
      <c r="M152" s="10" t="str">
        <f t="shared" si="9"/>
        <v/>
      </c>
      <c r="N152" s="7"/>
      <c r="O152" s="43"/>
      <c r="P152" s="11"/>
      <c r="Q152" s="7"/>
    </row>
    <row r="153" spans="1:17" ht="16" customHeight="1" x14ac:dyDescent="0.2">
      <c r="A153" s="7"/>
      <c r="B153" s="7"/>
      <c r="C153" s="7"/>
      <c r="D153" s="43"/>
      <c r="E153" s="7"/>
      <c r="F153" s="43"/>
      <c r="G153" s="8"/>
      <c r="H153" s="6"/>
      <c r="I153" s="4"/>
      <c r="J153" s="9" t="str">
        <f t="shared" si="7"/>
        <v/>
      </c>
      <c r="K153" s="10" t="str">
        <f t="shared" si="8"/>
        <v/>
      </c>
      <c r="L153" s="6"/>
      <c r="M153" s="10" t="str">
        <f t="shared" si="9"/>
        <v/>
      </c>
      <c r="N153" s="7"/>
      <c r="O153" s="43"/>
      <c r="P153" s="11"/>
      <c r="Q153" s="7"/>
    </row>
    <row r="154" spans="1:17" ht="16" customHeight="1" x14ac:dyDescent="0.2">
      <c r="A154" s="7"/>
      <c r="B154" s="7"/>
      <c r="C154" s="7"/>
      <c r="D154" s="43"/>
      <c r="E154" s="7"/>
      <c r="F154" s="43"/>
      <c r="G154" s="8"/>
      <c r="H154" s="6"/>
      <c r="I154" s="4"/>
      <c r="J154" s="9" t="str">
        <f t="shared" si="7"/>
        <v/>
      </c>
      <c r="K154" s="10" t="str">
        <f t="shared" si="8"/>
        <v/>
      </c>
      <c r="L154" s="6"/>
      <c r="M154" s="10" t="str">
        <f t="shared" si="9"/>
        <v/>
      </c>
      <c r="N154" s="7"/>
      <c r="O154" s="43"/>
      <c r="P154" s="11"/>
      <c r="Q154" s="7"/>
    </row>
    <row r="155" spans="1:17" ht="16" customHeight="1" x14ac:dyDescent="0.2">
      <c r="A155" s="7"/>
      <c r="B155" s="7"/>
      <c r="C155" s="7"/>
      <c r="D155" s="43"/>
      <c r="E155" s="7"/>
      <c r="F155" s="43"/>
      <c r="G155" s="8"/>
      <c r="H155" s="6"/>
      <c r="I155" s="4"/>
      <c r="J155" s="9" t="str">
        <f t="shared" si="7"/>
        <v/>
      </c>
      <c r="K155" s="10" t="str">
        <f t="shared" si="8"/>
        <v/>
      </c>
      <c r="L155" s="6"/>
      <c r="M155" s="10" t="str">
        <f t="shared" si="9"/>
        <v/>
      </c>
      <c r="N155" s="7"/>
      <c r="O155" s="43"/>
      <c r="P155" s="11"/>
      <c r="Q155" s="7"/>
    </row>
    <row r="156" spans="1:17" ht="16" customHeight="1" x14ac:dyDescent="0.2">
      <c r="A156" s="7"/>
      <c r="B156" s="7"/>
      <c r="C156" s="7"/>
      <c r="D156" s="43"/>
      <c r="E156" s="7"/>
      <c r="F156" s="43"/>
      <c r="G156" s="8"/>
      <c r="H156" s="6"/>
      <c r="I156" s="4"/>
      <c r="J156" s="9" t="str">
        <f t="shared" si="7"/>
        <v/>
      </c>
      <c r="K156" s="10" t="str">
        <f t="shared" si="8"/>
        <v/>
      </c>
      <c r="L156" s="6"/>
      <c r="M156" s="10" t="str">
        <f t="shared" si="9"/>
        <v/>
      </c>
      <c r="N156" s="7"/>
      <c r="O156" s="43"/>
      <c r="P156" s="11"/>
      <c r="Q156" s="7"/>
    </row>
    <row r="157" spans="1:17" ht="16" customHeight="1" x14ac:dyDescent="0.2">
      <c r="A157" s="7"/>
      <c r="B157" s="7"/>
      <c r="C157" s="7"/>
      <c r="D157" s="43"/>
      <c r="E157" s="7"/>
      <c r="F157" s="43"/>
      <c r="G157" s="8"/>
      <c r="H157" s="6"/>
      <c r="I157" s="4"/>
      <c r="J157" s="9" t="str">
        <f t="shared" si="7"/>
        <v/>
      </c>
      <c r="K157" s="10" t="str">
        <f t="shared" si="8"/>
        <v/>
      </c>
      <c r="L157" s="6"/>
      <c r="M157" s="10" t="str">
        <f t="shared" si="9"/>
        <v/>
      </c>
      <c r="N157" s="7"/>
      <c r="O157" s="43"/>
      <c r="P157" s="11"/>
      <c r="Q157" s="7"/>
    </row>
    <row r="158" spans="1:17" ht="16" customHeight="1" x14ac:dyDescent="0.2">
      <c r="A158" s="7"/>
      <c r="B158" s="7"/>
      <c r="C158" s="7"/>
      <c r="D158" s="43"/>
      <c r="E158" s="7"/>
      <c r="F158" s="43"/>
      <c r="G158" s="8"/>
      <c r="H158" s="6"/>
      <c r="I158" s="4"/>
      <c r="J158" s="9" t="str">
        <f t="shared" si="7"/>
        <v/>
      </c>
      <c r="K158" s="10" t="str">
        <f t="shared" si="8"/>
        <v/>
      </c>
      <c r="L158" s="6"/>
      <c r="M158" s="10" t="str">
        <f t="shared" si="9"/>
        <v/>
      </c>
      <c r="N158" s="7"/>
      <c r="O158" s="43"/>
      <c r="P158" s="11"/>
      <c r="Q158" s="7"/>
    </row>
    <row r="159" spans="1:17" ht="16" customHeight="1" x14ac:dyDescent="0.2">
      <c r="A159" s="7"/>
      <c r="B159" s="7"/>
      <c r="C159" s="7"/>
      <c r="D159" s="43"/>
      <c r="E159" s="7"/>
      <c r="F159" s="43"/>
      <c r="G159" s="8"/>
      <c r="H159" s="6"/>
      <c r="I159" s="4"/>
      <c r="J159" s="9" t="str">
        <f t="shared" si="7"/>
        <v/>
      </c>
      <c r="K159" s="10" t="str">
        <f t="shared" si="8"/>
        <v/>
      </c>
      <c r="L159" s="6"/>
      <c r="M159" s="10" t="str">
        <f t="shared" si="9"/>
        <v/>
      </c>
      <c r="N159" s="7"/>
      <c r="O159" s="43"/>
      <c r="P159" s="11"/>
      <c r="Q159" s="7"/>
    </row>
    <row r="160" spans="1:17" ht="16" customHeight="1" x14ac:dyDescent="0.2">
      <c r="A160" s="7"/>
      <c r="B160" s="7"/>
      <c r="C160" s="7"/>
      <c r="D160" s="43"/>
      <c r="E160" s="7"/>
      <c r="F160" s="43"/>
      <c r="G160" s="8"/>
      <c r="H160" s="6"/>
      <c r="I160" s="4"/>
      <c r="J160" s="9" t="str">
        <f t="shared" si="7"/>
        <v/>
      </c>
      <c r="K160" s="10" t="str">
        <f t="shared" si="8"/>
        <v/>
      </c>
      <c r="L160" s="6"/>
      <c r="M160" s="10" t="str">
        <f t="shared" si="9"/>
        <v/>
      </c>
      <c r="N160" s="7"/>
      <c r="O160" s="43"/>
      <c r="P160" s="11"/>
      <c r="Q160" s="7"/>
    </row>
    <row r="161" spans="1:17" ht="16" customHeight="1" x14ac:dyDescent="0.2">
      <c r="A161" s="7"/>
      <c r="B161" s="7"/>
      <c r="C161" s="7"/>
      <c r="D161" s="43"/>
      <c r="E161" s="7"/>
      <c r="F161" s="43"/>
      <c r="G161" s="8"/>
      <c r="H161" s="6"/>
      <c r="I161" s="4"/>
      <c r="J161" s="9" t="str">
        <f t="shared" si="7"/>
        <v/>
      </c>
      <c r="K161" s="10" t="str">
        <f t="shared" si="8"/>
        <v/>
      </c>
      <c r="L161" s="6"/>
      <c r="M161" s="10" t="str">
        <f t="shared" si="9"/>
        <v/>
      </c>
      <c r="N161" s="7"/>
      <c r="O161" s="43"/>
      <c r="P161" s="11"/>
      <c r="Q161" s="7"/>
    </row>
    <row r="162" spans="1:17" ht="16" customHeight="1" x14ac:dyDescent="0.2">
      <c r="A162" s="7"/>
      <c r="B162" s="7"/>
      <c r="C162" s="7"/>
      <c r="D162" s="43"/>
      <c r="E162" s="7"/>
      <c r="F162" s="43"/>
      <c r="G162" s="8"/>
      <c r="H162" s="6"/>
      <c r="I162" s="4"/>
      <c r="J162" s="9" t="str">
        <f t="shared" si="7"/>
        <v/>
      </c>
      <c r="K162" s="10" t="str">
        <f t="shared" si="8"/>
        <v/>
      </c>
      <c r="L162" s="6"/>
      <c r="M162" s="10" t="str">
        <f t="shared" si="9"/>
        <v/>
      </c>
      <c r="N162" s="7"/>
      <c r="O162" s="43"/>
      <c r="P162" s="11"/>
      <c r="Q162" s="7"/>
    </row>
    <row r="163" spans="1:17" ht="16" customHeight="1" x14ac:dyDescent="0.2">
      <c r="A163" s="7"/>
      <c r="B163" s="7"/>
      <c r="C163" s="7"/>
      <c r="D163" s="43"/>
      <c r="E163" s="7"/>
      <c r="F163" s="43"/>
      <c r="G163" s="8"/>
      <c r="H163" s="6"/>
      <c r="I163" s="4"/>
      <c r="J163" s="9" t="str">
        <f t="shared" si="7"/>
        <v/>
      </c>
      <c r="K163" s="10" t="str">
        <f t="shared" si="8"/>
        <v/>
      </c>
      <c r="L163" s="6"/>
      <c r="M163" s="10" t="str">
        <f t="shared" si="9"/>
        <v/>
      </c>
      <c r="N163" s="7"/>
      <c r="O163" s="43"/>
      <c r="P163" s="11"/>
      <c r="Q163" s="7"/>
    </row>
    <row r="164" spans="1:17" ht="16" customHeight="1" x14ac:dyDescent="0.2">
      <c r="A164" s="7"/>
      <c r="B164" s="7"/>
      <c r="C164" s="7"/>
      <c r="D164" s="43"/>
      <c r="E164" s="7"/>
      <c r="F164" s="43"/>
      <c r="G164" s="8"/>
      <c r="H164" s="6"/>
      <c r="I164" s="4"/>
      <c r="J164" s="9" t="str">
        <f t="shared" si="7"/>
        <v/>
      </c>
      <c r="K164" s="10" t="str">
        <f t="shared" si="8"/>
        <v/>
      </c>
      <c r="L164" s="6"/>
      <c r="M164" s="10" t="str">
        <f t="shared" si="9"/>
        <v/>
      </c>
      <c r="N164" s="7"/>
      <c r="O164" s="43"/>
      <c r="P164" s="11"/>
      <c r="Q164" s="7"/>
    </row>
    <row r="165" spans="1:17" ht="16" customHeight="1" x14ac:dyDescent="0.2">
      <c r="A165" s="7"/>
      <c r="B165" s="7"/>
      <c r="C165" s="7"/>
      <c r="D165" s="43"/>
      <c r="E165" s="7"/>
      <c r="F165" s="43"/>
      <c r="G165" s="8"/>
      <c r="H165" s="6"/>
      <c r="I165" s="4"/>
      <c r="J165" s="9" t="str">
        <f t="shared" si="7"/>
        <v/>
      </c>
      <c r="K165" s="10" t="str">
        <f t="shared" si="8"/>
        <v/>
      </c>
      <c r="L165" s="6"/>
      <c r="M165" s="10" t="str">
        <f t="shared" si="9"/>
        <v/>
      </c>
      <c r="N165" s="7"/>
      <c r="O165" s="43"/>
      <c r="P165" s="11"/>
      <c r="Q165" s="7"/>
    </row>
    <row r="166" spans="1:17" ht="16" customHeight="1" x14ac:dyDescent="0.2">
      <c r="A166" s="7"/>
      <c r="B166" s="7"/>
      <c r="C166" s="7"/>
      <c r="D166" s="43"/>
      <c r="E166" s="7"/>
      <c r="F166" s="43"/>
      <c r="G166" s="8"/>
      <c r="H166" s="6"/>
      <c r="I166" s="4"/>
      <c r="J166" s="9" t="str">
        <f t="shared" si="7"/>
        <v/>
      </c>
      <c r="K166" s="10" t="str">
        <f t="shared" si="8"/>
        <v/>
      </c>
      <c r="L166" s="6"/>
      <c r="M166" s="10" t="str">
        <f t="shared" si="9"/>
        <v/>
      </c>
      <c r="N166" s="7"/>
      <c r="O166" s="43"/>
      <c r="P166" s="11"/>
      <c r="Q166" s="7"/>
    </row>
    <row r="167" spans="1:17" ht="16" customHeight="1" x14ac:dyDescent="0.2">
      <c r="A167" s="7"/>
      <c r="B167" s="7"/>
      <c r="C167" s="7"/>
      <c r="D167" s="43"/>
      <c r="E167" s="7"/>
      <c r="F167" s="43"/>
      <c r="G167" s="8"/>
      <c r="H167" s="6"/>
      <c r="I167" s="4"/>
      <c r="J167" s="9" t="str">
        <f t="shared" si="7"/>
        <v/>
      </c>
      <c r="K167" s="10" t="str">
        <f t="shared" si="8"/>
        <v/>
      </c>
      <c r="L167" s="6"/>
      <c r="M167" s="10" t="str">
        <f t="shared" si="9"/>
        <v/>
      </c>
      <c r="N167" s="7"/>
      <c r="O167" s="43"/>
      <c r="P167" s="11"/>
      <c r="Q167" s="7"/>
    </row>
    <row r="168" spans="1:17" ht="16" customHeight="1" x14ac:dyDescent="0.2">
      <c r="A168" s="7"/>
      <c r="B168" s="7"/>
      <c r="C168" s="7"/>
      <c r="D168" s="43"/>
      <c r="E168" s="7"/>
      <c r="F168" s="43"/>
      <c r="G168" s="8"/>
      <c r="H168" s="6"/>
      <c r="I168" s="4"/>
      <c r="J168" s="9" t="str">
        <f t="shared" si="7"/>
        <v/>
      </c>
      <c r="K168" s="10" t="str">
        <f t="shared" si="8"/>
        <v/>
      </c>
      <c r="L168" s="6"/>
      <c r="M168" s="10" t="str">
        <f t="shared" si="9"/>
        <v/>
      </c>
      <c r="N168" s="7"/>
      <c r="O168" s="43"/>
      <c r="P168" s="11"/>
      <c r="Q168" s="7"/>
    </row>
    <row r="169" spans="1:17" ht="16" customHeight="1" x14ac:dyDescent="0.2">
      <c r="A169" s="7"/>
      <c r="B169" s="7"/>
      <c r="C169" s="7"/>
      <c r="D169" s="43"/>
      <c r="E169" s="7"/>
      <c r="F169" s="43"/>
      <c r="G169" s="8"/>
      <c r="H169" s="6"/>
      <c r="I169" s="4"/>
      <c r="J169" s="9" t="str">
        <f t="shared" si="7"/>
        <v/>
      </c>
      <c r="K169" s="10" t="str">
        <f t="shared" si="8"/>
        <v/>
      </c>
      <c r="L169" s="6"/>
      <c r="M169" s="10" t="str">
        <f t="shared" si="9"/>
        <v/>
      </c>
      <c r="N169" s="7"/>
      <c r="O169" s="43"/>
      <c r="P169" s="11"/>
      <c r="Q169" s="7"/>
    </row>
    <row r="170" spans="1:17" ht="16" customHeight="1" x14ac:dyDescent="0.2">
      <c r="A170" s="7"/>
      <c r="B170" s="7"/>
      <c r="C170" s="7"/>
      <c r="D170" s="43"/>
      <c r="E170" s="7"/>
      <c r="F170" s="43"/>
      <c r="G170" s="8"/>
      <c r="H170" s="6"/>
      <c r="I170" s="4"/>
      <c r="J170" s="9" t="str">
        <f t="shared" si="7"/>
        <v/>
      </c>
      <c r="K170" s="10" t="str">
        <f t="shared" si="8"/>
        <v/>
      </c>
      <c r="L170" s="6"/>
      <c r="M170" s="10" t="str">
        <f t="shared" si="9"/>
        <v/>
      </c>
      <c r="N170" s="7"/>
      <c r="O170" s="43"/>
      <c r="P170" s="11"/>
      <c r="Q170" s="7"/>
    </row>
    <row r="171" spans="1:17" ht="16" customHeight="1" x14ac:dyDescent="0.2">
      <c r="A171" s="7"/>
      <c r="B171" s="7"/>
      <c r="C171" s="7"/>
      <c r="D171" s="43"/>
      <c r="E171" s="7"/>
      <c r="F171" s="43"/>
      <c r="G171" s="8"/>
      <c r="H171" s="6"/>
      <c r="I171" s="4"/>
      <c r="J171" s="9" t="str">
        <f t="shared" si="7"/>
        <v/>
      </c>
      <c r="K171" s="10" t="str">
        <f t="shared" si="8"/>
        <v/>
      </c>
      <c r="L171" s="6"/>
      <c r="M171" s="10" t="str">
        <f t="shared" si="9"/>
        <v/>
      </c>
      <c r="N171" s="7"/>
      <c r="O171" s="43"/>
      <c r="P171" s="11"/>
      <c r="Q171" s="7"/>
    </row>
    <row r="172" spans="1:17" ht="16" customHeight="1" x14ac:dyDescent="0.2">
      <c r="A172" s="7"/>
      <c r="B172" s="7"/>
      <c r="C172" s="7"/>
      <c r="D172" s="43"/>
      <c r="E172" s="7"/>
      <c r="F172" s="43"/>
      <c r="G172" s="8"/>
      <c r="H172" s="6"/>
      <c r="I172" s="4"/>
      <c r="J172" s="9" t="str">
        <f t="shared" si="7"/>
        <v/>
      </c>
      <c r="K172" s="10" t="str">
        <f t="shared" si="8"/>
        <v/>
      </c>
      <c r="L172" s="6"/>
      <c r="M172" s="10" t="str">
        <f t="shared" si="9"/>
        <v/>
      </c>
      <c r="N172" s="7"/>
      <c r="O172" s="43"/>
      <c r="P172" s="11"/>
      <c r="Q172" s="7"/>
    </row>
    <row r="173" spans="1:17" ht="16" customHeight="1" x14ac:dyDescent="0.2">
      <c r="A173" s="7"/>
      <c r="B173" s="7"/>
      <c r="C173" s="7"/>
      <c r="D173" s="43"/>
      <c r="E173" s="7"/>
      <c r="F173" s="43"/>
      <c r="G173" s="8"/>
      <c r="H173" s="6"/>
      <c r="I173" s="4"/>
      <c r="J173" s="9" t="str">
        <f t="shared" si="7"/>
        <v/>
      </c>
      <c r="K173" s="10" t="str">
        <f t="shared" si="8"/>
        <v/>
      </c>
      <c r="L173" s="6"/>
      <c r="M173" s="10" t="str">
        <f t="shared" si="9"/>
        <v/>
      </c>
      <c r="N173" s="7"/>
      <c r="O173" s="43"/>
      <c r="P173" s="11"/>
      <c r="Q173" s="7"/>
    </row>
    <row r="174" spans="1:17" ht="16" customHeight="1" x14ac:dyDescent="0.2">
      <c r="A174" s="7"/>
      <c r="B174" s="7"/>
      <c r="C174" s="7"/>
      <c r="D174" s="43"/>
      <c r="E174" s="7"/>
      <c r="F174" s="43"/>
      <c r="G174" s="8"/>
      <c r="H174" s="6"/>
      <c r="I174" s="4"/>
      <c r="J174" s="9" t="str">
        <f t="shared" si="7"/>
        <v/>
      </c>
      <c r="K174" s="10" t="str">
        <f t="shared" si="8"/>
        <v/>
      </c>
      <c r="L174" s="6"/>
      <c r="M174" s="10" t="str">
        <f t="shared" si="9"/>
        <v/>
      </c>
      <c r="N174" s="7"/>
      <c r="O174" s="43"/>
      <c r="P174" s="11"/>
      <c r="Q174" s="7"/>
    </row>
    <row r="175" spans="1:17" ht="16" customHeight="1" x14ac:dyDescent="0.2">
      <c r="A175" s="7"/>
      <c r="B175" s="7"/>
      <c r="C175" s="7"/>
      <c r="D175" s="43"/>
      <c r="E175" s="7"/>
      <c r="F175" s="43"/>
      <c r="G175" s="8"/>
      <c r="H175" s="6"/>
      <c r="I175" s="4"/>
      <c r="J175" s="9" t="str">
        <f t="shared" si="7"/>
        <v/>
      </c>
      <c r="K175" s="10" t="str">
        <f t="shared" si="8"/>
        <v/>
      </c>
      <c r="L175" s="6"/>
      <c r="M175" s="10" t="str">
        <f t="shared" si="9"/>
        <v/>
      </c>
      <c r="N175" s="7"/>
      <c r="O175" s="43"/>
      <c r="P175" s="11"/>
      <c r="Q175" s="7"/>
    </row>
    <row r="176" spans="1:17" ht="16" customHeight="1" x14ac:dyDescent="0.2">
      <c r="A176" s="7"/>
      <c r="B176" s="7"/>
      <c r="C176" s="7"/>
      <c r="D176" s="43"/>
      <c r="E176" s="7"/>
      <c r="F176" s="43"/>
      <c r="G176" s="8"/>
      <c r="H176" s="6"/>
      <c r="I176" s="4"/>
      <c r="J176" s="9" t="str">
        <f t="shared" si="7"/>
        <v/>
      </c>
      <c r="K176" s="10" t="str">
        <f t="shared" si="8"/>
        <v/>
      </c>
      <c r="L176" s="6"/>
      <c r="M176" s="10" t="str">
        <f t="shared" si="9"/>
        <v/>
      </c>
      <c r="N176" s="7"/>
      <c r="O176" s="43"/>
      <c r="P176" s="11"/>
      <c r="Q176" s="7"/>
    </row>
    <row r="177" spans="1:17" ht="16" customHeight="1" x14ac:dyDescent="0.2">
      <c r="A177" s="7"/>
      <c r="B177" s="7"/>
      <c r="C177" s="7"/>
      <c r="D177" s="43"/>
      <c r="E177" s="7"/>
      <c r="F177" s="43"/>
      <c r="G177" s="8"/>
      <c r="H177" s="6"/>
      <c r="I177" s="4"/>
      <c r="J177" s="9" t="str">
        <f t="shared" si="7"/>
        <v/>
      </c>
      <c r="K177" s="10" t="str">
        <f t="shared" si="8"/>
        <v/>
      </c>
      <c r="L177" s="6"/>
      <c r="M177" s="10" t="str">
        <f t="shared" si="9"/>
        <v/>
      </c>
      <c r="N177" s="7"/>
      <c r="O177" s="43"/>
      <c r="P177" s="11"/>
      <c r="Q177" s="7"/>
    </row>
    <row r="178" spans="1:17" ht="16" customHeight="1" x14ac:dyDescent="0.2">
      <c r="A178" s="7"/>
      <c r="B178" s="7"/>
      <c r="C178" s="7"/>
      <c r="D178" s="43"/>
      <c r="E178" s="7"/>
      <c r="F178" s="43"/>
      <c r="G178" s="8"/>
      <c r="H178" s="6"/>
      <c r="I178" s="4"/>
      <c r="J178" s="9" t="str">
        <f t="shared" si="7"/>
        <v/>
      </c>
      <c r="K178" s="10" t="str">
        <f t="shared" si="8"/>
        <v/>
      </c>
      <c r="L178" s="6"/>
      <c r="M178" s="10" t="str">
        <f t="shared" si="9"/>
        <v/>
      </c>
      <c r="N178" s="7"/>
      <c r="O178" s="43"/>
      <c r="P178" s="11"/>
      <c r="Q178" s="7"/>
    </row>
    <row r="179" spans="1:17" ht="16" customHeight="1" x14ac:dyDescent="0.2">
      <c r="A179" s="7"/>
      <c r="B179" s="7"/>
      <c r="C179" s="7"/>
      <c r="D179" s="43"/>
      <c r="E179" s="7"/>
      <c r="F179" s="43"/>
      <c r="G179" s="8"/>
      <c r="H179" s="6"/>
      <c r="I179" s="4"/>
      <c r="J179" s="9" t="str">
        <f t="shared" si="7"/>
        <v/>
      </c>
      <c r="K179" s="10" t="str">
        <f t="shared" si="8"/>
        <v/>
      </c>
      <c r="L179" s="6"/>
      <c r="M179" s="10" t="str">
        <f t="shared" si="9"/>
        <v/>
      </c>
      <c r="N179" s="7"/>
      <c r="O179" s="43"/>
      <c r="P179" s="11"/>
      <c r="Q179" s="7"/>
    </row>
    <row r="180" spans="1:17" ht="16" customHeight="1" x14ac:dyDescent="0.2">
      <c r="A180" s="7"/>
      <c r="B180" s="7"/>
      <c r="C180" s="7"/>
      <c r="D180" s="43"/>
      <c r="E180" s="7"/>
      <c r="F180" s="43"/>
      <c r="G180" s="8"/>
      <c r="H180" s="6"/>
      <c r="I180" s="4"/>
      <c r="J180" s="9" t="str">
        <f t="shared" si="7"/>
        <v/>
      </c>
      <c r="K180" s="10" t="str">
        <f t="shared" si="8"/>
        <v/>
      </c>
      <c r="L180" s="6"/>
      <c r="M180" s="10" t="str">
        <f t="shared" si="9"/>
        <v/>
      </c>
      <c r="N180" s="7"/>
      <c r="O180" s="43"/>
      <c r="P180" s="11"/>
      <c r="Q180" s="7"/>
    </row>
    <row r="181" spans="1:17" ht="16" customHeight="1" x14ac:dyDescent="0.2">
      <c r="A181" s="7"/>
      <c r="B181" s="7"/>
      <c r="C181" s="7"/>
      <c r="D181" s="43"/>
      <c r="E181" s="7"/>
      <c r="F181" s="43"/>
      <c r="G181" s="8"/>
      <c r="H181" s="6"/>
      <c r="I181" s="4"/>
      <c r="J181" s="9" t="str">
        <f t="shared" si="7"/>
        <v/>
      </c>
      <c r="K181" s="10" t="str">
        <f t="shared" si="8"/>
        <v/>
      </c>
      <c r="L181" s="6"/>
      <c r="M181" s="10" t="str">
        <f t="shared" si="9"/>
        <v/>
      </c>
      <c r="N181" s="7"/>
      <c r="O181" s="43"/>
      <c r="P181" s="11"/>
      <c r="Q181" s="7"/>
    </row>
    <row r="182" spans="1:17" ht="16" customHeight="1" x14ac:dyDescent="0.2">
      <c r="A182" s="7"/>
      <c r="B182" s="7"/>
      <c r="C182" s="7"/>
      <c r="D182" s="43"/>
      <c r="E182" s="7"/>
      <c r="F182" s="43"/>
      <c r="G182" s="8"/>
      <c r="H182" s="6"/>
      <c r="I182" s="4"/>
      <c r="J182" s="9" t="str">
        <f t="shared" si="7"/>
        <v/>
      </c>
      <c r="K182" s="10" t="str">
        <f t="shared" si="8"/>
        <v/>
      </c>
      <c r="L182" s="6"/>
      <c r="M182" s="10" t="str">
        <f t="shared" si="9"/>
        <v/>
      </c>
      <c r="N182" s="7"/>
      <c r="O182" s="43"/>
      <c r="P182" s="11"/>
      <c r="Q182" s="7"/>
    </row>
    <row r="183" spans="1:17" ht="16" customHeight="1" x14ac:dyDescent="0.2">
      <c r="A183" s="7"/>
      <c r="B183" s="7"/>
      <c r="C183" s="7"/>
      <c r="D183" s="43"/>
      <c r="E183" s="7"/>
      <c r="F183" s="43"/>
      <c r="G183" s="8"/>
      <c r="H183" s="6"/>
      <c r="I183" s="4"/>
      <c r="J183" s="9" t="str">
        <f t="shared" si="7"/>
        <v/>
      </c>
      <c r="K183" s="10" t="str">
        <f t="shared" si="8"/>
        <v/>
      </c>
      <c r="L183" s="6"/>
      <c r="M183" s="10" t="str">
        <f t="shared" si="9"/>
        <v/>
      </c>
      <c r="N183" s="7"/>
      <c r="O183" s="43"/>
      <c r="P183" s="11"/>
      <c r="Q183" s="7"/>
    </row>
    <row r="184" spans="1:17" ht="16" customHeight="1" x14ac:dyDescent="0.2">
      <c r="A184" s="7"/>
      <c r="B184" s="7"/>
      <c r="C184" s="7"/>
      <c r="D184" s="43"/>
      <c r="E184" s="7"/>
      <c r="F184" s="43"/>
      <c r="G184" s="8"/>
      <c r="H184" s="6"/>
      <c r="I184" s="4"/>
      <c r="J184" s="9" t="str">
        <f t="shared" si="7"/>
        <v/>
      </c>
      <c r="K184" s="10" t="str">
        <f t="shared" si="8"/>
        <v/>
      </c>
      <c r="L184" s="6"/>
      <c r="M184" s="10" t="str">
        <f t="shared" si="9"/>
        <v/>
      </c>
      <c r="N184" s="7"/>
      <c r="O184" s="43"/>
      <c r="P184" s="11"/>
      <c r="Q184" s="7"/>
    </row>
    <row r="185" spans="1:17" ht="16" customHeight="1" x14ac:dyDescent="0.2">
      <c r="A185" s="7"/>
      <c r="B185" s="7"/>
      <c r="C185" s="7"/>
      <c r="D185" s="43"/>
      <c r="E185" s="7"/>
      <c r="F185" s="43"/>
      <c r="G185" s="8"/>
      <c r="H185" s="6"/>
      <c r="I185" s="4"/>
      <c r="J185" s="9" t="str">
        <f t="shared" si="7"/>
        <v/>
      </c>
      <c r="K185" s="10" t="str">
        <f t="shared" si="8"/>
        <v/>
      </c>
      <c r="L185" s="6"/>
      <c r="M185" s="10" t="str">
        <f t="shared" si="9"/>
        <v/>
      </c>
      <c r="N185" s="7"/>
      <c r="O185" s="43"/>
      <c r="P185" s="11"/>
      <c r="Q185" s="7"/>
    </row>
    <row r="186" spans="1:17" ht="16" customHeight="1" x14ac:dyDescent="0.2">
      <c r="A186" s="7"/>
      <c r="B186" s="7"/>
      <c r="C186" s="7"/>
      <c r="D186" s="43"/>
      <c r="E186" s="7"/>
      <c r="F186" s="43"/>
      <c r="G186" s="8"/>
      <c r="H186" s="6"/>
      <c r="I186" s="4"/>
      <c r="J186" s="9" t="str">
        <f t="shared" si="7"/>
        <v/>
      </c>
      <c r="K186" s="10" t="str">
        <f t="shared" si="8"/>
        <v/>
      </c>
      <c r="L186" s="6"/>
      <c r="M186" s="10" t="str">
        <f t="shared" si="9"/>
        <v/>
      </c>
      <c r="N186" s="7"/>
      <c r="O186" s="43"/>
      <c r="P186" s="11"/>
      <c r="Q186" s="7"/>
    </row>
    <row r="187" spans="1:17" ht="16" customHeight="1" x14ac:dyDescent="0.2">
      <c r="A187" s="7"/>
      <c r="B187" s="7"/>
      <c r="C187" s="7"/>
      <c r="D187" s="43"/>
      <c r="E187" s="7"/>
      <c r="F187" s="43"/>
      <c r="G187" s="8"/>
      <c r="H187" s="6"/>
      <c r="I187" s="4"/>
      <c r="J187" s="9" t="str">
        <f t="shared" si="7"/>
        <v/>
      </c>
      <c r="K187" s="10" t="str">
        <f t="shared" si="8"/>
        <v/>
      </c>
      <c r="L187" s="6"/>
      <c r="M187" s="10" t="str">
        <f t="shared" si="9"/>
        <v/>
      </c>
      <c r="N187" s="7"/>
      <c r="O187" s="43"/>
      <c r="P187" s="11"/>
      <c r="Q187" s="7"/>
    </row>
    <row r="188" spans="1:17" ht="16" customHeight="1" x14ac:dyDescent="0.2">
      <c r="A188" s="7"/>
      <c r="B188" s="7"/>
      <c r="C188" s="7"/>
      <c r="D188" s="43"/>
      <c r="E188" s="7"/>
      <c r="F188" s="43"/>
      <c r="G188" s="8"/>
      <c r="H188" s="6"/>
      <c r="I188" s="4"/>
      <c r="J188" s="9" t="str">
        <f t="shared" si="7"/>
        <v/>
      </c>
      <c r="K188" s="10" t="str">
        <f t="shared" si="8"/>
        <v/>
      </c>
      <c r="L188" s="6"/>
      <c r="M188" s="10" t="str">
        <f t="shared" si="9"/>
        <v/>
      </c>
      <c r="N188" s="7"/>
      <c r="O188" s="43"/>
      <c r="P188" s="11"/>
      <c r="Q188" s="7"/>
    </row>
    <row r="189" spans="1:17" ht="16" customHeight="1" x14ac:dyDescent="0.2">
      <c r="A189" s="7"/>
      <c r="B189" s="7"/>
      <c r="C189" s="7"/>
      <c r="D189" s="43"/>
      <c r="E189" s="7"/>
      <c r="F189" s="43"/>
      <c r="G189" s="8"/>
      <c r="H189" s="6"/>
      <c r="I189" s="4"/>
      <c r="J189" s="9" t="str">
        <f t="shared" si="7"/>
        <v/>
      </c>
      <c r="K189" s="10" t="str">
        <f t="shared" si="8"/>
        <v/>
      </c>
      <c r="L189" s="6"/>
      <c r="M189" s="10" t="str">
        <f t="shared" si="9"/>
        <v/>
      </c>
      <c r="N189" s="7"/>
      <c r="O189" s="43"/>
      <c r="P189" s="11"/>
      <c r="Q189" s="7"/>
    </row>
    <row r="190" spans="1:17" ht="16" customHeight="1" x14ac:dyDescent="0.2">
      <c r="A190" s="7"/>
      <c r="B190" s="7"/>
      <c r="C190" s="7"/>
      <c r="D190" s="43"/>
      <c r="E190" s="7"/>
      <c r="F190" s="43"/>
      <c r="G190" s="8"/>
      <c r="H190" s="6"/>
      <c r="I190" s="4"/>
      <c r="J190" s="9" t="str">
        <f t="shared" si="7"/>
        <v/>
      </c>
      <c r="K190" s="10" t="str">
        <f t="shared" si="8"/>
        <v/>
      </c>
      <c r="L190" s="6"/>
      <c r="M190" s="10" t="str">
        <f t="shared" si="9"/>
        <v/>
      </c>
      <c r="N190" s="7"/>
      <c r="O190" s="43"/>
      <c r="P190" s="11"/>
      <c r="Q190" s="7"/>
    </row>
    <row r="191" spans="1:17" ht="16" customHeight="1" x14ac:dyDescent="0.2">
      <c r="A191" s="7"/>
      <c r="B191" s="7"/>
      <c r="C191" s="7"/>
      <c r="D191" s="43"/>
      <c r="E191" s="7"/>
      <c r="F191" s="43"/>
      <c r="G191" s="8"/>
      <c r="H191" s="6"/>
      <c r="I191" s="4"/>
      <c r="J191" s="9" t="str">
        <f t="shared" si="7"/>
        <v/>
      </c>
      <c r="K191" s="10" t="str">
        <f t="shared" si="8"/>
        <v/>
      </c>
      <c r="L191" s="6"/>
      <c r="M191" s="10" t="str">
        <f t="shared" si="9"/>
        <v/>
      </c>
      <c r="N191" s="7"/>
      <c r="O191" s="43"/>
      <c r="P191" s="11"/>
      <c r="Q191" s="7"/>
    </row>
    <row r="192" spans="1:17" ht="16" customHeight="1" x14ac:dyDescent="0.2">
      <c r="A192" s="7"/>
      <c r="B192" s="7"/>
      <c r="C192" s="7"/>
      <c r="D192" s="43"/>
      <c r="E192" s="7"/>
      <c r="F192" s="43"/>
      <c r="G192" s="8"/>
      <c r="H192" s="6"/>
      <c r="I192" s="4"/>
      <c r="J192" s="9" t="str">
        <f t="shared" si="7"/>
        <v/>
      </c>
      <c r="K192" s="10" t="str">
        <f t="shared" si="8"/>
        <v/>
      </c>
      <c r="L192" s="6"/>
      <c r="M192" s="10" t="str">
        <f t="shared" si="9"/>
        <v/>
      </c>
      <c r="N192" s="7"/>
      <c r="O192" s="43"/>
      <c r="P192" s="11"/>
      <c r="Q192" s="7"/>
    </row>
    <row r="193" spans="1:17" ht="16" customHeight="1" x14ac:dyDescent="0.2">
      <c r="A193" s="7"/>
      <c r="B193" s="7"/>
      <c r="C193" s="7"/>
      <c r="D193" s="43"/>
      <c r="E193" s="7"/>
      <c r="F193" s="43"/>
      <c r="G193" s="8"/>
      <c r="H193" s="6"/>
      <c r="I193" s="4"/>
      <c r="J193" s="9" t="str">
        <f t="shared" si="7"/>
        <v/>
      </c>
      <c r="K193" s="10" t="str">
        <f t="shared" si="8"/>
        <v/>
      </c>
      <c r="L193" s="6"/>
      <c r="M193" s="10" t="str">
        <f t="shared" si="9"/>
        <v/>
      </c>
      <c r="N193" s="7"/>
      <c r="O193" s="43"/>
      <c r="P193" s="11"/>
      <c r="Q193" s="7"/>
    </row>
    <row r="194" spans="1:17" ht="16" customHeight="1" x14ac:dyDescent="0.2">
      <c r="A194" s="7"/>
      <c r="B194" s="7"/>
      <c r="C194" s="7"/>
      <c r="D194" s="43"/>
      <c r="E194" s="7"/>
      <c r="F194" s="43"/>
      <c r="G194" s="8"/>
      <c r="H194" s="6"/>
      <c r="I194" s="4"/>
      <c r="J194" s="9" t="str">
        <f t="shared" si="7"/>
        <v/>
      </c>
      <c r="K194" s="10" t="str">
        <f t="shared" si="8"/>
        <v/>
      </c>
      <c r="L194" s="6"/>
      <c r="M194" s="10" t="str">
        <f t="shared" si="9"/>
        <v/>
      </c>
      <c r="N194" s="7"/>
      <c r="O194" s="43"/>
      <c r="P194" s="11"/>
      <c r="Q194" s="7"/>
    </row>
    <row r="195" spans="1:17" ht="16" customHeight="1" x14ac:dyDescent="0.2">
      <c r="A195" s="7"/>
      <c r="B195" s="7"/>
      <c r="C195" s="7"/>
      <c r="D195" s="43"/>
      <c r="E195" s="7"/>
      <c r="F195" s="43"/>
      <c r="G195" s="8"/>
      <c r="H195" s="6"/>
      <c r="I195" s="4"/>
      <c r="J195" s="9" t="str">
        <f t="shared" si="7"/>
        <v/>
      </c>
      <c r="K195" s="10" t="str">
        <f t="shared" si="8"/>
        <v/>
      </c>
      <c r="L195" s="6"/>
      <c r="M195" s="10" t="str">
        <f t="shared" si="9"/>
        <v/>
      </c>
      <c r="N195" s="7"/>
      <c r="O195" s="43"/>
      <c r="P195" s="11"/>
      <c r="Q195" s="7"/>
    </row>
    <row r="196" spans="1:17" ht="16" customHeight="1" x14ac:dyDescent="0.2">
      <c r="A196" s="7"/>
      <c r="B196" s="7"/>
      <c r="C196" s="7"/>
      <c r="D196" s="43"/>
      <c r="E196" s="7"/>
      <c r="F196" s="43"/>
      <c r="G196" s="8"/>
      <c r="H196" s="6"/>
      <c r="I196" s="4"/>
      <c r="J196" s="9" t="str">
        <f t="shared" si="7"/>
        <v/>
      </c>
      <c r="K196" s="10" t="str">
        <f t="shared" si="8"/>
        <v/>
      </c>
      <c r="L196" s="6"/>
      <c r="M196" s="10" t="str">
        <f t="shared" si="9"/>
        <v/>
      </c>
      <c r="N196" s="7"/>
      <c r="O196" s="43"/>
      <c r="P196" s="11"/>
      <c r="Q196" s="7"/>
    </row>
    <row r="197" spans="1:17" ht="16" customHeight="1" x14ac:dyDescent="0.2">
      <c r="A197" s="7"/>
      <c r="B197" s="7"/>
      <c r="C197" s="7"/>
      <c r="D197" s="43"/>
      <c r="E197" s="7"/>
      <c r="F197" s="43"/>
      <c r="G197" s="8"/>
      <c r="H197" s="6"/>
      <c r="I197" s="4"/>
      <c r="J197" s="9" t="str">
        <f t="shared" si="7"/>
        <v/>
      </c>
      <c r="K197" s="10" t="str">
        <f t="shared" si="8"/>
        <v/>
      </c>
      <c r="L197" s="6"/>
      <c r="M197" s="10" t="str">
        <f t="shared" si="9"/>
        <v/>
      </c>
      <c r="N197" s="7"/>
      <c r="O197" s="43"/>
      <c r="P197" s="11"/>
      <c r="Q197" s="7"/>
    </row>
    <row r="198" spans="1:17" ht="16" customHeight="1" x14ac:dyDescent="0.2">
      <c r="A198" s="7"/>
      <c r="B198" s="7"/>
      <c r="C198" s="7"/>
      <c r="D198" s="43"/>
      <c r="E198" s="7"/>
      <c r="F198" s="43"/>
      <c r="G198" s="8"/>
      <c r="H198" s="6"/>
      <c r="I198" s="4"/>
      <c r="J198" s="9" t="str">
        <f t="shared" si="7"/>
        <v/>
      </c>
      <c r="K198" s="10" t="str">
        <f t="shared" si="8"/>
        <v/>
      </c>
      <c r="L198" s="6"/>
      <c r="M198" s="10" t="str">
        <f t="shared" si="9"/>
        <v/>
      </c>
      <c r="N198" s="7"/>
      <c r="O198" s="43"/>
      <c r="P198" s="11"/>
      <c r="Q198" s="7"/>
    </row>
    <row r="199" spans="1:17" ht="16" customHeight="1" x14ac:dyDescent="0.2">
      <c r="A199" s="7"/>
      <c r="B199" s="7"/>
      <c r="C199" s="7"/>
      <c r="D199" s="43"/>
      <c r="E199" s="7"/>
      <c r="F199" s="43"/>
      <c r="G199" s="8"/>
      <c r="H199" s="6"/>
      <c r="I199" s="4"/>
      <c r="J199" s="9" t="str">
        <f t="shared" si="7"/>
        <v/>
      </c>
      <c r="K199" s="10" t="str">
        <f t="shared" si="8"/>
        <v/>
      </c>
      <c r="L199" s="6"/>
      <c r="M199" s="10" t="str">
        <f t="shared" si="9"/>
        <v/>
      </c>
      <c r="N199" s="7"/>
      <c r="O199" s="43"/>
      <c r="P199" s="11"/>
      <c r="Q199" s="7"/>
    </row>
    <row r="200" spans="1:17" ht="16" customHeight="1" x14ac:dyDescent="0.2">
      <c r="A200" s="7"/>
      <c r="B200" s="7"/>
      <c r="C200" s="7"/>
      <c r="D200" s="43"/>
      <c r="E200" s="7"/>
      <c r="F200" s="43"/>
      <c r="G200" s="8"/>
      <c r="H200" s="6"/>
      <c r="I200" s="4"/>
      <c r="J200" s="9" t="str">
        <f t="shared" si="7"/>
        <v/>
      </c>
      <c r="K200" s="10" t="str">
        <f t="shared" si="8"/>
        <v/>
      </c>
      <c r="L200" s="6"/>
      <c r="M200" s="10" t="str">
        <f t="shared" si="9"/>
        <v/>
      </c>
      <c r="N200" s="7"/>
      <c r="O200" s="43"/>
      <c r="P200" s="11"/>
      <c r="Q200" s="7"/>
    </row>
    <row r="201" spans="1:17" ht="16" customHeight="1" x14ac:dyDescent="0.2">
      <c r="A201" s="7"/>
      <c r="B201" s="7"/>
      <c r="C201" s="7"/>
      <c r="D201" s="43"/>
      <c r="E201" s="7"/>
      <c r="F201" s="43"/>
      <c r="G201" s="8"/>
      <c r="H201" s="6"/>
      <c r="I201" s="4"/>
      <c r="J201" s="9" t="str">
        <f t="shared" si="7"/>
        <v/>
      </c>
      <c r="K201" s="10" t="str">
        <f t="shared" si="8"/>
        <v/>
      </c>
      <c r="L201" s="6"/>
      <c r="M201" s="10" t="str">
        <f t="shared" si="9"/>
        <v/>
      </c>
      <c r="N201" s="7"/>
      <c r="O201" s="43"/>
      <c r="P201" s="11"/>
      <c r="Q201" s="7"/>
    </row>
    <row r="202" spans="1:17" ht="16" customHeight="1" x14ac:dyDescent="0.2">
      <c r="A202" s="7"/>
      <c r="B202" s="7"/>
      <c r="C202" s="7"/>
      <c r="D202" s="43"/>
      <c r="E202" s="7"/>
      <c r="F202" s="43"/>
      <c r="G202" s="8"/>
      <c r="H202" s="6"/>
      <c r="I202" s="4"/>
      <c r="J202" s="9" t="str">
        <f t="shared" ref="J202:J265" si="10">IFERROR(I202/H202,"")</f>
        <v/>
      </c>
      <c r="K202" s="10" t="str">
        <f t="shared" ref="K202:K265" si="11">IFERROR(J202*1000,"")</f>
        <v/>
      </c>
      <c r="L202" s="6"/>
      <c r="M202" s="10" t="str">
        <f t="shared" ref="M202:M265" si="12">IFERROR(L202*J202,"")</f>
        <v/>
      </c>
      <c r="N202" s="7"/>
      <c r="O202" s="43"/>
      <c r="P202" s="11"/>
      <c r="Q202" s="7"/>
    </row>
    <row r="203" spans="1:17" ht="16" customHeight="1" x14ac:dyDescent="0.2">
      <c r="A203" s="7"/>
      <c r="B203" s="7"/>
      <c r="C203" s="7"/>
      <c r="D203" s="43"/>
      <c r="E203" s="7"/>
      <c r="F203" s="43"/>
      <c r="G203" s="8"/>
      <c r="H203" s="6"/>
      <c r="I203" s="4"/>
      <c r="J203" s="9" t="str">
        <f t="shared" si="10"/>
        <v/>
      </c>
      <c r="K203" s="10" t="str">
        <f t="shared" si="11"/>
        <v/>
      </c>
      <c r="L203" s="6"/>
      <c r="M203" s="10" t="str">
        <f t="shared" si="12"/>
        <v/>
      </c>
      <c r="N203" s="7"/>
      <c r="O203" s="43"/>
      <c r="P203" s="11"/>
      <c r="Q203" s="7"/>
    </row>
    <row r="204" spans="1:17" ht="16" customHeight="1" x14ac:dyDescent="0.2">
      <c r="A204" s="7"/>
      <c r="B204" s="7"/>
      <c r="C204" s="7"/>
      <c r="D204" s="43"/>
      <c r="E204" s="7"/>
      <c r="F204" s="43"/>
      <c r="G204" s="8"/>
      <c r="H204" s="6"/>
      <c r="I204" s="4"/>
      <c r="J204" s="9" t="str">
        <f t="shared" si="10"/>
        <v/>
      </c>
      <c r="K204" s="10" t="str">
        <f t="shared" si="11"/>
        <v/>
      </c>
      <c r="L204" s="6"/>
      <c r="M204" s="10" t="str">
        <f t="shared" si="12"/>
        <v/>
      </c>
      <c r="N204" s="7"/>
      <c r="O204" s="43"/>
      <c r="P204" s="11"/>
      <c r="Q204" s="7"/>
    </row>
    <row r="205" spans="1:17" ht="16" customHeight="1" x14ac:dyDescent="0.2">
      <c r="A205" s="7"/>
      <c r="B205" s="7"/>
      <c r="C205" s="7"/>
      <c r="D205" s="43"/>
      <c r="E205" s="7"/>
      <c r="F205" s="43"/>
      <c r="G205" s="8"/>
      <c r="H205" s="6"/>
      <c r="I205" s="4"/>
      <c r="J205" s="9" t="str">
        <f t="shared" si="10"/>
        <v/>
      </c>
      <c r="K205" s="10" t="str">
        <f t="shared" si="11"/>
        <v/>
      </c>
      <c r="L205" s="6"/>
      <c r="M205" s="10" t="str">
        <f t="shared" si="12"/>
        <v/>
      </c>
      <c r="N205" s="7"/>
      <c r="O205" s="43"/>
      <c r="P205" s="11"/>
      <c r="Q205" s="7"/>
    </row>
    <row r="206" spans="1:17" ht="16" customHeight="1" x14ac:dyDescent="0.2">
      <c r="A206" s="7"/>
      <c r="B206" s="7"/>
      <c r="C206" s="7"/>
      <c r="D206" s="43"/>
      <c r="E206" s="7"/>
      <c r="F206" s="43"/>
      <c r="G206" s="8"/>
      <c r="H206" s="6"/>
      <c r="I206" s="4"/>
      <c r="J206" s="9" t="str">
        <f t="shared" si="10"/>
        <v/>
      </c>
      <c r="K206" s="10" t="str">
        <f t="shared" si="11"/>
        <v/>
      </c>
      <c r="L206" s="6"/>
      <c r="M206" s="10" t="str">
        <f t="shared" si="12"/>
        <v/>
      </c>
      <c r="N206" s="7"/>
      <c r="O206" s="43"/>
      <c r="P206" s="11"/>
      <c r="Q206" s="7"/>
    </row>
    <row r="207" spans="1:17" ht="16" customHeight="1" x14ac:dyDescent="0.2">
      <c r="A207" s="7"/>
      <c r="B207" s="7"/>
      <c r="C207" s="7"/>
      <c r="D207" s="43"/>
      <c r="E207" s="7"/>
      <c r="F207" s="43"/>
      <c r="G207" s="8"/>
      <c r="H207" s="6"/>
      <c r="I207" s="4"/>
      <c r="J207" s="9" t="str">
        <f t="shared" si="10"/>
        <v/>
      </c>
      <c r="K207" s="10" t="str">
        <f t="shared" si="11"/>
        <v/>
      </c>
      <c r="L207" s="6"/>
      <c r="M207" s="10" t="str">
        <f t="shared" si="12"/>
        <v/>
      </c>
      <c r="N207" s="7"/>
      <c r="O207" s="43"/>
      <c r="P207" s="11"/>
      <c r="Q207" s="7"/>
    </row>
    <row r="208" spans="1:17" ht="16" customHeight="1" x14ac:dyDescent="0.2">
      <c r="A208" s="7"/>
      <c r="B208" s="7"/>
      <c r="C208" s="7"/>
      <c r="D208" s="43"/>
      <c r="E208" s="7"/>
      <c r="F208" s="43"/>
      <c r="G208" s="8"/>
      <c r="H208" s="6"/>
      <c r="I208" s="4"/>
      <c r="J208" s="9" t="str">
        <f t="shared" si="10"/>
        <v/>
      </c>
      <c r="K208" s="10" t="str">
        <f t="shared" si="11"/>
        <v/>
      </c>
      <c r="L208" s="6"/>
      <c r="M208" s="10" t="str">
        <f t="shared" si="12"/>
        <v/>
      </c>
      <c r="N208" s="7"/>
      <c r="O208" s="43"/>
      <c r="P208" s="11"/>
      <c r="Q208" s="7"/>
    </row>
    <row r="209" spans="1:17" ht="16" customHeight="1" x14ac:dyDescent="0.2">
      <c r="A209" s="7"/>
      <c r="B209" s="7"/>
      <c r="C209" s="7"/>
      <c r="D209" s="43"/>
      <c r="E209" s="7"/>
      <c r="F209" s="43"/>
      <c r="G209" s="8"/>
      <c r="H209" s="6"/>
      <c r="I209" s="4"/>
      <c r="J209" s="9" t="str">
        <f t="shared" si="10"/>
        <v/>
      </c>
      <c r="K209" s="10" t="str">
        <f t="shared" si="11"/>
        <v/>
      </c>
      <c r="L209" s="6"/>
      <c r="M209" s="10" t="str">
        <f t="shared" si="12"/>
        <v/>
      </c>
      <c r="N209" s="7"/>
      <c r="O209" s="43"/>
      <c r="P209" s="11"/>
      <c r="Q209" s="7"/>
    </row>
    <row r="210" spans="1:17" x14ac:dyDescent="0.2">
      <c r="J210" t="str">
        <f t="shared" si="10"/>
        <v/>
      </c>
      <c r="K210" t="str">
        <f t="shared" si="11"/>
        <v/>
      </c>
      <c r="M210" t="str">
        <f t="shared" si="12"/>
        <v/>
      </c>
    </row>
    <row r="211" spans="1:17" x14ac:dyDescent="0.2">
      <c r="J211" t="str">
        <f t="shared" si="10"/>
        <v/>
      </c>
      <c r="K211" t="str">
        <f t="shared" si="11"/>
        <v/>
      </c>
      <c r="M211" t="str">
        <f t="shared" si="12"/>
        <v/>
      </c>
    </row>
    <row r="212" spans="1:17" x14ac:dyDescent="0.2">
      <c r="J212" t="str">
        <f t="shared" si="10"/>
        <v/>
      </c>
      <c r="K212" t="str">
        <f t="shared" si="11"/>
        <v/>
      </c>
      <c r="M212" t="str">
        <f t="shared" si="12"/>
        <v/>
      </c>
    </row>
    <row r="213" spans="1:17" x14ac:dyDescent="0.2">
      <c r="J213" t="str">
        <f t="shared" si="10"/>
        <v/>
      </c>
      <c r="K213" t="str">
        <f t="shared" si="11"/>
        <v/>
      </c>
      <c r="M213" t="str">
        <f t="shared" si="12"/>
        <v/>
      </c>
    </row>
    <row r="214" spans="1:17" x14ac:dyDescent="0.2">
      <c r="J214" t="str">
        <f t="shared" si="10"/>
        <v/>
      </c>
      <c r="K214" t="str">
        <f t="shared" si="11"/>
        <v/>
      </c>
      <c r="M214" t="str">
        <f t="shared" si="12"/>
        <v/>
      </c>
    </row>
    <row r="215" spans="1:17" x14ac:dyDescent="0.2">
      <c r="J215" t="str">
        <f t="shared" si="10"/>
        <v/>
      </c>
      <c r="K215" t="str">
        <f t="shared" si="11"/>
        <v/>
      </c>
      <c r="M215" t="str">
        <f t="shared" si="12"/>
        <v/>
      </c>
    </row>
    <row r="216" spans="1:17" x14ac:dyDescent="0.2">
      <c r="J216" t="str">
        <f t="shared" si="10"/>
        <v/>
      </c>
      <c r="K216" t="str">
        <f t="shared" si="11"/>
        <v/>
      </c>
      <c r="M216" t="str">
        <f t="shared" si="12"/>
        <v/>
      </c>
    </row>
    <row r="217" spans="1:17" x14ac:dyDescent="0.2">
      <c r="J217" t="str">
        <f t="shared" si="10"/>
        <v/>
      </c>
      <c r="K217" t="str">
        <f t="shared" si="11"/>
        <v/>
      </c>
      <c r="M217" t="str">
        <f t="shared" si="12"/>
        <v/>
      </c>
    </row>
    <row r="218" spans="1:17" x14ac:dyDescent="0.2">
      <c r="J218" t="str">
        <f t="shared" si="10"/>
        <v/>
      </c>
      <c r="K218" t="str">
        <f t="shared" si="11"/>
        <v/>
      </c>
      <c r="M218" t="str">
        <f t="shared" si="12"/>
        <v/>
      </c>
    </row>
    <row r="219" spans="1:17" x14ac:dyDescent="0.2">
      <c r="J219" t="str">
        <f t="shared" si="10"/>
        <v/>
      </c>
      <c r="K219" t="str">
        <f t="shared" si="11"/>
        <v/>
      </c>
      <c r="M219" t="str">
        <f t="shared" si="12"/>
        <v/>
      </c>
    </row>
    <row r="220" spans="1:17" x14ac:dyDescent="0.2">
      <c r="J220" t="str">
        <f t="shared" si="10"/>
        <v/>
      </c>
      <c r="K220" t="str">
        <f t="shared" si="11"/>
        <v/>
      </c>
      <c r="M220" t="str">
        <f t="shared" si="12"/>
        <v/>
      </c>
    </row>
    <row r="221" spans="1:17" x14ac:dyDescent="0.2">
      <c r="J221" t="str">
        <f t="shared" si="10"/>
        <v/>
      </c>
      <c r="K221" t="str">
        <f t="shared" si="11"/>
        <v/>
      </c>
      <c r="M221" t="str">
        <f t="shared" si="12"/>
        <v/>
      </c>
    </row>
    <row r="222" spans="1:17" x14ac:dyDescent="0.2">
      <c r="J222" t="str">
        <f t="shared" si="10"/>
        <v/>
      </c>
      <c r="K222" t="str">
        <f t="shared" si="11"/>
        <v/>
      </c>
      <c r="M222" t="str">
        <f t="shared" si="12"/>
        <v/>
      </c>
    </row>
    <row r="223" spans="1:17" x14ac:dyDescent="0.2">
      <c r="J223" t="str">
        <f t="shared" si="10"/>
        <v/>
      </c>
      <c r="K223" t="str">
        <f t="shared" si="11"/>
        <v/>
      </c>
      <c r="M223" t="str">
        <f t="shared" si="12"/>
        <v/>
      </c>
    </row>
    <row r="224" spans="1:17" x14ac:dyDescent="0.2">
      <c r="J224" t="str">
        <f t="shared" si="10"/>
        <v/>
      </c>
      <c r="K224" t="str">
        <f t="shared" si="11"/>
        <v/>
      </c>
      <c r="M224" t="str">
        <f t="shared" si="12"/>
        <v/>
      </c>
    </row>
    <row r="225" spans="10:13" x14ac:dyDescent="0.2">
      <c r="J225" t="str">
        <f t="shared" si="10"/>
        <v/>
      </c>
      <c r="K225" t="str">
        <f t="shared" si="11"/>
        <v/>
      </c>
      <c r="M225" t="str">
        <f t="shared" si="12"/>
        <v/>
      </c>
    </row>
    <row r="226" spans="10:13" x14ac:dyDescent="0.2">
      <c r="J226" t="str">
        <f t="shared" si="10"/>
        <v/>
      </c>
      <c r="K226" t="str">
        <f t="shared" si="11"/>
        <v/>
      </c>
      <c r="M226" t="str">
        <f t="shared" si="12"/>
        <v/>
      </c>
    </row>
    <row r="227" spans="10:13" x14ac:dyDescent="0.2">
      <c r="J227" t="str">
        <f t="shared" si="10"/>
        <v/>
      </c>
      <c r="K227" t="str">
        <f t="shared" si="11"/>
        <v/>
      </c>
      <c r="M227" t="str">
        <f t="shared" si="12"/>
        <v/>
      </c>
    </row>
    <row r="228" spans="10:13" x14ac:dyDescent="0.2">
      <c r="J228" t="str">
        <f t="shared" si="10"/>
        <v/>
      </c>
      <c r="K228" t="str">
        <f t="shared" si="11"/>
        <v/>
      </c>
      <c r="M228" t="str">
        <f t="shared" si="12"/>
        <v/>
      </c>
    </row>
    <row r="229" spans="10:13" x14ac:dyDescent="0.2">
      <c r="J229" t="str">
        <f t="shared" si="10"/>
        <v/>
      </c>
      <c r="K229" t="str">
        <f t="shared" si="11"/>
        <v/>
      </c>
      <c r="M229" t="str">
        <f t="shared" si="12"/>
        <v/>
      </c>
    </row>
    <row r="230" spans="10:13" x14ac:dyDescent="0.2">
      <c r="J230" t="str">
        <f t="shared" si="10"/>
        <v/>
      </c>
      <c r="K230" t="str">
        <f t="shared" si="11"/>
        <v/>
      </c>
      <c r="M230" t="str">
        <f t="shared" si="12"/>
        <v/>
      </c>
    </row>
    <row r="231" spans="10:13" x14ac:dyDescent="0.2">
      <c r="J231" t="str">
        <f t="shared" si="10"/>
        <v/>
      </c>
      <c r="K231" t="str">
        <f t="shared" si="11"/>
        <v/>
      </c>
      <c r="M231" t="str">
        <f t="shared" si="12"/>
        <v/>
      </c>
    </row>
    <row r="232" spans="10:13" x14ac:dyDescent="0.2">
      <c r="J232" t="str">
        <f t="shared" si="10"/>
        <v/>
      </c>
      <c r="K232" t="str">
        <f t="shared" si="11"/>
        <v/>
      </c>
      <c r="M232" t="str">
        <f t="shared" si="12"/>
        <v/>
      </c>
    </row>
    <row r="233" spans="10:13" x14ac:dyDescent="0.2">
      <c r="J233" t="str">
        <f t="shared" si="10"/>
        <v/>
      </c>
      <c r="K233" t="str">
        <f t="shared" si="11"/>
        <v/>
      </c>
      <c r="M233" t="str">
        <f t="shared" si="12"/>
        <v/>
      </c>
    </row>
    <row r="234" spans="10:13" x14ac:dyDescent="0.2">
      <c r="J234" t="str">
        <f t="shared" si="10"/>
        <v/>
      </c>
      <c r="K234" t="str">
        <f t="shared" si="11"/>
        <v/>
      </c>
      <c r="M234" t="str">
        <f t="shared" si="12"/>
        <v/>
      </c>
    </row>
    <row r="235" spans="10:13" x14ac:dyDescent="0.2">
      <c r="J235" t="str">
        <f t="shared" si="10"/>
        <v/>
      </c>
      <c r="K235" t="str">
        <f t="shared" si="11"/>
        <v/>
      </c>
      <c r="M235" t="str">
        <f t="shared" si="12"/>
        <v/>
      </c>
    </row>
    <row r="236" spans="10:13" x14ac:dyDescent="0.2">
      <c r="J236" t="str">
        <f t="shared" si="10"/>
        <v/>
      </c>
      <c r="K236" t="str">
        <f t="shared" si="11"/>
        <v/>
      </c>
      <c r="M236" t="str">
        <f t="shared" si="12"/>
        <v/>
      </c>
    </row>
    <row r="237" spans="10:13" x14ac:dyDescent="0.2">
      <c r="J237" t="str">
        <f t="shared" si="10"/>
        <v/>
      </c>
      <c r="K237" t="str">
        <f t="shared" si="11"/>
        <v/>
      </c>
      <c r="M237" t="str">
        <f t="shared" si="12"/>
        <v/>
      </c>
    </row>
    <row r="238" spans="10:13" x14ac:dyDescent="0.2">
      <c r="J238" t="str">
        <f t="shared" si="10"/>
        <v/>
      </c>
      <c r="K238" t="str">
        <f t="shared" si="11"/>
        <v/>
      </c>
      <c r="M238" t="str">
        <f t="shared" si="12"/>
        <v/>
      </c>
    </row>
    <row r="239" spans="10:13" x14ac:dyDescent="0.2">
      <c r="J239" t="str">
        <f t="shared" si="10"/>
        <v/>
      </c>
      <c r="K239" t="str">
        <f t="shared" si="11"/>
        <v/>
      </c>
      <c r="M239" t="str">
        <f t="shared" si="12"/>
        <v/>
      </c>
    </row>
    <row r="240" spans="10:13" x14ac:dyDescent="0.2">
      <c r="J240" t="str">
        <f t="shared" si="10"/>
        <v/>
      </c>
      <c r="K240" t="str">
        <f t="shared" si="11"/>
        <v/>
      </c>
      <c r="M240" t="str">
        <f t="shared" si="12"/>
        <v/>
      </c>
    </row>
    <row r="241" spans="10:13" x14ac:dyDescent="0.2">
      <c r="J241" t="str">
        <f t="shared" si="10"/>
        <v/>
      </c>
      <c r="K241" t="str">
        <f t="shared" si="11"/>
        <v/>
      </c>
      <c r="M241" t="str">
        <f t="shared" si="12"/>
        <v/>
      </c>
    </row>
    <row r="242" spans="10:13" x14ac:dyDescent="0.2">
      <c r="J242" t="str">
        <f t="shared" si="10"/>
        <v/>
      </c>
      <c r="K242" t="str">
        <f t="shared" si="11"/>
        <v/>
      </c>
      <c r="M242" t="str">
        <f t="shared" si="12"/>
        <v/>
      </c>
    </row>
    <row r="243" spans="10:13" x14ac:dyDescent="0.2">
      <c r="J243" t="str">
        <f t="shared" si="10"/>
        <v/>
      </c>
      <c r="K243" t="str">
        <f t="shared" si="11"/>
        <v/>
      </c>
      <c r="M243" t="str">
        <f t="shared" si="12"/>
        <v/>
      </c>
    </row>
    <row r="244" spans="10:13" x14ac:dyDescent="0.2">
      <c r="J244" t="str">
        <f t="shared" si="10"/>
        <v/>
      </c>
      <c r="K244" t="str">
        <f t="shared" si="11"/>
        <v/>
      </c>
      <c r="M244" t="str">
        <f t="shared" si="12"/>
        <v/>
      </c>
    </row>
    <row r="245" spans="10:13" x14ac:dyDescent="0.2">
      <c r="J245" t="str">
        <f t="shared" si="10"/>
        <v/>
      </c>
      <c r="K245" t="str">
        <f t="shared" si="11"/>
        <v/>
      </c>
      <c r="M245" t="str">
        <f t="shared" si="12"/>
        <v/>
      </c>
    </row>
    <row r="246" spans="10:13" x14ac:dyDescent="0.2">
      <c r="J246" t="str">
        <f t="shared" si="10"/>
        <v/>
      </c>
      <c r="K246" t="str">
        <f t="shared" si="11"/>
        <v/>
      </c>
      <c r="M246" t="str">
        <f t="shared" si="12"/>
        <v/>
      </c>
    </row>
    <row r="247" spans="10:13" x14ac:dyDescent="0.2">
      <c r="J247" t="str">
        <f t="shared" si="10"/>
        <v/>
      </c>
      <c r="K247" t="str">
        <f t="shared" si="11"/>
        <v/>
      </c>
      <c r="M247" t="str">
        <f t="shared" si="12"/>
        <v/>
      </c>
    </row>
    <row r="248" spans="10:13" x14ac:dyDescent="0.2">
      <c r="J248" t="str">
        <f t="shared" si="10"/>
        <v/>
      </c>
      <c r="K248" t="str">
        <f t="shared" si="11"/>
        <v/>
      </c>
      <c r="M248" t="str">
        <f t="shared" si="12"/>
        <v/>
      </c>
    </row>
    <row r="249" spans="10:13" x14ac:dyDescent="0.2">
      <c r="J249" t="str">
        <f t="shared" si="10"/>
        <v/>
      </c>
      <c r="K249" t="str">
        <f t="shared" si="11"/>
        <v/>
      </c>
      <c r="M249" t="str">
        <f t="shared" si="12"/>
        <v/>
      </c>
    </row>
    <row r="250" spans="10:13" x14ac:dyDescent="0.2">
      <c r="J250" t="str">
        <f t="shared" si="10"/>
        <v/>
      </c>
      <c r="K250" t="str">
        <f t="shared" si="11"/>
        <v/>
      </c>
      <c r="M250" t="str">
        <f t="shared" si="12"/>
        <v/>
      </c>
    </row>
    <row r="251" spans="10:13" x14ac:dyDescent="0.2">
      <c r="J251" t="str">
        <f t="shared" si="10"/>
        <v/>
      </c>
      <c r="K251" t="str">
        <f t="shared" si="11"/>
        <v/>
      </c>
      <c r="M251" t="str">
        <f t="shared" si="12"/>
        <v/>
      </c>
    </row>
    <row r="252" spans="10:13" x14ac:dyDescent="0.2">
      <c r="J252" t="str">
        <f t="shared" si="10"/>
        <v/>
      </c>
      <c r="K252" t="str">
        <f t="shared" si="11"/>
        <v/>
      </c>
      <c r="M252" t="str">
        <f t="shared" si="12"/>
        <v/>
      </c>
    </row>
    <row r="253" spans="10:13" x14ac:dyDescent="0.2">
      <c r="J253" t="str">
        <f t="shared" si="10"/>
        <v/>
      </c>
      <c r="K253" t="str">
        <f t="shared" si="11"/>
        <v/>
      </c>
      <c r="M253" t="str">
        <f t="shared" si="12"/>
        <v/>
      </c>
    </row>
    <row r="254" spans="10:13" x14ac:dyDescent="0.2">
      <c r="J254" t="str">
        <f t="shared" si="10"/>
        <v/>
      </c>
      <c r="K254" t="str">
        <f t="shared" si="11"/>
        <v/>
      </c>
      <c r="M254" t="str">
        <f t="shared" si="12"/>
        <v/>
      </c>
    </row>
    <row r="255" spans="10:13" x14ac:dyDescent="0.2">
      <c r="J255" t="str">
        <f t="shared" si="10"/>
        <v/>
      </c>
      <c r="K255" t="str">
        <f t="shared" si="11"/>
        <v/>
      </c>
      <c r="M255" t="str">
        <f t="shared" si="12"/>
        <v/>
      </c>
    </row>
    <row r="256" spans="10:13" x14ac:dyDescent="0.2">
      <c r="J256" t="str">
        <f t="shared" si="10"/>
        <v/>
      </c>
      <c r="K256" t="str">
        <f t="shared" si="11"/>
        <v/>
      </c>
      <c r="M256" t="str">
        <f t="shared" si="12"/>
        <v/>
      </c>
    </row>
    <row r="257" spans="10:13" x14ac:dyDescent="0.2">
      <c r="J257" t="str">
        <f t="shared" si="10"/>
        <v/>
      </c>
      <c r="K257" t="str">
        <f t="shared" si="11"/>
        <v/>
      </c>
      <c r="M257" t="str">
        <f t="shared" si="12"/>
        <v/>
      </c>
    </row>
    <row r="258" spans="10:13" x14ac:dyDescent="0.2">
      <c r="J258" t="str">
        <f t="shared" si="10"/>
        <v/>
      </c>
      <c r="K258" t="str">
        <f t="shared" si="11"/>
        <v/>
      </c>
      <c r="M258" t="str">
        <f t="shared" si="12"/>
        <v/>
      </c>
    </row>
    <row r="259" spans="10:13" x14ac:dyDescent="0.2">
      <c r="J259" t="str">
        <f t="shared" si="10"/>
        <v/>
      </c>
      <c r="K259" t="str">
        <f t="shared" si="11"/>
        <v/>
      </c>
      <c r="M259" t="str">
        <f t="shared" si="12"/>
        <v/>
      </c>
    </row>
    <row r="260" spans="10:13" x14ac:dyDescent="0.2">
      <c r="J260" t="str">
        <f t="shared" si="10"/>
        <v/>
      </c>
      <c r="K260" t="str">
        <f t="shared" si="11"/>
        <v/>
      </c>
      <c r="M260" t="str">
        <f t="shared" si="12"/>
        <v/>
      </c>
    </row>
    <row r="261" spans="10:13" x14ac:dyDescent="0.2">
      <c r="J261" t="str">
        <f t="shared" si="10"/>
        <v/>
      </c>
      <c r="K261" t="str">
        <f t="shared" si="11"/>
        <v/>
      </c>
      <c r="M261" t="str">
        <f t="shared" si="12"/>
        <v/>
      </c>
    </row>
    <row r="262" spans="10:13" x14ac:dyDescent="0.2">
      <c r="J262" t="str">
        <f t="shared" si="10"/>
        <v/>
      </c>
      <c r="K262" t="str">
        <f t="shared" si="11"/>
        <v/>
      </c>
      <c r="M262" t="str">
        <f t="shared" si="12"/>
        <v/>
      </c>
    </row>
    <row r="263" spans="10:13" x14ac:dyDescent="0.2">
      <c r="J263" t="str">
        <f t="shared" si="10"/>
        <v/>
      </c>
      <c r="K263" t="str">
        <f t="shared" si="11"/>
        <v/>
      </c>
      <c r="M263" t="str">
        <f t="shared" si="12"/>
        <v/>
      </c>
    </row>
    <row r="264" spans="10:13" x14ac:dyDescent="0.2">
      <c r="J264" t="str">
        <f t="shared" si="10"/>
        <v/>
      </c>
      <c r="K264" t="str">
        <f t="shared" si="11"/>
        <v/>
      </c>
      <c r="M264" t="str">
        <f t="shared" si="12"/>
        <v/>
      </c>
    </row>
    <row r="265" spans="10:13" x14ac:dyDescent="0.2">
      <c r="J265" t="str">
        <f t="shared" si="10"/>
        <v/>
      </c>
      <c r="K265" t="str">
        <f t="shared" si="11"/>
        <v/>
      </c>
      <c r="M265" t="str">
        <f t="shared" si="12"/>
        <v/>
      </c>
    </row>
    <row r="266" spans="10:13" x14ac:dyDescent="0.2">
      <c r="J266" t="str">
        <f t="shared" ref="J266:J329" si="13">IFERROR(I266/H266,"")</f>
        <v/>
      </c>
      <c r="K266" t="str">
        <f t="shared" ref="K266:K329" si="14">IFERROR(J266*1000,"")</f>
        <v/>
      </c>
      <c r="M266" t="str">
        <f t="shared" ref="M266:M329" si="15">IFERROR(L266*J266,"")</f>
        <v/>
      </c>
    </row>
    <row r="267" spans="10:13" x14ac:dyDescent="0.2">
      <c r="J267" t="str">
        <f t="shared" si="13"/>
        <v/>
      </c>
      <c r="K267" t="str">
        <f t="shared" si="14"/>
        <v/>
      </c>
      <c r="M267" t="str">
        <f t="shared" si="15"/>
        <v/>
      </c>
    </row>
    <row r="268" spans="10:13" x14ac:dyDescent="0.2">
      <c r="J268" t="str">
        <f t="shared" si="13"/>
        <v/>
      </c>
      <c r="K268" t="str">
        <f t="shared" si="14"/>
        <v/>
      </c>
      <c r="M268" t="str">
        <f t="shared" si="15"/>
        <v/>
      </c>
    </row>
    <row r="269" spans="10:13" x14ac:dyDescent="0.2">
      <c r="J269" t="str">
        <f t="shared" si="13"/>
        <v/>
      </c>
      <c r="K269" t="str">
        <f t="shared" si="14"/>
        <v/>
      </c>
      <c r="M269" t="str">
        <f t="shared" si="15"/>
        <v/>
      </c>
    </row>
    <row r="270" spans="10:13" x14ac:dyDescent="0.2">
      <c r="J270" t="str">
        <f t="shared" si="13"/>
        <v/>
      </c>
      <c r="K270" t="str">
        <f t="shared" si="14"/>
        <v/>
      </c>
      <c r="M270" t="str">
        <f t="shared" si="15"/>
        <v/>
      </c>
    </row>
    <row r="271" spans="10:13" x14ac:dyDescent="0.2">
      <c r="J271" t="str">
        <f t="shared" si="13"/>
        <v/>
      </c>
      <c r="K271" t="str">
        <f t="shared" si="14"/>
        <v/>
      </c>
      <c r="M271" t="str">
        <f t="shared" si="15"/>
        <v/>
      </c>
    </row>
    <row r="272" spans="10:13" x14ac:dyDescent="0.2">
      <c r="J272" t="str">
        <f t="shared" si="13"/>
        <v/>
      </c>
      <c r="K272" t="str">
        <f t="shared" si="14"/>
        <v/>
      </c>
      <c r="M272" t="str">
        <f t="shared" si="15"/>
        <v/>
      </c>
    </row>
    <row r="273" spans="10:13" x14ac:dyDescent="0.2">
      <c r="J273" t="str">
        <f t="shared" si="13"/>
        <v/>
      </c>
      <c r="K273" t="str">
        <f t="shared" si="14"/>
        <v/>
      </c>
      <c r="M273" t="str">
        <f t="shared" si="15"/>
        <v/>
      </c>
    </row>
    <row r="274" spans="10:13" x14ac:dyDescent="0.2">
      <c r="J274" t="str">
        <f t="shared" si="13"/>
        <v/>
      </c>
      <c r="K274" t="str">
        <f t="shared" si="14"/>
        <v/>
      </c>
      <c r="M274" t="str">
        <f t="shared" si="15"/>
        <v/>
      </c>
    </row>
    <row r="275" spans="10:13" x14ac:dyDescent="0.2">
      <c r="J275" t="str">
        <f t="shared" si="13"/>
        <v/>
      </c>
      <c r="K275" t="str">
        <f t="shared" si="14"/>
        <v/>
      </c>
      <c r="M275" t="str">
        <f t="shared" si="15"/>
        <v/>
      </c>
    </row>
    <row r="276" spans="10:13" x14ac:dyDescent="0.2">
      <c r="J276" t="str">
        <f t="shared" si="13"/>
        <v/>
      </c>
      <c r="K276" t="str">
        <f t="shared" si="14"/>
        <v/>
      </c>
      <c r="M276" t="str">
        <f t="shared" si="15"/>
        <v/>
      </c>
    </row>
    <row r="277" spans="10:13" x14ac:dyDescent="0.2">
      <c r="J277" t="str">
        <f t="shared" si="13"/>
        <v/>
      </c>
      <c r="K277" t="str">
        <f t="shared" si="14"/>
        <v/>
      </c>
      <c r="M277" t="str">
        <f t="shared" si="15"/>
        <v/>
      </c>
    </row>
    <row r="278" spans="10:13" x14ac:dyDescent="0.2">
      <c r="J278" t="str">
        <f t="shared" si="13"/>
        <v/>
      </c>
      <c r="K278" t="str">
        <f t="shared" si="14"/>
        <v/>
      </c>
      <c r="M278" t="str">
        <f t="shared" si="15"/>
        <v/>
      </c>
    </row>
    <row r="279" spans="10:13" x14ac:dyDescent="0.2">
      <c r="J279" t="str">
        <f t="shared" si="13"/>
        <v/>
      </c>
      <c r="K279" t="str">
        <f t="shared" si="14"/>
        <v/>
      </c>
      <c r="M279" t="str">
        <f t="shared" si="15"/>
        <v/>
      </c>
    </row>
    <row r="280" spans="10:13" x14ac:dyDescent="0.2">
      <c r="J280" t="str">
        <f t="shared" si="13"/>
        <v/>
      </c>
      <c r="K280" t="str">
        <f t="shared" si="14"/>
        <v/>
      </c>
      <c r="M280" t="str">
        <f t="shared" si="15"/>
        <v/>
      </c>
    </row>
    <row r="281" spans="10:13" x14ac:dyDescent="0.2">
      <c r="J281" t="str">
        <f t="shared" si="13"/>
        <v/>
      </c>
      <c r="K281" t="str">
        <f t="shared" si="14"/>
        <v/>
      </c>
      <c r="M281" t="str">
        <f t="shared" si="15"/>
        <v/>
      </c>
    </row>
    <row r="282" spans="10:13" x14ac:dyDescent="0.2">
      <c r="J282" t="str">
        <f t="shared" si="13"/>
        <v/>
      </c>
      <c r="K282" t="str">
        <f t="shared" si="14"/>
        <v/>
      </c>
      <c r="M282" t="str">
        <f t="shared" si="15"/>
        <v/>
      </c>
    </row>
    <row r="283" spans="10:13" x14ac:dyDescent="0.2">
      <c r="J283" t="str">
        <f t="shared" si="13"/>
        <v/>
      </c>
      <c r="K283" t="str">
        <f t="shared" si="14"/>
        <v/>
      </c>
      <c r="M283" t="str">
        <f t="shared" si="15"/>
        <v/>
      </c>
    </row>
    <row r="284" spans="10:13" x14ac:dyDescent="0.2">
      <c r="J284" t="str">
        <f t="shared" si="13"/>
        <v/>
      </c>
      <c r="K284" t="str">
        <f t="shared" si="14"/>
        <v/>
      </c>
      <c r="M284" t="str">
        <f t="shared" si="15"/>
        <v/>
      </c>
    </row>
    <row r="285" spans="10:13" x14ac:dyDescent="0.2">
      <c r="J285" t="str">
        <f t="shared" si="13"/>
        <v/>
      </c>
      <c r="K285" t="str">
        <f t="shared" si="14"/>
        <v/>
      </c>
      <c r="M285" t="str">
        <f t="shared" si="15"/>
        <v/>
      </c>
    </row>
    <row r="286" spans="10:13" x14ac:dyDescent="0.2">
      <c r="J286" t="str">
        <f t="shared" si="13"/>
        <v/>
      </c>
      <c r="K286" t="str">
        <f t="shared" si="14"/>
        <v/>
      </c>
      <c r="M286" t="str">
        <f t="shared" si="15"/>
        <v/>
      </c>
    </row>
    <row r="287" spans="10:13" x14ac:dyDescent="0.2">
      <c r="J287" t="str">
        <f t="shared" si="13"/>
        <v/>
      </c>
      <c r="K287" t="str">
        <f t="shared" si="14"/>
        <v/>
      </c>
      <c r="M287" t="str">
        <f t="shared" si="15"/>
        <v/>
      </c>
    </row>
    <row r="288" spans="10:13" x14ac:dyDescent="0.2">
      <c r="J288" t="str">
        <f t="shared" si="13"/>
        <v/>
      </c>
      <c r="K288" t="str">
        <f t="shared" si="14"/>
        <v/>
      </c>
      <c r="M288" t="str">
        <f t="shared" si="15"/>
        <v/>
      </c>
    </row>
    <row r="289" spans="10:13" x14ac:dyDescent="0.2">
      <c r="J289" t="str">
        <f t="shared" si="13"/>
        <v/>
      </c>
      <c r="K289" t="str">
        <f t="shared" si="14"/>
        <v/>
      </c>
      <c r="M289" t="str">
        <f t="shared" si="15"/>
        <v/>
      </c>
    </row>
    <row r="290" spans="10:13" x14ac:dyDescent="0.2">
      <c r="J290" t="str">
        <f t="shared" si="13"/>
        <v/>
      </c>
      <c r="K290" t="str">
        <f t="shared" si="14"/>
        <v/>
      </c>
      <c r="M290" t="str">
        <f t="shared" si="15"/>
        <v/>
      </c>
    </row>
    <row r="291" spans="10:13" x14ac:dyDescent="0.2">
      <c r="J291" t="str">
        <f t="shared" si="13"/>
        <v/>
      </c>
      <c r="K291" t="str">
        <f t="shared" si="14"/>
        <v/>
      </c>
      <c r="M291" t="str">
        <f t="shared" si="15"/>
        <v/>
      </c>
    </row>
    <row r="292" spans="10:13" x14ac:dyDescent="0.2">
      <c r="J292" t="str">
        <f t="shared" si="13"/>
        <v/>
      </c>
      <c r="K292" t="str">
        <f t="shared" si="14"/>
        <v/>
      </c>
      <c r="M292" t="str">
        <f t="shared" si="15"/>
        <v/>
      </c>
    </row>
    <row r="293" spans="10:13" x14ac:dyDescent="0.2">
      <c r="J293" t="str">
        <f t="shared" si="13"/>
        <v/>
      </c>
      <c r="K293" t="str">
        <f t="shared" si="14"/>
        <v/>
      </c>
      <c r="M293" t="str">
        <f t="shared" si="15"/>
        <v/>
      </c>
    </row>
    <row r="294" spans="10:13" x14ac:dyDescent="0.2">
      <c r="J294" t="str">
        <f t="shared" si="13"/>
        <v/>
      </c>
      <c r="K294" t="str">
        <f t="shared" si="14"/>
        <v/>
      </c>
      <c r="M294" t="str">
        <f t="shared" si="15"/>
        <v/>
      </c>
    </row>
    <row r="295" spans="10:13" x14ac:dyDescent="0.2">
      <c r="J295" t="str">
        <f t="shared" si="13"/>
        <v/>
      </c>
      <c r="K295" t="str">
        <f t="shared" si="14"/>
        <v/>
      </c>
      <c r="M295" t="str">
        <f t="shared" si="15"/>
        <v/>
      </c>
    </row>
    <row r="296" spans="10:13" x14ac:dyDescent="0.2">
      <c r="J296" t="str">
        <f t="shared" si="13"/>
        <v/>
      </c>
      <c r="K296" t="str">
        <f t="shared" si="14"/>
        <v/>
      </c>
      <c r="M296" t="str">
        <f t="shared" si="15"/>
        <v/>
      </c>
    </row>
    <row r="297" spans="10:13" x14ac:dyDescent="0.2">
      <c r="J297" t="str">
        <f t="shared" si="13"/>
        <v/>
      </c>
      <c r="K297" t="str">
        <f t="shared" si="14"/>
        <v/>
      </c>
      <c r="M297" t="str">
        <f t="shared" si="15"/>
        <v/>
      </c>
    </row>
    <row r="298" spans="10:13" x14ac:dyDescent="0.2">
      <c r="J298" t="str">
        <f t="shared" si="13"/>
        <v/>
      </c>
      <c r="K298" t="str">
        <f t="shared" si="14"/>
        <v/>
      </c>
      <c r="M298" t="str">
        <f t="shared" si="15"/>
        <v/>
      </c>
    </row>
    <row r="299" spans="10:13" x14ac:dyDescent="0.2">
      <c r="J299" t="str">
        <f t="shared" si="13"/>
        <v/>
      </c>
      <c r="K299" t="str">
        <f t="shared" si="14"/>
        <v/>
      </c>
      <c r="M299" t="str">
        <f t="shared" si="15"/>
        <v/>
      </c>
    </row>
    <row r="300" spans="10:13" x14ac:dyDescent="0.2">
      <c r="J300" t="str">
        <f t="shared" si="13"/>
        <v/>
      </c>
      <c r="K300" t="str">
        <f t="shared" si="14"/>
        <v/>
      </c>
      <c r="M300" t="str">
        <f t="shared" si="15"/>
        <v/>
      </c>
    </row>
    <row r="301" spans="10:13" x14ac:dyDescent="0.2">
      <c r="J301" t="str">
        <f t="shared" si="13"/>
        <v/>
      </c>
      <c r="K301" t="str">
        <f t="shared" si="14"/>
        <v/>
      </c>
      <c r="M301" t="str">
        <f t="shared" si="15"/>
        <v/>
      </c>
    </row>
    <row r="302" spans="10:13" x14ac:dyDescent="0.2">
      <c r="J302" t="str">
        <f t="shared" si="13"/>
        <v/>
      </c>
      <c r="K302" t="str">
        <f t="shared" si="14"/>
        <v/>
      </c>
      <c r="M302" t="str">
        <f t="shared" si="15"/>
        <v/>
      </c>
    </row>
    <row r="303" spans="10:13" x14ac:dyDescent="0.2">
      <c r="J303" t="str">
        <f t="shared" si="13"/>
        <v/>
      </c>
      <c r="K303" t="str">
        <f t="shared" si="14"/>
        <v/>
      </c>
      <c r="M303" t="str">
        <f t="shared" si="15"/>
        <v/>
      </c>
    </row>
    <row r="304" spans="10:13" x14ac:dyDescent="0.2">
      <c r="J304" t="str">
        <f t="shared" si="13"/>
        <v/>
      </c>
      <c r="K304" t="str">
        <f t="shared" si="14"/>
        <v/>
      </c>
      <c r="M304" t="str">
        <f t="shared" si="15"/>
        <v/>
      </c>
    </row>
    <row r="305" spans="10:13" x14ac:dyDescent="0.2">
      <c r="J305" t="str">
        <f t="shared" si="13"/>
        <v/>
      </c>
      <c r="K305" t="str">
        <f t="shared" si="14"/>
        <v/>
      </c>
      <c r="M305" t="str">
        <f t="shared" si="15"/>
        <v/>
      </c>
    </row>
    <row r="306" spans="10:13" x14ac:dyDescent="0.2">
      <c r="J306" t="str">
        <f t="shared" si="13"/>
        <v/>
      </c>
      <c r="K306" t="str">
        <f t="shared" si="14"/>
        <v/>
      </c>
      <c r="M306" t="str">
        <f t="shared" si="15"/>
        <v/>
      </c>
    </row>
    <row r="307" spans="10:13" x14ac:dyDescent="0.2">
      <c r="J307" t="str">
        <f t="shared" si="13"/>
        <v/>
      </c>
      <c r="K307" t="str">
        <f t="shared" si="14"/>
        <v/>
      </c>
      <c r="M307" t="str">
        <f t="shared" si="15"/>
        <v/>
      </c>
    </row>
    <row r="308" spans="10:13" x14ac:dyDescent="0.2">
      <c r="J308" t="str">
        <f t="shared" si="13"/>
        <v/>
      </c>
      <c r="K308" t="str">
        <f t="shared" si="14"/>
        <v/>
      </c>
      <c r="M308" t="str">
        <f t="shared" si="15"/>
        <v/>
      </c>
    </row>
    <row r="309" spans="10:13" x14ac:dyDescent="0.2">
      <c r="J309" t="str">
        <f t="shared" si="13"/>
        <v/>
      </c>
      <c r="K309" t="str">
        <f t="shared" si="14"/>
        <v/>
      </c>
      <c r="M309" t="str">
        <f t="shared" si="15"/>
        <v/>
      </c>
    </row>
    <row r="310" spans="10:13" x14ac:dyDescent="0.2">
      <c r="J310" t="str">
        <f t="shared" si="13"/>
        <v/>
      </c>
      <c r="K310" t="str">
        <f t="shared" si="14"/>
        <v/>
      </c>
      <c r="M310" t="str">
        <f t="shared" si="15"/>
        <v/>
      </c>
    </row>
    <row r="311" spans="10:13" x14ac:dyDescent="0.2">
      <c r="J311" t="str">
        <f t="shared" si="13"/>
        <v/>
      </c>
      <c r="K311" t="str">
        <f t="shared" si="14"/>
        <v/>
      </c>
      <c r="M311" t="str">
        <f t="shared" si="15"/>
        <v/>
      </c>
    </row>
    <row r="312" spans="10:13" x14ac:dyDescent="0.2">
      <c r="J312" t="str">
        <f t="shared" si="13"/>
        <v/>
      </c>
      <c r="K312" t="str">
        <f t="shared" si="14"/>
        <v/>
      </c>
      <c r="M312" t="str">
        <f t="shared" si="15"/>
        <v/>
      </c>
    </row>
    <row r="313" spans="10:13" x14ac:dyDescent="0.2">
      <c r="J313" t="str">
        <f t="shared" si="13"/>
        <v/>
      </c>
      <c r="K313" t="str">
        <f t="shared" si="14"/>
        <v/>
      </c>
      <c r="M313" t="str">
        <f t="shared" si="15"/>
        <v/>
      </c>
    </row>
    <row r="314" spans="10:13" x14ac:dyDescent="0.2">
      <c r="J314" t="str">
        <f t="shared" si="13"/>
        <v/>
      </c>
      <c r="K314" t="str">
        <f t="shared" si="14"/>
        <v/>
      </c>
      <c r="M314" t="str">
        <f t="shared" si="15"/>
        <v/>
      </c>
    </row>
    <row r="315" spans="10:13" x14ac:dyDescent="0.2">
      <c r="J315" t="str">
        <f t="shared" si="13"/>
        <v/>
      </c>
      <c r="K315" t="str">
        <f t="shared" si="14"/>
        <v/>
      </c>
      <c r="M315" t="str">
        <f t="shared" si="15"/>
        <v/>
      </c>
    </row>
    <row r="316" spans="10:13" x14ac:dyDescent="0.2">
      <c r="J316" t="str">
        <f t="shared" si="13"/>
        <v/>
      </c>
      <c r="K316" t="str">
        <f t="shared" si="14"/>
        <v/>
      </c>
      <c r="M316" t="str">
        <f t="shared" si="15"/>
        <v/>
      </c>
    </row>
    <row r="317" spans="10:13" x14ac:dyDescent="0.2">
      <c r="J317" t="str">
        <f t="shared" si="13"/>
        <v/>
      </c>
      <c r="K317" t="str">
        <f t="shared" si="14"/>
        <v/>
      </c>
      <c r="M317" t="str">
        <f t="shared" si="15"/>
        <v/>
      </c>
    </row>
    <row r="318" spans="10:13" x14ac:dyDescent="0.2">
      <c r="J318" t="str">
        <f t="shared" si="13"/>
        <v/>
      </c>
      <c r="K318" t="str">
        <f t="shared" si="14"/>
        <v/>
      </c>
      <c r="M318" t="str">
        <f t="shared" si="15"/>
        <v/>
      </c>
    </row>
    <row r="319" spans="10:13" x14ac:dyDescent="0.2">
      <c r="J319" t="str">
        <f t="shared" si="13"/>
        <v/>
      </c>
      <c r="K319" t="str">
        <f t="shared" si="14"/>
        <v/>
      </c>
      <c r="M319" t="str">
        <f t="shared" si="15"/>
        <v/>
      </c>
    </row>
    <row r="320" spans="10:13" x14ac:dyDescent="0.2">
      <c r="J320" t="str">
        <f t="shared" si="13"/>
        <v/>
      </c>
      <c r="K320" t="str">
        <f t="shared" si="14"/>
        <v/>
      </c>
      <c r="M320" t="str">
        <f t="shared" si="15"/>
        <v/>
      </c>
    </row>
    <row r="321" spans="10:13" x14ac:dyDescent="0.2">
      <c r="J321" t="str">
        <f t="shared" si="13"/>
        <v/>
      </c>
      <c r="K321" t="str">
        <f t="shared" si="14"/>
        <v/>
      </c>
      <c r="M321" t="str">
        <f t="shared" si="15"/>
        <v/>
      </c>
    </row>
    <row r="322" spans="10:13" x14ac:dyDescent="0.2">
      <c r="J322" t="str">
        <f t="shared" si="13"/>
        <v/>
      </c>
      <c r="K322" t="str">
        <f t="shared" si="14"/>
        <v/>
      </c>
      <c r="M322" t="str">
        <f t="shared" si="15"/>
        <v/>
      </c>
    </row>
    <row r="323" spans="10:13" x14ac:dyDescent="0.2">
      <c r="J323" t="str">
        <f t="shared" si="13"/>
        <v/>
      </c>
      <c r="K323" t="str">
        <f t="shared" si="14"/>
        <v/>
      </c>
      <c r="M323" t="str">
        <f t="shared" si="15"/>
        <v/>
      </c>
    </row>
    <row r="324" spans="10:13" x14ac:dyDescent="0.2">
      <c r="J324" t="str">
        <f t="shared" si="13"/>
        <v/>
      </c>
      <c r="K324" t="str">
        <f t="shared" si="14"/>
        <v/>
      </c>
      <c r="M324" t="str">
        <f t="shared" si="15"/>
        <v/>
      </c>
    </row>
    <row r="325" spans="10:13" x14ac:dyDescent="0.2">
      <c r="J325" t="str">
        <f t="shared" si="13"/>
        <v/>
      </c>
      <c r="K325" t="str">
        <f t="shared" si="14"/>
        <v/>
      </c>
      <c r="M325" t="str">
        <f t="shared" si="15"/>
        <v/>
      </c>
    </row>
    <row r="326" spans="10:13" x14ac:dyDescent="0.2">
      <c r="J326" t="str">
        <f t="shared" si="13"/>
        <v/>
      </c>
      <c r="K326" t="str">
        <f t="shared" si="14"/>
        <v/>
      </c>
      <c r="M326" t="str">
        <f t="shared" si="15"/>
        <v/>
      </c>
    </row>
    <row r="327" spans="10:13" x14ac:dyDescent="0.2">
      <c r="J327" t="str">
        <f t="shared" si="13"/>
        <v/>
      </c>
      <c r="K327" t="str">
        <f t="shared" si="14"/>
        <v/>
      </c>
      <c r="M327" t="str">
        <f t="shared" si="15"/>
        <v/>
      </c>
    </row>
    <row r="328" spans="10:13" x14ac:dyDescent="0.2">
      <c r="J328" t="str">
        <f t="shared" si="13"/>
        <v/>
      </c>
      <c r="K328" t="str">
        <f t="shared" si="14"/>
        <v/>
      </c>
      <c r="M328" t="str">
        <f t="shared" si="15"/>
        <v/>
      </c>
    </row>
    <row r="329" spans="10:13" x14ac:dyDescent="0.2">
      <c r="J329" t="str">
        <f t="shared" si="13"/>
        <v/>
      </c>
      <c r="K329" t="str">
        <f t="shared" si="14"/>
        <v/>
      </c>
      <c r="M329" t="str">
        <f t="shared" si="15"/>
        <v/>
      </c>
    </row>
    <row r="330" spans="10:13" x14ac:dyDescent="0.2">
      <c r="J330" t="str">
        <f t="shared" ref="J330:J393" si="16">IFERROR(I330/H330,"")</f>
        <v/>
      </c>
      <c r="K330" t="str">
        <f t="shared" ref="K330:K393" si="17">IFERROR(J330*1000,"")</f>
        <v/>
      </c>
      <c r="M330" t="str">
        <f t="shared" ref="M330:M393" si="18">IFERROR(L330*J330,"")</f>
        <v/>
      </c>
    </row>
    <row r="331" spans="10:13" x14ac:dyDescent="0.2">
      <c r="J331" t="str">
        <f t="shared" si="16"/>
        <v/>
      </c>
      <c r="K331" t="str">
        <f t="shared" si="17"/>
        <v/>
      </c>
      <c r="M331" t="str">
        <f t="shared" si="18"/>
        <v/>
      </c>
    </row>
    <row r="332" spans="10:13" x14ac:dyDescent="0.2">
      <c r="J332" t="str">
        <f t="shared" si="16"/>
        <v/>
      </c>
      <c r="K332" t="str">
        <f t="shared" si="17"/>
        <v/>
      </c>
      <c r="M332" t="str">
        <f t="shared" si="18"/>
        <v/>
      </c>
    </row>
    <row r="333" spans="10:13" x14ac:dyDescent="0.2">
      <c r="J333" t="str">
        <f t="shared" si="16"/>
        <v/>
      </c>
      <c r="K333" t="str">
        <f t="shared" si="17"/>
        <v/>
      </c>
      <c r="M333" t="str">
        <f t="shared" si="18"/>
        <v/>
      </c>
    </row>
    <row r="334" spans="10:13" x14ac:dyDescent="0.2">
      <c r="J334" t="str">
        <f t="shared" si="16"/>
        <v/>
      </c>
      <c r="K334" t="str">
        <f t="shared" si="17"/>
        <v/>
      </c>
      <c r="M334" t="str">
        <f t="shared" si="18"/>
        <v/>
      </c>
    </row>
    <row r="335" spans="10:13" x14ac:dyDescent="0.2">
      <c r="J335" t="str">
        <f t="shared" si="16"/>
        <v/>
      </c>
      <c r="K335" t="str">
        <f t="shared" si="17"/>
        <v/>
      </c>
      <c r="M335" t="str">
        <f t="shared" si="18"/>
        <v/>
      </c>
    </row>
    <row r="336" spans="10:13" x14ac:dyDescent="0.2">
      <c r="J336" t="str">
        <f t="shared" si="16"/>
        <v/>
      </c>
      <c r="K336" t="str">
        <f t="shared" si="17"/>
        <v/>
      </c>
      <c r="M336" t="str">
        <f t="shared" si="18"/>
        <v/>
      </c>
    </row>
    <row r="337" spans="10:13" x14ac:dyDescent="0.2">
      <c r="J337" t="str">
        <f t="shared" si="16"/>
        <v/>
      </c>
      <c r="K337" t="str">
        <f t="shared" si="17"/>
        <v/>
      </c>
      <c r="M337" t="str">
        <f t="shared" si="18"/>
        <v/>
      </c>
    </row>
    <row r="338" spans="10:13" x14ac:dyDescent="0.2">
      <c r="J338" t="str">
        <f t="shared" si="16"/>
        <v/>
      </c>
      <c r="K338" t="str">
        <f t="shared" si="17"/>
        <v/>
      </c>
      <c r="M338" t="str">
        <f t="shared" si="18"/>
        <v/>
      </c>
    </row>
    <row r="339" spans="10:13" x14ac:dyDescent="0.2">
      <c r="J339" t="str">
        <f t="shared" si="16"/>
        <v/>
      </c>
      <c r="K339" t="str">
        <f t="shared" si="17"/>
        <v/>
      </c>
      <c r="M339" t="str">
        <f t="shared" si="18"/>
        <v/>
      </c>
    </row>
    <row r="340" spans="10:13" x14ac:dyDescent="0.2">
      <c r="J340" t="str">
        <f t="shared" si="16"/>
        <v/>
      </c>
      <c r="K340" t="str">
        <f t="shared" si="17"/>
        <v/>
      </c>
      <c r="M340" t="str">
        <f t="shared" si="18"/>
        <v/>
      </c>
    </row>
    <row r="341" spans="10:13" x14ac:dyDescent="0.2">
      <c r="J341" t="str">
        <f t="shared" si="16"/>
        <v/>
      </c>
      <c r="K341" t="str">
        <f t="shared" si="17"/>
        <v/>
      </c>
      <c r="M341" t="str">
        <f t="shared" si="18"/>
        <v/>
      </c>
    </row>
    <row r="342" spans="10:13" x14ac:dyDescent="0.2">
      <c r="J342" t="str">
        <f t="shared" si="16"/>
        <v/>
      </c>
      <c r="K342" t="str">
        <f t="shared" si="17"/>
        <v/>
      </c>
      <c r="M342" t="str">
        <f t="shared" si="18"/>
        <v/>
      </c>
    </row>
    <row r="343" spans="10:13" x14ac:dyDescent="0.2">
      <c r="J343" t="str">
        <f t="shared" si="16"/>
        <v/>
      </c>
      <c r="K343" t="str">
        <f t="shared" si="17"/>
        <v/>
      </c>
      <c r="M343" t="str">
        <f t="shared" si="18"/>
        <v/>
      </c>
    </row>
    <row r="344" spans="10:13" x14ac:dyDescent="0.2">
      <c r="J344" t="str">
        <f t="shared" si="16"/>
        <v/>
      </c>
      <c r="K344" t="str">
        <f t="shared" si="17"/>
        <v/>
      </c>
      <c r="M344" t="str">
        <f t="shared" si="18"/>
        <v/>
      </c>
    </row>
    <row r="345" spans="10:13" x14ac:dyDescent="0.2">
      <c r="J345" t="str">
        <f t="shared" si="16"/>
        <v/>
      </c>
      <c r="K345" t="str">
        <f t="shared" si="17"/>
        <v/>
      </c>
      <c r="M345" t="str">
        <f t="shared" si="18"/>
        <v/>
      </c>
    </row>
    <row r="346" spans="10:13" x14ac:dyDescent="0.2">
      <c r="J346" t="str">
        <f t="shared" si="16"/>
        <v/>
      </c>
      <c r="K346" t="str">
        <f t="shared" si="17"/>
        <v/>
      </c>
      <c r="M346" t="str">
        <f t="shared" si="18"/>
        <v/>
      </c>
    </row>
    <row r="347" spans="10:13" x14ac:dyDescent="0.2">
      <c r="J347" t="str">
        <f t="shared" si="16"/>
        <v/>
      </c>
      <c r="K347" t="str">
        <f t="shared" si="17"/>
        <v/>
      </c>
      <c r="M347" t="str">
        <f t="shared" si="18"/>
        <v/>
      </c>
    </row>
    <row r="348" spans="10:13" x14ac:dyDescent="0.2">
      <c r="J348" t="str">
        <f t="shared" si="16"/>
        <v/>
      </c>
      <c r="K348" t="str">
        <f t="shared" si="17"/>
        <v/>
      </c>
      <c r="M348" t="str">
        <f t="shared" si="18"/>
        <v/>
      </c>
    </row>
    <row r="349" spans="10:13" x14ac:dyDescent="0.2">
      <c r="J349" t="str">
        <f t="shared" si="16"/>
        <v/>
      </c>
      <c r="K349" t="str">
        <f t="shared" si="17"/>
        <v/>
      </c>
      <c r="M349" t="str">
        <f t="shared" si="18"/>
        <v/>
      </c>
    </row>
    <row r="350" spans="10:13" x14ac:dyDescent="0.2">
      <c r="J350" t="str">
        <f t="shared" si="16"/>
        <v/>
      </c>
      <c r="K350" t="str">
        <f t="shared" si="17"/>
        <v/>
      </c>
      <c r="M350" t="str">
        <f t="shared" si="18"/>
        <v/>
      </c>
    </row>
    <row r="351" spans="10:13" x14ac:dyDescent="0.2">
      <c r="J351" t="str">
        <f t="shared" si="16"/>
        <v/>
      </c>
      <c r="K351" t="str">
        <f t="shared" si="17"/>
        <v/>
      </c>
      <c r="M351" t="str">
        <f t="shared" si="18"/>
        <v/>
      </c>
    </row>
    <row r="352" spans="10:13" x14ac:dyDescent="0.2">
      <c r="J352" t="str">
        <f t="shared" si="16"/>
        <v/>
      </c>
      <c r="K352" t="str">
        <f t="shared" si="17"/>
        <v/>
      </c>
      <c r="M352" t="str">
        <f t="shared" si="18"/>
        <v/>
      </c>
    </row>
    <row r="353" spans="10:13" x14ac:dyDescent="0.2">
      <c r="J353" t="str">
        <f t="shared" si="16"/>
        <v/>
      </c>
      <c r="K353" t="str">
        <f t="shared" si="17"/>
        <v/>
      </c>
      <c r="M353" t="str">
        <f t="shared" si="18"/>
        <v/>
      </c>
    </row>
    <row r="354" spans="10:13" x14ac:dyDescent="0.2">
      <c r="J354" t="str">
        <f t="shared" si="16"/>
        <v/>
      </c>
      <c r="K354" t="str">
        <f t="shared" si="17"/>
        <v/>
      </c>
      <c r="M354" t="str">
        <f t="shared" si="18"/>
        <v/>
      </c>
    </row>
    <row r="355" spans="10:13" x14ac:dyDescent="0.2">
      <c r="J355" t="str">
        <f t="shared" si="16"/>
        <v/>
      </c>
      <c r="K355" t="str">
        <f t="shared" si="17"/>
        <v/>
      </c>
      <c r="M355" t="str">
        <f t="shared" si="18"/>
        <v/>
      </c>
    </row>
    <row r="356" spans="10:13" x14ac:dyDescent="0.2">
      <c r="J356" t="str">
        <f t="shared" si="16"/>
        <v/>
      </c>
      <c r="K356" t="str">
        <f t="shared" si="17"/>
        <v/>
      </c>
      <c r="M356" t="str">
        <f t="shared" si="18"/>
        <v/>
      </c>
    </row>
    <row r="357" spans="10:13" x14ac:dyDescent="0.2">
      <c r="J357" t="str">
        <f t="shared" si="16"/>
        <v/>
      </c>
      <c r="K357" t="str">
        <f t="shared" si="17"/>
        <v/>
      </c>
      <c r="M357" t="str">
        <f t="shared" si="18"/>
        <v/>
      </c>
    </row>
    <row r="358" spans="10:13" x14ac:dyDescent="0.2">
      <c r="J358" t="str">
        <f t="shared" si="16"/>
        <v/>
      </c>
      <c r="K358" t="str">
        <f t="shared" si="17"/>
        <v/>
      </c>
      <c r="M358" t="str">
        <f t="shared" si="18"/>
        <v/>
      </c>
    </row>
    <row r="359" spans="10:13" x14ac:dyDescent="0.2">
      <c r="J359" t="str">
        <f t="shared" si="16"/>
        <v/>
      </c>
      <c r="K359" t="str">
        <f t="shared" si="17"/>
        <v/>
      </c>
      <c r="M359" t="str">
        <f t="shared" si="18"/>
        <v/>
      </c>
    </row>
    <row r="360" spans="10:13" x14ac:dyDescent="0.2">
      <c r="J360" t="str">
        <f t="shared" si="16"/>
        <v/>
      </c>
      <c r="K360" t="str">
        <f t="shared" si="17"/>
        <v/>
      </c>
      <c r="M360" t="str">
        <f t="shared" si="18"/>
        <v/>
      </c>
    </row>
    <row r="361" spans="10:13" x14ac:dyDescent="0.2">
      <c r="J361" t="str">
        <f t="shared" si="16"/>
        <v/>
      </c>
      <c r="K361" t="str">
        <f t="shared" si="17"/>
        <v/>
      </c>
      <c r="M361" t="str">
        <f t="shared" si="18"/>
        <v/>
      </c>
    </row>
    <row r="362" spans="10:13" x14ac:dyDescent="0.2">
      <c r="J362" t="str">
        <f t="shared" si="16"/>
        <v/>
      </c>
      <c r="K362" t="str">
        <f t="shared" si="17"/>
        <v/>
      </c>
      <c r="M362" t="str">
        <f t="shared" si="18"/>
        <v/>
      </c>
    </row>
    <row r="363" spans="10:13" x14ac:dyDescent="0.2">
      <c r="J363" t="str">
        <f t="shared" si="16"/>
        <v/>
      </c>
      <c r="K363" t="str">
        <f t="shared" si="17"/>
        <v/>
      </c>
      <c r="M363" t="str">
        <f t="shared" si="18"/>
        <v/>
      </c>
    </row>
    <row r="364" spans="10:13" x14ac:dyDescent="0.2">
      <c r="J364" t="str">
        <f t="shared" si="16"/>
        <v/>
      </c>
      <c r="K364" t="str">
        <f t="shared" si="17"/>
        <v/>
      </c>
      <c r="M364" t="str">
        <f t="shared" si="18"/>
        <v/>
      </c>
    </row>
    <row r="365" spans="10:13" x14ac:dyDescent="0.2">
      <c r="J365" t="str">
        <f t="shared" si="16"/>
        <v/>
      </c>
      <c r="K365" t="str">
        <f t="shared" si="17"/>
        <v/>
      </c>
      <c r="M365" t="str">
        <f t="shared" si="18"/>
        <v/>
      </c>
    </row>
    <row r="366" spans="10:13" x14ac:dyDescent="0.2">
      <c r="J366" t="str">
        <f t="shared" si="16"/>
        <v/>
      </c>
      <c r="K366" t="str">
        <f t="shared" si="17"/>
        <v/>
      </c>
      <c r="M366" t="str">
        <f t="shared" si="18"/>
        <v/>
      </c>
    </row>
    <row r="367" spans="10:13" x14ac:dyDescent="0.2">
      <c r="J367" t="str">
        <f t="shared" si="16"/>
        <v/>
      </c>
      <c r="K367" t="str">
        <f t="shared" si="17"/>
        <v/>
      </c>
      <c r="M367" t="str">
        <f t="shared" si="18"/>
        <v/>
      </c>
    </row>
    <row r="368" spans="10:13" x14ac:dyDescent="0.2">
      <c r="J368" t="str">
        <f t="shared" si="16"/>
        <v/>
      </c>
      <c r="K368" t="str">
        <f t="shared" si="17"/>
        <v/>
      </c>
      <c r="M368" t="str">
        <f t="shared" si="18"/>
        <v/>
      </c>
    </row>
    <row r="369" spans="10:13" x14ac:dyDescent="0.2">
      <c r="J369" t="str">
        <f t="shared" si="16"/>
        <v/>
      </c>
      <c r="K369" t="str">
        <f t="shared" si="17"/>
        <v/>
      </c>
      <c r="M369" t="str">
        <f t="shared" si="18"/>
        <v/>
      </c>
    </row>
    <row r="370" spans="10:13" x14ac:dyDescent="0.2">
      <c r="J370" t="str">
        <f t="shared" si="16"/>
        <v/>
      </c>
      <c r="K370" t="str">
        <f t="shared" si="17"/>
        <v/>
      </c>
      <c r="M370" t="str">
        <f t="shared" si="18"/>
        <v/>
      </c>
    </row>
    <row r="371" spans="10:13" x14ac:dyDescent="0.2">
      <c r="J371" t="str">
        <f t="shared" si="16"/>
        <v/>
      </c>
      <c r="K371" t="str">
        <f t="shared" si="17"/>
        <v/>
      </c>
      <c r="M371" t="str">
        <f t="shared" si="18"/>
        <v/>
      </c>
    </row>
    <row r="372" spans="10:13" x14ac:dyDescent="0.2">
      <c r="J372" t="str">
        <f t="shared" si="16"/>
        <v/>
      </c>
      <c r="K372" t="str">
        <f t="shared" si="17"/>
        <v/>
      </c>
      <c r="M372" t="str">
        <f t="shared" si="18"/>
        <v/>
      </c>
    </row>
    <row r="373" spans="10:13" x14ac:dyDescent="0.2">
      <c r="J373" t="str">
        <f t="shared" si="16"/>
        <v/>
      </c>
      <c r="K373" t="str">
        <f t="shared" si="17"/>
        <v/>
      </c>
      <c r="M373" t="str">
        <f t="shared" si="18"/>
        <v/>
      </c>
    </row>
    <row r="374" spans="10:13" x14ac:dyDescent="0.2">
      <c r="J374" t="str">
        <f t="shared" si="16"/>
        <v/>
      </c>
      <c r="K374" t="str">
        <f t="shared" si="17"/>
        <v/>
      </c>
      <c r="M374" t="str">
        <f t="shared" si="18"/>
        <v/>
      </c>
    </row>
    <row r="375" spans="10:13" x14ac:dyDescent="0.2">
      <c r="J375" t="str">
        <f t="shared" si="16"/>
        <v/>
      </c>
      <c r="K375" t="str">
        <f t="shared" si="17"/>
        <v/>
      </c>
      <c r="M375" t="str">
        <f t="shared" si="18"/>
        <v/>
      </c>
    </row>
    <row r="376" spans="10:13" x14ac:dyDescent="0.2">
      <c r="J376" t="str">
        <f t="shared" si="16"/>
        <v/>
      </c>
      <c r="K376" t="str">
        <f t="shared" si="17"/>
        <v/>
      </c>
      <c r="M376" t="str">
        <f t="shared" si="18"/>
        <v/>
      </c>
    </row>
    <row r="377" spans="10:13" x14ac:dyDescent="0.2">
      <c r="J377" t="str">
        <f t="shared" si="16"/>
        <v/>
      </c>
      <c r="K377" t="str">
        <f t="shared" si="17"/>
        <v/>
      </c>
      <c r="M377" t="str">
        <f t="shared" si="18"/>
        <v/>
      </c>
    </row>
    <row r="378" spans="10:13" x14ac:dyDescent="0.2">
      <c r="J378" t="str">
        <f t="shared" si="16"/>
        <v/>
      </c>
      <c r="K378" t="str">
        <f t="shared" si="17"/>
        <v/>
      </c>
      <c r="M378" t="str">
        <f t="shared" si="18"/>
        <v/>
      </c>
    </row>
    <row r="379" spans="10:13" x14ac:dyDescent="0.2">
      <c r="J379" t="str">
        <f t="shared" si="16"/>
        <v/>
      </c>
      <c r="K379" t="str">
        <f t="shared" si="17"/>
        <v/>
      </c>
      <c r="M379" t="str">
        <f t="shared" si="18"/>
        <v/>
      </c>
    </row>
    <row r="380" spans="10:13" x14ac:dyDescent="0.2">
      <c r="J380" t="str">
        <f t="shared" si="16"/>
        <v/>
      </c>
      <c r="K380" t="str">
        <f t="shared" si="17"/>
        <v/>
      </c>
      <c r="M380" t="str">
        <f t="shared" si="18"/>
        <v/>
      </c>
    </row>
    <row r="381" spans="10:13" x14ac:dyDescent="0.2">
      <c r="J381" t="str">
        <f t="shared" si="16"/>
        <v/>
      </c>
      <c r="K381" t="str">
        <f t="shared" si="17"/>
        <v/>
      </c>
      <c r="M381" t="str">
        <f t="shared" si="18"/>
        <v/>
      </c>
    </row>
    <row r="382" spans="10:13" x14ac:dyDescent="0.2">
      <c r="J382" t="str">
        <f t="shared" si="16"/>
        <v/>
      </c>
      <c r="K382" t="str">
        <f t="shared" si="17"/>
        <v/>
      </c>
      <c r="M382" t="str">
        <f t="shared" si="18"/>
        <v/>
      </c>
    </row>
    <row r="383" spans="10:13" x14ac:dyDescent="0.2">
      <c r="J383" t="str">
        <f t="shared" si="16"/>
        <v/>
      </c>
      <c r="K383" t="str">
        <f t="shared" si="17"/>
        <v/>
      </c>
      <c r="M383" t="str">
        <f t="shared" si="18"/>
        <v/>
      </c>
    </row>
    <row r="384" spans="10:13" x14ac:dyDescent="0.2">
      <c r="J384" t="str">
        <f t="shared" si="16"/>
        <v/>
      </c>
      <c r="K384" t="str">
        <f t="shared" si="17"/>
        <v/>
      </c>
      <c r="M384" t="str">
        <f t="shared" si="18"/>
        <v/>
      </c>
    </row>
    <row r="385" spans="10:13" x14ac:dyDescent="0.2">
      <c r="J385" t="str">
        <f t="shared" si="16"/>
        <v/>
      </c>
      <c r="K385" t="str">
        <f t="shared" si="17"/>
        <v/>
      </c>
      <c r="M385" t="str">
        <f t="shared" si="18"/>
        <v/>
      </c>
    </row>
    <row r="386" spans="10:13" x14ac:dyDescent="0.2">
      <c r="J386" t="str">
        <f t="shared" si="16"/>
        <v/>
      </c>
      <c r="K386" t="str">
        <f t="shared" si="17"/>
        <v/>
      </c>
      <c r="M386" t="str">
        <f t="shared" si="18"/>
        <v/>
      </c>
    </row>
    <row r="387" spans="10:13" x14ac:dyDescent="0.2">
      <c r="J387" t="str">
        <f t="shared" si="16"/>
        <v/>
      </c>
      <c r="K387" t="str">
        <f t="shared" si="17"/>
        <v/>
      </c>
      <c r="M387" t="str">
        <f t="shared" si="18"/>
        <v/>
      </c>
    </row>
    <row r="388" spans="10:13" x14ac:dyDescent="0.2">
      <c r="J388" t="str">
        <f t="shared" si="16"/>
        <v/>
      </c>
      <c r="K388" t="str">
        <f t="shared" si="17"/>
        <v/>
      </c>
      <c r="M388" t="str">
        <f t="shared" si="18"/>
        <v/>
      </c>
    </row>
    <row r="389" spans="10:13" x14ac:dyDescent="0.2">
      <c r="J389" t="str">
        <f t="shared" si="16"/>
        <v/>
      </c>
      <c r="K389" t="str">
        <f t="shared" si="17"/>
        <v/>
      </c>
      <c r="M389" t="str">
        <f t="shared" si="18"/>
        <v/>
      </c>
    </row>
    <row r="390" spans="10:13" x14ac:dyDescent="0.2">
      <c r="J390" t="str">
        <f t="shared" si="16"/>
        <v/>
      </c>
      <c r="K390" t="str">
        <f t="shared" si="17"/>
        <v/>
      </c>
      <c r="M390" t="str">
        <f t="shared" si="18"/>
        <v/>
      </c>
    </row>
    <row r="391" spans="10:13" x14ac:dyDescent="0.2">
      <c r="J391" t="str">
        <f t="shared" si="16"/>
        <v/>
      </c>
      <c r="K391" t="str">
        <f t="shared" si="17"/>
        <v/>
      </c>
      <c r="M391" t="str">
        <f t="shared" si="18"/>
        <v/>
      </c>
    </row>
    <row r="392" spans="10:13" x14ac:dyDescent="0.2">
      <c r="J392" t="str">
        <f t="shared" si="16"/>
        <v/>
      </c>
      <c r="K392" t="str">
        <f t="shared" si="17"/>
        <v/>
      </c>
      <c r="M392" t="str">
        <f t="shared" si="18"/>
        <v/>
      </c>
    </row>
    <row r="393" spans="10:13" x14ac:dyDescent="0.2">
      <c r="J393" t="str">
        <f t="shared" si="16"/>
        <v/>
      </c>
      <c r="K393" t="str">
        <f t="shared" si="17"/>
        <v/>
      </c>
      <c r="M393" t="str">
        <f t="shared" si="18"/>
        <v/>
      </c>
    </row>
    <row r="394" spans="10:13" x14ac:dyDescent="0.2">
      <c r="J394" t="str">
        <f t="shared" ref="J394:J457" si="19">IFERROR(I394/H394,"")</f>
        <v/>
      </c>
      <c r="K394" t="str">
        <f t="shared" ref="K394:K457" si="20">IFERROR(J394*1000,"")</f>
        <v/>
      </c>
      <c r="M394" t="str">
        <f t="shared" ref="M394:M457" si="21">IFERROR(L394*J394,"")</f>
        <v/>
      </c>
    </row>
    <row r="395" spans="10:13" x14ac:dyDescent="0.2">
      <c r="J395" t="str">
        <f t="shared" si="19"/>
        <v/>
      </c>
      <c r="K395" t="str">
        <f t="shared" si="20"/>
        <v/>
      </c>
      <c r="M395" t="str">
        <f t="shared" si="21"/>
        <v/>
      </c>
    </row>
    <row r="396" spans="10:13" x14ac:dyDescent="0.2">
      <c r="J396" t="str">
        <f t="shared" si="19"/>
        <v/>
      </c>
      <c r="K396" t="str">
        <f t="shared" si="20"/>
        <v/>
      </c>
      <c r="M396" t="str">
        <f t="shared" si="21"/>
        <v/>
      </c>
    </row>
    <row r="397" spans="10:13" x14ac:dyDescent="0.2">
      <c r="J397" t="str">
        <f t="shared" si="19"/>
        <v/>
      </c>
      <c r="K397" t="str">
        <f t="shared" si="20"/>
        <v/>
      </c>
      <c r="M397" t="str">
        <f t="shared" si="21"/>
        <v/>
      </c>
    </row>
    <row r="398" spans="10:13" x14ac:dyDescent="0.2">
      <c r="J398" t="str">
        <f t="shared" si="19"/>
        <v/>
      </c>
      <c r="K398" t="str">
        <f t="shared" si="20"/>
        <v/>
      </c>
      <c r="M398" t="str">
        <f t="shared" si="21"/>
        <v/>
      </c>
    </row>
    <row r="399" spans="10:13" x14ac:dyDescent="0.2">
      <c r="J399" t="str">
        <f t="shared" si="19"/>
        <v/>
      </c>
      <c r="K399" t="str">
        <f t="shared" si="20"/>
        <v/>
      </c>
      <c r="M399" t="str">
        <f t="shared" si="21"/>
        <v/>
      </c>
    </row>
    <row r="400" spans="10:13" x14ac:dyDescent="0.2">
      <c r="J400" t="str">
        <f t="shared" si="19"/>
        <v/>
      </c>
      <c r="K400" t="str">
        <f t="shared" si="20"/>
        <v/>
      </c>
      <c r="M400" t="str">
        <f t="shared" si="21"/>
        <v/>
      </c>
    </row>
    <row r="401" spans="10:13" x14ac:dyDescent="0.2">
      <c r="J401" t="str">
        <f t="shared" si="19"/>
        <v/>
      </c>
      <c r="K401" t="str">
        <f t="shared" si="20"/>
        <v/>
      </c>
      <c r="M401" t="str">
        <f t="shared" si="21"/>
        <v/>
      </c>
    </row>
    <row r="402" spans="10:13" x14ac:dyDescent="0.2">
      <c r="J402" t="str">
        <f t="shared" si="19"/>
        <v/>
      </c>
      <c r="K402" t="str">
        <f t="shared" si="20"/>
        <v/>
      </c>
      <c r="M402" t="str">
        <f t="shared" si="21"/>
        <v/>
      </c>
    </row>
    <row r="403" spans="10:13" x14ac:dyDescent="0.2">
      <c r="J403" t="str">
        <f t="shared" si="19"/>
        <v/>
      </c>
      <c r="K403" t="str">
        <f t="shared" si="20"/>
        <v/>
      </c>
      <c r="M403" t="str">
        <f t="shared" si="21"/>
        <v/>
      </c>
    </row>
    <row r="404" spans="10:13" x14ac:dyDescent="0.2">
      <c r="J404" t="str">
        <f t="shared" si="19"/>
        <v/>
      </c>
      <c r="K404" t="str">
        <f t="shared" si="20"/>
        <v/>
      </c>
      <c r="M404" t="str">
        <f t="shared" si="21"/>
        <v/>
      </c>
    </row>
    <row r="405" spans="10:13" x14ac:dyDescent="0.2">
      <c r="J405" t="str">
        <f t="shared" si="19"/>
        <v/>
      </c>
      <c r="K405" t="str">
        <f t="shared" si="20"/>
        <v/>
      </c>
      <c r="M405" t="str">
        <f t="shared" si="21"/>
        <v/>
      </c>
    </row>
    <row r="406" spans="10:13" x14ac:dyDescent="0.2">
      <c r="J406" t="str">
        <f t="shared" si="19"/>
        <v/>
      </c>
      <c r="K406" t="str">
        <f t="shared" si="20"/>
        <v/>
      </c>
      <c r="M406" t="str">
        <f t="shared" si="21"/>
        <v/>
      </c>
    </row>
    <row r="407" spans="10:13" x14ac:dyDescent="0.2">
      <c r="J407" t="str">
        <f t="shared" si="19"/>
        <v/>
      </c>
      <c r="K407" t="str">
        <f t="shared" si="20"/>
        <v/>
      </c>
      <c r="M407" t="str">
        <f t="shared" si="21"/>
        <v/>
      </c>
    </row>
    <row r="408" spans="10:13" x14ac:dyDescent="0.2">
      <c r="J408" t="str">
        <f t="shared" si="19"/>
        <v/>
      </c>
      <c r="K408" t="str">
        <f t="shared" si="20"/>
        <v/>
      </c>
      <c r="M408" t="str">
        <f t="shared" si="21"/>
        <v/>
      </c>
    </row>
    <row r="409" spans="10:13" x14ac:dyDescent="0.2">
      <c r="J409" t="str">
        <f t="shared" si="19"/>
        <v/>
      </c>
      <c r="K409" t="str">
        <f t="shared" si="20"/>
        <v/>
      </c>
      <c r="M409" t="str">
        <f t="shared" si="21"/>
        <v/>
      </c>
    </row>
    <row r="410" spans="10:13" x14ac:dyDescent="0.2">
      <c r="J410" t="str">
        <f t="shared" si="19"/>
        <v/>
      </c>
      <c r="K410" t="str">
        <f t="shared" si="20"/>
        <v/>
      </c>
      <c r="M410" t="str">
        <f t="shared" si="21"/>
        <v/>
      </c>
    </row>
    <row r="411" spans="10:13" x14ac:dyDescent="0.2">
      <c r="J411" t="str">
        <f t="shared" si="19"/>
        <v/>
      </c>
      <c r="K411" t="str">
        <f t="shared" si="20"/>
        <v/>
      </c>
      <c r="M411" t="str">
        <f t="shared" si="21"/>
        <v/>
      </c>
    </row>
    <row r="412" spans="10:13" x14ac:dyDescent="0.2">
      <c r="J412" t="str">
        <f t="shared" si="19"/>
        <v/>
      </c>
      <c r="K412" t="str">
        <f t="shared" si="20"/>
        <v/>
      </c>
      <c r="M412" t="str">
        <f t="shared" si="21"/>
        <v/>
      </c>
    </row>
    <row r="413" spans="10:13" x14ac:dyDescent="0.2">
      <c r="J413" t="str">
        <f t="shared" si="19"/>
        <v/>
      </c>
      <c r="K413" t="str">
        <f t="shared" si="20"/>
        <v/>
      </c>
      <c r="M413" t="str">
        <f t="shared" si="21"/>
        <v/>
      </c>
    </row>
    <row r="414" spans="10:13" x14ac:dyDescent="0.2">
      <c r="J414" t="str">
        <f t="shared" si="19"/>
        <v/>
      </c>
      <c r="K414" t="str">
        <f t="shared" si="20"/>
        <v/>
      </c>
      <c r="M414" t="str">
        <f t="shared" si="21"/>
        <v/>
      </c>
    </row>
    <row r="415" spans="10:13" x14ac:dyDescent="0.2">
      <c r="J415" t="str">
        <f t="shared" si="19"/>
        <v/>
      </c>
      <c r="K415" t="str">
        <f t="shared" si="20"/>
        <v/>
      </c>
      <c r="M415" t="str">
        <f t="shared" si="21"/>
        <v/>
      </c>
    </row>
    <row r="416" spans="10:13" x14ac:dyDescent="0.2">
      <c r="J416" t="str">
        <f t="shared" si="19"/>
        <v/>
      </c>
      <c r="K416" t="str">
        <f t="shared" si="20"/>
        <v/>
      </c>
      <c r="M416" t="str">
        <f t="shared" si="21"/>
        <v/>
      </c>
    </row>
    <row r="417" spans="10:13" x14ac:dyDescent="0.2">
      <c r="J417" t="str">
        <f t="shared" si="19"/>
        <v/>
      </c>
      <c r="K417" t="str">
        <f t="shared" si="20"/>
        <v/>
      </c>
      <c r="M417" t="str">
        <f t="shared" si="21"/>
        <v/>
      </c>
    </row>
    <row r="418" spans="10:13" x14ac:dyDescent="0.2">
      <c r="J418" t="str">
        <f t="shared" si="19"/>
        <v/>
      </c>
      <c r="K418" t="str">
        <f t="shared" si="20"/>
        <v/>
      </c>
      <c r="M418" t="str">
        <f t="shared" si="21"/>
        <v/>
      </c>
    </row>
    <row r="419" spans="10:13" x14ac:dyDescent="0.2">
      <c r="J419" t="str">
        <f t="shared" si="19"/>
        <v/>
      </c>
      <c r="K419" t="str">
        <f t="shared" si="20"/>
        <v/>
      </c>
      <c r="M419" t="str">
        <f t="shared" si="21"/>
        <v/>
      </c>
    </row>
    <row r="420" spans="10:13" x14ac:dyDescent="0.2">
      <c r="J420" t="str">
        <f t="shared" si="19"/>
        <v/>
      </c>
      <c r="K420" t="str">
        <f t="shared" si="20"/>
        <v/>
      </c>
      <c r="M420" t="str">
        <f t="shared" si="21"/>
        <v/>
      </c>
    </row>
    <row r="421" spans="10:13" x14ac:dyDescent="0.2">
      <c r="J421" t="str">
        <f t="shared" si="19"/>
        <v/>
      </c>
      <c r="K421" t="str">
        <f t="shared" si="20"/>
        <v/>
      </c>
      <c r="M421" t="str">
        <f t="shared" si="21"/>
        <v/>
      </c>
    </row>
    <row r="422" spans="10:13" x14ac:dyDescent="0.2">
      <c r="J422" t="str">
        <f t="shared" si="19"/>
        <v/>
      </c>
      <c r="K422" t="str">
        <f t="shared" si="20"/>
        <v/>
      </c>
      <c r="M422" t="str">
        <f t="shared" si="21"/>
        <v/>
      </c>
    </row>
    <row r="423" spans="10:13" x14ac:dyDescent="0.2">
      <c r="J423" t="str">
        <f t="shared" si="19"/>
        <v/>
      </c>
      <c r="K423" t="str">
        <f t="shared" si="20"/>
        <v/>
      </c>
      <c r="M423" t="str">
        <f t="shared" si="21"/>
        <v/>
      </c>
    </row>
    <row r="424" spans="10:13" x14ac:dyDescent="0.2">
      <c r="J424" t="str">
        <f t="shared" si="19"/>
        <v/>
      </c>
      <c r="K424" t="str">
        <f t="shared" si="20"/>
        <v/>
      </c>
      <c r="M424" t="str">
        <f t="shared" si="21"/>
        <v/>
      </c>
    </row>
    <row r="425" spans="10:13" x14ac:dyDescent="0.2">
      <c r="J425" t="str">
        <f t="shared" si="19"/>
        <v/>
      </c>
      <c r="K425" t="str">
        <f t="shared" si="20"/>
        <v/>
      </c>
      <c r="M425" t="str">
        <f t="shared" si="21"/>
        <v/>
      </c>
    </row>
    <row r="426" spans="10:13" x14ac:dyDescent="0.2">
      <c r="J426" t="str">
        <f t="shared" si="19"/>
        <v/>
      </c>
      <c r="K426" t="str">
        <f t="shared" si="20"/>
        <v/>
      </c>
      <c r="M426" t="str">
        <f t="shared" si="21"/>
        <v/>
      </c>
    </row>
    <row r="427" spans="10:13" x14ac:dyDescent="0.2">
      <c r="J427" t="str">
        <f t="shared" si="19"/>
        <v/>
      </c>
      <c r="K427" t="str">
        <f t="shared" si="20"/>
        <v/>
      </c>
      <c r="M427" t="str">
        <f t="shared" si="21"/>
        <v/>
      </c>
    </row>
    <row r="428" spans="10:13" x14ac:dyDescent="0.2">
      <c r="J428" t="str">
        <f t="shared" si="19"/>
        <v/>
      </c>
      <c r="K428" t="str">
        <f t="shared" si="20"/>
        <v/>
      </c>
      <c r="M428" t="str">
        <f t="shared" si="21"/>
        <v/>
      </c>
    </row>
    <row r="429" spans="10:13" x14ac:dyDescent="0.2">
      <c r="J429" t="str">
        <f t="shared" si="19"/>
        <v/>
      </c>
      <c r="K429" t="str">
        <f t="shared" si="20"/>
        <v/>
      </c>
      <c r="M429" t="str">
        <f t="shared" si="21"/>
        <v/>
      </c>
    </row>
    <row r="430" spans="10:13" x14ac:dyDescent="0.2">
      <c r="J430" t="str">
        <f t="shared" si="19"/>
        <v/>
      </c>
      <c r="K430" t="str">
        <f t="shared" si="20"/>
        <v/>
      </c>
      <c r="M430" t="str">
        <f t="shared" si="21"/>
        <v/>
      </c>
    </row>
    <row r="431" spans="10:13" x14ac:dyDescent="0.2">
      <c r="J431" t="str">
        <f t="shared" si="19"/>
        <v/>
      </c>
      <c r="K431" t="str">
        <f t="shared" si="20"/>
        <v/>
      </c>
      <c r="M431" t="str">
        <f t="shared" si="21"/>
        <v/>
      </c>
    </row>
    <row r="432" spans="10:13" x14ac:dyDescent="0.2">
      <c r="J432" t="str">
        <f t="shared" si="19"/>
        <v/>
      </c>
      <c r="K432" t="str">
        <f t="shared" si="20"/>
        <v/>
      </c>
      <c r="M432" t="str">
        <f t="shared" si="21"/>
        <v/>
      </c>
    </row>
    <row r="433" spans="10:13" x14ac:dyDescent="0.2">
      <c r="J433" t="str">
        <f t="shared" si="19"/>
        <v/>
      </c>
      <c r="K433" t="str">
        <f t="shared" si="20"/>
        <v/>
      </c>
      <c r="M433" t="str">
        <f t="shared" si="21"/>
        <v/>
      </c>
    </row>
    <row r="434" spans="10:13" x14ac:dyDescent="0.2">
      <c r="J434" t="str">
        <f t="shared" si="19"/>
        <v/>
      </c>
      <c r="K434" t="str">
        <f t="shared" si="20"/>
        <v/>
      </c>
      <c r="M434" t="str">
        <f t="shared" si="21"/>
        <v/>
      </c>
    </row>
    <row r="435" spans="10:13" x14ac:dyDescent="0.2">
      <c r="J435" t="str">
        <f t="shared" si="19"/>
        <v/>
      </c>
      <c r="K435" t="str">
        <f t="shared" si="20"/>
        <v/>
      </c>
      <c r="M435" t="str">
        <f t="shared" si="21"/>
        <v/>
      </c>
    </row>
    <row r="436" spans="10:13" x14ac:dyDescent="0.2">
      <c r="J436" t="str">
        <f t="shared" si="19"/>
        <v/>
      </c>
      <c r="K436" t="str">
        <f t="shared" si="20"/>
        <v/>
      </c>
      <c r="M436" t="str">
        <f t="shared" si="21"/>
        <v/>
      </c>
    </row>
    <row r="437" spans="10:13" x14ac:dyDescent="0.2">
      <c r="J437" t="str">
        <f t="shared" si="19"/>
        <v/>
      </c>
      <c r="K437" t="str">
        <f t="shared" si="20"/>
        <v/>
      </c>
      <c r="M437" t="str">
        <f t="shared" si="21"/>
        <v/>
      </c>
    </row>
    <row r="438" spans="10:13" x14ac:dyDescent="0.2">
      <c r="J438" t="str">
        <f t="shared" si="19"/>
        <v/>
      </c>
      <c r="K438" t="str">
        <f t="shared" si="20"/>
        <v/>
      </c>
      <c r="M438" t="str">
        <f t="shared" si="21"/>
        <v/>
      </c>
    </row>
    <row r="439" spans="10:13" x14ac:dyDescent="0.2">
      <c r="J439" t="str">
        <f t="shared" si="19"/>
        <v/>
      </c>
      <c r="K439" t="str">
        <f t="shared" si="20"/>
        <v/>
      </c>
      <c r="M439" t="str">
        <f t="shared" si="21"/>
        <v/>
      </c>
    </row>
    <row r="440" spans="10:13" x14ac:dyDescent="0.2">
      <c r="J440" t="str">
        <f t="shared" si="19"/>
        <v/>
      </c>
      <c r="K440" t="str">
        <f t="shared" si="20"/>
        <v/>
      </c>
      <c r="M440" t="str">
        <f t="shared" si="21"/>
        <v/>
      </c>
    </row>
    <row r="441" spans="10:13" x14ac:dyDescent="0.2">
      <c r="J441" t="str">
        <f t="shared" si="19"/>
        <v/>
      </c>
      <c r="K441" t="str">
        <f t="shared" si="20"/>
        <v/>
      </c>
      <c r="M441" t="str">
        <f t="shared" si="21"/>
        <v/>
      </c>
    </row>
    <row r="442" spans="10:13" x14ac:dyDescent="0.2">
      <c r="J442" t="str">
        <f t="shared" si="19"/>
        <v/>
      </c>
      <c r="K442" t="str">
        <f t="shared" si="20"/>
        <v/>
      </c>
      <c r="M442" t="str">
        <f t="shared" si="21"/>
        <v/>
      </c>
    </row>
    <row r="443" spans="10:13" x14ac:dyDescent="0.2">
      <c r="J443" t="str">
        <f t="shared" si="19"/>
        <v/>
      </c>
      <c r="K443" t="str">
        <f t="shared" si="20"/>
        <v/>
      </c>
      <c r="M443" t="str">
        <f t="shared" si="21"/>
        <v/>
      </c>
    </row>
    <row r="444" spans="10:13" x14ac:dyDescent="0.2">
      <c r="J444" t="str">
        <f t="shared" si="19"/>
        <v/>
      </c>
      <c r="K444" t="str">
        <f t="shared" si="20"/>
        <v/>
      </c>
      <c r="M444" t="str">
        <f t="shared" si="21"/>
        <v/>
      </c>
    </row>
    <row r="445" spans="10:13" x14ac:dyDescent="0.2">
      <c r="J445" t="str">
        <f t="shared" si="19"/>
        <v/>
      </c>
      <c r="K445" t="str">
        <f t="shared" si="20"/>
        <v/>
      </c>
      <c r="M445" t="str">
        <f t="shared" si="21"/>
        <v/>
      </c>
    </row>
    <row r="446" spans="10:13" x14ac:dyDescent="0.2">
      <c r="J446" t="str">
        <f t="shared" si="19"/>
        <v/>
      </c>
      <c r="K446" t="str">
        <f t="shared" si="20"/>
        <v/>
      </c>
      <c r="M446" t="str">
        <f t="shared" si="21"/>
        <v/>
      </c>
    </row>
    <row r="447" spans="10:13" x14ac:dyDescent="0.2">
      <c r="J447" t="str">
        <f t="shared" si="19"/>
        <v/>
      </c>
      <c r="K447" t="str">
        <f t="shared" si="20"/>
        <v/>
      </c>
      <c r="M447" t="str">
        <f t="shared" si="21"/>
        <v/>
      </c>
    </row>
    <row r="448" spans="10:13" x14ac:dyDescent="0.2">
      <c r="J448" t="str">
        <f t="shared" si="19"/>
        <v/>
      </c>
      <c r="K448" t="str">
        <f t="shared" si="20"/>
        <v/>
      </c>
      <c r="M448" t="str">
        <f t="shared" si="21"/>
        <v/>
      </c>
    </row>
    <row r="449" spans="10:13" x14ac:dyDescent="0.2">
      <c r="J449" t="str">
        <f t="shared" si="19"/>
        <v/>
      </c>
      <c r="K449" t="str">
        <f t="shared" si="20"/>
        <v/>
      </c>
      <c r="M449" t="str">
        <f t="shared" si="21"/>
        <v/>
      </c>
    </row>
    <row r="450" spans="10:13" x14ac:dyDescent="0.2">
      <c r="J450" t="str">
        <f t="shared" si="19"/>
        <v/>
      </c>
      <c r="K450" t="str">
        <f t="shared" si="20"/>
        <v/>
      </c>
      <c r="M450" t="str">
        <f t="shared" si="21"/>
        <v/>
      </c>
    </row>
    <row r="451" spans="10:13" x14ac:dyDescent="0.2">
      <c r="J451" t="str">
        <f t="shared" si="19"/>
        <v/>
      </c>
      <c r="K451" t="str">
        <f t="shared" si="20"/>
        <v/>
      </c>
      <c r="M451" t="str">
        <f t="shared" si="21"/>
        <v/>
      </c>
    </row>
    <row r="452" spans="10:13" x14ac:dyDescent="0.2">
      <c r="J452" t="str">
        <f t="shared" si="19"/>
        <v/>
      </c>
      <c r="K452" t="str">
        <f t="shared" si="20"/>
        <v/>
      </c>
      <c r="M452" t="str">
        <f t="shared" si="21"/>
        <v/>
      </c>
    </row>
    <row r="453" spans="10:13" x14ac:dyDescent="0.2">
      <c r="J453" t="str">
        <f t="shared" si="19"/>
        <v/>
      </c>
      <c r="K453" t="str">
        <f t="shared" si="20"/>
        <v/>
      </c>
      <c r="M453" t="str">
        <f t="shared" si="21"/>
        <v/>
      </c>
    </row>
    <row r="454" spans="10:13" x14ac:dyDescent="0.2">
      <c r="J454" t="str">
        <f t="shared" si="19"/>
        <v/>
      </c>
      <c r="K454" t="str">
        <f t="shared" si="20"/>
        <v/>
      </c>
      <c r="M454" t="str">
        <f t="shared" si="21"/>
        <v/>
      </c>
    </row>
    <row r="455" spans="10:13" x14ac:dyDescent="0.2">
      <c r="J455" t="str">
        <f t="shared" si="19"/>
        <v/>
      </c>
      <c r="K455" t="str">
        <f t="shared" si="20"/>
        <v/>
      </c>
      <c r="M455" t="str">
        <f t="shared" si="21"/>
        <v/>
      </c>
    </row>
    <row r="456" spans="10:13" x14ac:dyDescent="0.2">
      <c r="J456" t="str">
        <f t="shared" si="19"/>
        <v/>
      </c>
      <c r="K456" t="str">
        <f t="shared" si="20"/>
        <v/>
      </c>
      <c r="M456" t="str">
        <f t="shared" si="21"/>
        <v/>
      </c>
    </row>
    <row r="457" spans="10:13" x14ac:dyDescent="0.2">
      <c r="J457" t="str">
        <f t="shared" si="19"/>
        <v/>
      </c>
      <c r="K457" t="str">
        <f t="shared" si="20"/>
        <v/>
      </c>
      <c r="M457" t="str">
        <f t="shared" si="21"/>
        <v/>
      </c>
    </row>
    <row r="458" spans="10:13" x14ac:dyDescent="0.2">
      <c r="J458" t="str">
        <f t="shared" ref="J458:J509" si="22">IFERROR(I458/H458,"")</f>
        <v/>
      </c>
      <c r="K458" t="str">
        <f t="shared" ref="K458:K509" si="23">IFERROR(J458*1000,"")</f>
        <v/>
      </c>
      <c r="M458" t="str">
        <f t="shared" ref="M458:M509" si="24">IFERROR(L458*J458,"")</f>
        <v/>
      </c>
    </row>
    <row r="459" spans="10:13" x14ac:dyDescent="0.2">
      <c r="J459" t="str">
        <f t="shared" si="22"/>
        <v/>
      </c>
      <c r="K459" t="str">
        <f t="shared" si="23"/>
        <v/>
      </c>
      <c r="M459" t="str">
        <f t="shared" si="24"/>
        <v/>
      </c>
    </row>
    <row r="460" spans="10:13" x14ac:dyDescent="0.2">
      <c r="J460" t="str">
        <f t="shared" si="22"/>
        <v/>
      </c>
      <c r="K460" t="str">
        <f t="shared" si="23"/>
        <v/>
      </c>
      <c r="M460" t="str">
        <f t="shared" si="24"/>
        <v/>
      </c>
    </row>
    <row r="461" spans="10:13" x14ac:dyDescent="0.2">
      <c r="J461" t="str">
        <f t="shared" si="22"/>
        <v/>
      </c>
      <c r="K461" t="str">
        <f t="shared" si="23"/>
        <v/>
      </c>
      <c r="M461" t="str">
        <f t="shared" si="24"/>
        <v/>
      </c>
    </row>
    <row r="462" spans="10:13" x14ac:dyDescent="0.2">
      <c r="J462" t="str">
        <f t="shared" si="22"/>
        <v/>
      </c>
      <c r="K462" t="str">
        <f t="shared" si="23"/>
        <v/>
      </c>
      <c r="M462" t="str">
        <f t="shared" si="24"/>
        <v/>
      </c>
    </row>
    <row r="463" spans="10:13" x14ac:dyDescent="0.2">
      <c r="J463" t="str">
        <f t="shared" si="22"/>
        <v/>
      </c>
      <c r="K463" t="str">
        <f t="shared" si="23"/>
        <v/>
      </c>
      <c r="M463" t="str">
        <f t="shared" si="24"/>
        <v/>
      </c>
    </row>
    <row r="464" spans="10:13" x14ac:dyDescent="0.2">
      <c r="J464" t="str">
        <f t="shared" si="22"/>
        <v/>
      </c>
      <c r="K464" t="str">
        <f t="shared" si="23"/>
        <v/>
      </c>
      <c r="M464" t="str">
        <f t="shared" si="24"/>
        <v/>
      </c>
    </row>
    <row r="465" spans="10:13" x14ac:dyDescent="0.2">
      <c r="J465" t="str">
        <f t="shared" si="22"/>
        <v/>
      </c>
      <c r="K465" t="str">
        <f t="shared" si="23"/>
        <v/>
      </c>
      <c r="M465" t="str">
        <f t="shared" si="24"/>
        <v/>
      </c>
    </row>
    <row r="466" spans="10:13" x14ac:dyDescent="0.2">
      <c r="J466" t="str">
        <f t="shared" si="22"/>
        <v/>
      </c>
      <c r="K466" t="str">
        <f t="shared" si="23"/>
        <v/>
      </c>
      <c r="M466" t="str">
        <f t="shared" si="24"/>
        <v/>
      </c>
    </row>
    <row r="467" spans="10:13" x14ac:dyDescent="0.2">
      <c r="J467" t="str">
        <f t="shared" si="22"/>
        <v/>
      </c>
      <c r="K467" t="str">
        <f t="shared" si="23"/>
        <v/>
      </c>
      <c r="M467" t="str">
        <f t="shared" si="24"/>
        <v/>
      </c>
    </row>
    <row r="468" spans="10:13" x14ac:dyDescent="0.2">
      <c r="J468" t="str">
        <f t="shared" si="22"/>
        <v/>
      </c>
      <c r="K468" t="str">
        <f t="shared" si="23"/>
        <v/>
      </c>
      <c r="M468" t="str">
        <f t="shared" si="24"/>
        <v/>
      </c>
    </row>
    <row r="469" spans="10:13" x14ac:dyDescent="0.2">
      <c r="J469" t="str">
        <f t="shared" si="22"/>
        <v/>
      </c>
      <c r="K469" t="str">
        <f t="shared" si="23"/>
        <v/>
      </c>
      <c r="M469" t="str">
        <f t="shared" si="24"/>
        <v/>
      </c>
    </row>
    <row r="470" spans="10:13" x14ac:dyDescent="0.2">
      <c r="J470" t="str">
        <f t="shared" si="22"/>
        <v/>
      </c>
      <c r="K470" t="str">
        <f t="shared" si="23"/>
        <v/>
      </c>
      <c r="M470" t="str">
        <f t="shared" si="24"/>
        <v/>
      </c>
    </row>
    <row r="471" spans="10:13" x14ac:dyDescent="0.2">
      <c r="J471" t="str">
        <f t="shared" si="22"/>
        <v/>
      </c>
      <c r="K471" t="str">
        <f t="shared" si="23"/>
        <v/>
      </c>
      <c r="M471" t="str">
        <f t="shared" si="24"/>
        <v/>
      </c>
    </row>
    <row r="472" spans="10:13" x14ac:dyDescent="0.2">
      <c r="J472" t="str">
        <f t="shared" si="22"/>
        <v/>
      </c>
      <c r="K472" t="str">
        <f t="shared" si="23"/>
        <v/>
      </c>
      <c r="M472" t="str">
        <f t="shared" si="24"/>
        <v/>
      </c>
    </row>
    <row r="473" spans="10:13" x14ac:dyDescent="0.2">
      <c r="J473" t="str">
        <f t="shared" si="22"/>
        <v/>
      </c>
      <c r="K473" t="str">
        <f t="shared" si="23"/>
        <v/>
      </c>
      <c r="M473" t="str">
        <f t="shared" si="24"/>
        <v/>
      </c>
    </row>
    <row r="474" spans="10:13" x14ac:dyDescent="0.2">
      <c r="J474" t="str">
        <f t="shared" si="22"/>
        <v/>
      </c>
      <c r="K474" t="str">
        <f t="shared" si="23"/>
        <v/>
      </c>
      <c r="M474" t="str">
        <f t="shared" si="24"/>
        <v/>
      </c>
    </row>
    <row r="475" spans="10:13" x14ac:dyDescent="0.2">
      <c r="J475" t="str">
        <f t="shared" si="22"/>
        <v/>
      </c>
      <c r="K475" t="str">
        <f t="shared" si="23"/>
        <v/>
      </c>
      <c r="M475" t="str">
        <f t="shared" si="24"/>
        <v/>
      </c>
    </row>
    <row r="476" spans="10:13" x14ac:dyDescent="0.2">
      <c r="J476" t="str">
        <f t="shared" si="22"/>
        <v/>
      </c>
      <c r="K476" t="str">
        <f t="shared" si="23"/>
        <v/>
      </c>
      <c r="M476" t="str">
        <f t="shared" si="24"/>
        <v/>
      </c>
    </row>
    <row r="477" spans="10:13" x14ac:dyDescent="0.2">
      <c r="J477" t="str">
        <f t="shared" si="22"/>
        <v/>
      </c>
      <c r="K477" t="str">
        <f t="shared" si="23"/>
        <v/>
      </c>
      <c r="M477" t="str">
        <f t="shared" si="24"/>
        <v/>
      </c>
    </row>
    <row r="478" spans="10:13" x14ac:dyDescent="0.2">
      <c r="J478" t="str">
        <f t="shared" si="22"/>
        <v/>
      </c>
      <c r="K478" t="str">
        <f t="shared" si="23"/>
        <v/>
      </c>
      <c r="M478" t="str">
        <f t="shared" si="24"/>
        <v/>
      </c>
    </row>
    <row r="479" spans="10:13" x14ac:dyDescent="0.2">
      <c r="J479" t="str">
        <f t="shared" si="22"/>
        <v/>
      </c>
      <c r="K479" t="str">
        <f t="shared" si="23"/>
        <v/>
      </c>
      <c r="M479" t="str">
        <f t="shared" si="24"/>
        <v/>
      </c>
    </row>
    <row r="480" spans="10:13" x14ac:dyDescent="0.2">
      <c r="J480" t="str">
        <f t="shared" si="22"/>
        <v/>
      </c>
      <c r="K480" t="str">
        <f t="shared" si="23"/>
        <v/>
      </c>
      <c r="M480" t="str">
        <f t="shared" si="24"/>
        <v/>
      </c>
    </row>
    <row r="481" spans="10:13" x14ac:dyDescent="0.2">
      <c r="J481" t="str">
        <f t="shared" si="22"/>
        <v/>
      </c>
      <c r="K481" t="str">
        <f t="shared" si="23"/>
        <v/>
      </c>
      <c r="M481" t="str">
        <f t="shared" si="24"/>
        <v/>
      </c>
    </row>
    <row r="482" spans="10:13" x14ac:dyDescent="0.2">
      <c r="J482" t="str">
        <f t="shared" si="22"/>
        <v/>
      </c>
      <c r="K482" t="str">
        <f t="shared" si="23"/>
        <v/>
      </c>
      <c r="M482" t="str">
        <f t="shared" si="24"/>
        <v/>
      </c>
    </row>
    <row r="483" spans="10:13" x14ac:dyDescent="0.2">
      <c r="J483" t="str">
        <f t="shared" si="22"/>
        <v/>
      </c>
      <c r="K483" t="str">
        <f t="shared" si="23"/>
        <v/>
      </c>
      <c r="M483" t="str">
        <f t="shared" si="24"/>
        <v/>
      </c>
    </row>
    <row r="484" spans="10:13" x14ac:dyDescent="0.2">
      <c r="J484" t="str">
        <f t="shared" si="22"/>
        <v/>
      </c>
      <c r="K484" t="str">
        <f t="shared" si="23"/>
        <v/>
      </c>
      <c r="M484" t="str">
        <f t="shared" si="24"/>
        <v/>
      </c>
    </row>
    <row r="485" spans="10:13" x14ac:dyDescent="0.2">
      <c r="J485" t="str">
        <f t="shared" si="22"/>
        <v/>
      </c>
      <c r="K485" t="str">
        <f t="shared" si="23"/>
        <v/>
      </c>
      <c r="M485" t="str">
        <f t="shared" si="24"/>
        <v/>
      </c>
    </row>
    <row r="486" spans="10:13" x14ac:dyDescent="0.2">
      <c r="J486" t="str">
        <f t="shared" si="22"/>
        <v/>
      </c>
      <c r="K486" t="str">
        <f t="shared" si="23"/>
        <v/>
      </c>
      <c r="M486" t="str">
        <f t="shared" si="24"/>
        <v/>
      </c>
    </row>
    <row r="487" spans="10:13" x14ac:dyDescent="0.2">
      <c r="J487" t="str">
        <f t="shared" si="22"/>
        <v/>
      </c>
      <c r="K487" t="str">
        <f t="shared" si="23"/>
        <v/>
      </c>
      <c r="M487" t="str">
        <f t="shared" si="24"/>
        <v/>
      </c>
    </row>
    <row r="488" spans="10:13" x14ac:dyDescent="0.2">
      <c r="J488" t="str">
        <f t="shared" si="22"/>
        <v/>
      </c>
      <c r="K488" t="str">
        <f t="shared" si="23"/>
        <v/>
      </c>
      <c r="M488" t="str">
        <f t="shared" si="24"/>
        <v/>
      </c>
    </row>
    <row r="489" spans="10:13" x14ac:dyDescent="0.2">
      <c r="J489" t="str">
        <f t="shared" si="22"/>
        <v/>
      </c>
      <c r="K489" t="str">
        <f t="shared" si="23"/>
        <v/>
      </c>
      <c r="M489" t="str">
        <f t="shared" si="24"/>
        <v/>
      </c>
    </row>
    <row r="490" spans="10:13" x14ac:dyDescent="0.2">
      <c r="J490" t="str">
        <f t="shared" si="22"/>
        <v/>
      </c>
      <c r="K490" t="str">
        <f t="shared" si="23"/>
        <v/>
      </c>
      <c r="M490" t="str">
        <f t="shared" si="24"/>
        <v/>
      </c>
    </row>
    <row r="491" spans="10:13" x14ac:dyDescent="0.2">
      <c r="J491" t="str">
        <f t="shared" si="22"/>
        <v/>
      </c>
      <c r="K491" t="str">
        <f t="shared" si="23"/>
        <v/>
      </c>
      <c r="M491" t="str">
        <f t="shared" si="24"/>
        <v/>
      </c>
    </row>
    <row r="492" spans="10:13" x14ac:dyDescent="0.2">
      <c r="J492" t="str">
        <f t="shared" si="22"/>
        <v/>
      </c>
      <c r="K492" t="str">
        <f t="shared" si="23"/>
        <v/>
      </c>
      <c r="M492" t="str">
        <f t="shared" si="24"/>
        <v/>
      </c>
    </row>
    <row r="493" spans="10:13" x14ac:dyDescent="0.2">
      <c r="J493" t="str">
        <f t="shared" si="22"/>
        <v/>
      </c>
      <c r="K493" t="str">
        <f t="shared" si="23"/>
        <v/>
      </c>
      <c r="M493" t="str">
        <f t="shared" si="24"/>
        <v/>
      </c>
    </row>
    <row r="494" spans="10:13" x14ac:dyDescent="0.2">
      <c r="J494" t="str">
        <f t="shared" si="22"/>
        <v/>
      </c>
      <c r="K494" t="str">
        <f t="shared" si="23"/>
        <v/>
      </c>
      <c r="M494" t="str">
        <f t="shared" si="24"/>
        <v/>
      </c>
    </row>
    <row r="495" spans="10:13" x14ac:dyDescent="0.2">
      <c r="J495" t="str">
        <f t="shared" si="22"/>
        <v/>
      </c>
      <c r="K495" t="str">
        <f t="shared" si="23"/>
        <v/>
      </c>
      <c r="M495" t="str">
        <f t="shared" si="24"/>
        <v/>
      </c>
    </row>
    <row r="496" spans="10:13" x14ac:dyDescent="0.2">
      <c r="J496" t="str">
        <f t="shared" si="22"/>
        <v/>
      </c>
      <c r="K496" t="str">
        <f t="shared" si="23"/>
        <v/>
      </c>
      <c r="M496" t="str">
        <f t="shared" si="24"/>
        <v/>
      </c>
    </row>
    <row r="497" spans="10:13" x14ac:dyDescent="0.2">
      <c r="J497" t="str">
        <f t="shared" si="22"/>
        <v/>
      </c>
      <c r="K497" t="str">
        <f t="shared" si="23"/>
        <v/>
      </c>
      <c r="M497" t="str">
        <f t="shared" si="24"/>
        <v/>
      </c>
    </row>
    <row r="498" spans="10:13" x14ac:dyDescent="0.2">
      <c r="J498" t="str">
        <f t="shared" si="22"/>
        <v/>
      </c>
      <c r="K498" t="str">
        <f t="shared" si="23"/>
        <v/>
      </c>
      <c r="M498" t="str">
        <f t="shared" si="24"/>
        <v/>
      </c>
    </row>
    <row r="499" spans="10:13" x14ac:dyDescent="0.2">
      <c r="J499" t="str">
        <f t="shared" si="22"/>
        <v/>
      </c>
      <c r="K499" t="str">
        <f t="shared" si="23"/>
        <v/>
      </c>
      <c r="M499" t="str">
        <f t="shared" si="24"/>
        <v/>
      </c>
    </row>
    <row r="500" spans="10:13" x14ac:dyDescent="0.2">
      <c r="J500" t="str">
        <f t="shared" si="22"/>
        <v/>
      </c>
      <c r="K500" t="str">
        <f t="shared" si="23"/>
        <v/>
      </c>
      <c r="M500" t="str">
        <f t="shared" si="24"/>
        <v/>
      </c>
    </row>
    <row r="501" spans="10:13" x14ac:dyDescent="0.2">
      <c r="J501" t="str">
        <f t="shared" si="22"/>
        <v/>
      </c>
      <c r="K501" t="str">
        <f t="shared" si="23"/>
        <v/>
      </c>
      <c r="M501" t="str">
        <f t="shared" si="24"/>
        <v/>
      </c>
    </row>
    <row r="502" spans="10:13" x14ac:dyDescent="0.2">
      <c r="J502" t="str">
        <f t="shared" si="22"/>
        <v/>
      </c>
      <c r="K502" t="str">
        <f t="shared" si="23"/>
        <v/>
      </c>
      <c r="M502" t="str">
        <f t="shared" si="24"/>
        <v/>
      </c>
    </row>
    <row r="503" spans="10:13" x14ac:dyDescent="0.2">
      <c r="J503" t="str">
        <f t="shared" si="22"/>
        <v/>
      </c>
      <c r="K503" t="str">
        <f t="shared" si="23"/>
        <v/>
      </c>
      <c r="M503" t="str">
        <f t="shared" si="24"/>
        <v/>
      </c>
    </row>
    <row r="504" spans="10:13" x14ac:dyDescent="0.2">
      <c r="J504" t="str">
        <f t="shared" si="22"/>
        <v/>
      </c>
      <c r="K504" t="str">
        <f t="shared" si="23"/>
        <v/>
      </c>
      <c r="M504" t="str">
        <f t="shared" si="24"/>
        <v/>
      </c>
    </row>
    <row r="505" spans="10:13" x14ac:dyDescent="0.2">
      <c r="J505" t="str">
        <f t="shared" si="22"/>
        <v/>
      </c>
      <c r="K505" t="str">
        <f t="shared" si="23"/>
        <v/>
      </c>
      <c r="M505" t="str">
        <f t="shared" si="24"/>
        <v/>
      </c>
    </row>
    <row r="506" spans="10:13" x14ac:dyDescent="0.2">
      <c r="J506" t="str">
        <f t="shared" si="22"/>
        <v/>
      </c>
      <c r="K506" t="str">
        <f t="shared" si="23"/>
        <v/>
      </c>
      <c r="M506" t="str">
        <f t="shared" si="24"/>
        <v/>
      </c>
    </row>
    <row r="507" spans="10:13" x14ac:dyDescent="0.2">
      <c r="J507" t="str">
        <f t="shared" si="22"/>
        <v/>
      </c>
      <c r="K507" t="str">
        <f t="shared" si="23"/>
        <v/>
      </c>
      <c r="M507" t="str">
        <f t="shared" si="24"/>
        <v/>
      </c>
    </row>
    <row r="508" spans="10:13" x14ac:dyDescent="0.2">
      <c r="J508" t="str">
        <f t="shared" si="22"/>
        <v/>
      </c>
      <c r="K508" t="str">
        <f t="shared" si="23"/>
        <v/>
      </c>
      <c r="M508" t="str">
        <f t="shared" si="24"/>
        <v/>
      </c>
    </row>
    <row r="509" spans="10:13" x14ac:dyDescent="0.2">
      <c r="J509" t="str">
        <f t="shared" si="22"/>
        <v/>
      </c>
      <c r="K509" t="str">
        <f t="shared" si="23"/>
        <v/>
      </c>
      <c r="M509" t="str">
        <f t="shared" si="24"/>
        <v/>
      </c>
    </row>
  </sheetData>
  <mergeCells count="2">
    <mergeCell ref="A2:Q2"/>
    <mergeCell ref="A1:Q1"/>
  </mergeCells>
  <phoneticPr fontId="15" type="noConversion"/>
  <dataValidations count="2">
    <dataValidation type="list" allowBlank="1" sqref="C5:C1005" xr:uid="{00000000-0002-0000-0200-000000000000}">
      <formula1>$S$5:$S$19</formula1>
    </dataValidation>
    <dataValidation type="list" allowBlank="1" sqref="N5:N1005" xr:uid="{00000000-0002-0000-0200-000001000000}">
      <formula1>$T$5:$T$14</formula1>
    </dataValidation>
  </dataValidations>
  <hyperlinks>
    <hyperlink ref="Q14" r:id="rId1" xr:uid="{0B8C219B-A947-2A4C-8006-00BF9ACC6650}"/>
    <hyperlink ref="Q12" r:id="rId2" xr:uid="{C5958954-1E7D-0F4C-91C7-A0DCCF669722}"/>
    <hyperlink ref="Q13" r:id="rId3" xr:uid="{4DF7B200-BF80-3148-AA34-95166AECD7D0}"/>
    <hyperlink ref="Q15" r:id="rId4" xr:uid="{3305DFFF-2F6F-4EAE-BCF0-50EE74505BCE}"/>
    <hyperlink ref="Q16" r:id="rId5" xr:uid="{5084AAD5-AFF9-4D04-96E3-82B1520558FE}"/>
    <hyperlink ref="Q17" r:id="rId6" xr:uid="{FA892D6C-4BCF-4B37-89BD-D9D6756ED98A}"/>
  </hyperlinks>
  <pageMargins left="0.75" right="0.75" top="1" bottom="1" header="0.5" footer="0.5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2F5597"/>
  </sheetPr>
  <dimension ref="A1:L303"/>
  <sheetViews>
    <sheetView showGridLines="0" workbookViewId="0">
      <pane ySplit="4" topLeftCell="A5" activePane="bottomLeft" state="frozen"/>
      <selection pane="bottomLeft" activeCell="C6" sqref="C6"/>
    </sheetView>
  </sheetViews>
  <sheetFormatPr baseColWidth="10" defaultColWidth="8.83203125" defaultRowHeight="15" x14ac:dyDescent="0.2"/>
  <cols>
    <col min="1" max="1" width="12" customWidth="1"/>
    <col min="2" max="2" width="22" customWidth="1"/>
    <col min="3" max="3" width="10" customWidth="1"/>
    <col min="4" max="4" width="16" customWidth="1"/>
    <col min="5" max="5" width="14" customWidth="1"/>
    <col min="6" max="7" width="16" customWidth="1"/>
    <col min="8" max="8" width="12" customWidth="1"/>
    <col min="9" max="9" width="18" customWidth="1"/>
    <col min="10" max="10" width="22" customWidth="1"/>
  </cols>
  <sheetData>
    <row r="1" spans="1:12" ht="26" customHeight="1" x14ac:dyDescent="0.2">
      <c r="A1" s="48" t="s">
        <v>112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50"/>
    </row>
    <row r="2" spans="1:12" ht="18" customHeight="1" x14ac:dyDescent="0.2">
      <c r="A2" s="77" t="s">
        <v>113</v>
      </c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</row>
    <row r="4" spans="1:12" ht="32" customHeight="1" x14ac:dyDescent="0.2">
      <c r="A4" s="1" t="s">
        <v>114</v>
      </c>
      <c r="B4" s="1" t="s">
        <v>115</v>
      </c>
      <c r="C4" s="1" t="s">
        <v>116</v>
      </c>
      <c r="D4" s="1" t="s">
        <v>117</v>
      </c>
      <c r="E4" s="1" t="s">
        <v>118</v>
      </c>
      <c r="F4" s="1" t="s">
        <v>119</v>
      </c>
      <c r="G4" s="1" t="s">
        <v>120</v>
      </c>
      <c r="H4" s="1" t="s">
        <v>121</v>
      </c>
      <c r="I4" s="1" t="s">
        <v>122</v>
      </c>
      <c r="J4" s="1" t="s">
        <v>101</v>
      </c>
    </row>
    <row r="5" spans="1:12" ht="32" customHeight="1" x14ac:dyDescent="0.2">
      <c r="A5" s="7" t="s">
        <v>123</v>
      </c>
      <c r="B5" s="7" t="s">
        <v>124</v>
      </c>
      <c r="C5" s="6">
        <v>150</v>
      </c>
      <c r="D5" s="4">
        <v>900</v>
      </c>
      <c r="E5" s="11">
        <v>8000</v>
      </c>
      <c r="F5" s="9">
        <f t="shared" ref="F5:F68" si="0">IFERROR(D5/E5,"")</f>
        <v>0.1125</v>
      </c>
      <c r="G5" s="12">
        <v>0.2</v>
      </c>
      <c r="H5" s="12">
        <v>0</v>
      </c>
      <c r="I5" s="9">
        <f t="shared" ref="I5:I68" si="1">IFERROR(SUM(F5:H5),"")</f>
        <v>0.3125</v>
      </c>
      <c r="J5" s="7"/>
    </row>
    <row r="6" spans="1:12" ht="16" customHeight="1" x14ac:dyDescent="0.2">
      <c r="A6" s="7"/>
      <c r="B6" s="7"/>
      <c r="C6" s="6"/>
      <c r="D6" s="4"/>
      <c r="E6" s="11"/>
      <c r="F6" s="9" t="str">
        <f t="shared" si="0"/>
        <v/>
      </c>
      <c r="G6" s="12"/>
      <c r="H6" s="12"/>
      <c r="I6" s="9">
        <f t="shared" si="1"/>
        <v>0</v>
      </c>
      <c r="J6" s="7"/>
    </row>
    <row r="7" spans="1:12" ht="16" customHeight="1" x14ac:dyDescent="0.2">
      <c r="A7" s="7"/>
      <c r="B7" s="7"/>
      <c r="C7" s="6"/>
      <c r="D7" s="4"/>
      <c r="E7" s="11"/>
      <c r="F7" s="9" t="str">
        <f t="shared" si="0"/>
        <v/>
      </c>
      <c r="G7" s="12"/>
      <c r="H7" s="12"/>
      <c r="I7" s="9">
        <f t="shared" si="1"/>
        <v>0</v>
      </c>
      <c r="J7" s="7"/>
    </row>
    <row r="8" spans="1:12" ht="16" customHeight="1" x14ac:dyDescent="0.2">
      <c r="A8" s="7"/>
      <c r="B8" s="7"/>
      <c r="C8" s="6"/>
      <c r="D8" s="4"/>
      <c r="E8" s="11"/>
      <c r="F8" s="9" t="str">
        <f t="shared" si="0"/>
        <v/>
      </c>
      <c r="G8" s="12"/>
      <c r="H8" s="12"/>
      <c r="I8" s="9">
        <f t="shared" si="1"/>
        <v>0</v>
      </c>
      <c r="J8" s="7"/>
    </row>
    <row r="9" spans="1:12" ht="16" customHeight="1" x14ac:dyDescent="0.2">
      <c r="A9" s="7"/>
      <c r="B9" s="7"/>
      <c r="C9" s="6"/>
      <c r="D9" s="4"/>
      <c r="E9" s="11"/>
      <c r="F9" s="9" t="str">
        <f t="shared" si="0"/>
        <v/>
      </c>
      <c r="G9" s="12"/>
      <c r="H9" s="12"/>
      <c r="I9" s="9">
        <f t="shared" si="1"/>
        <v>0</v>
      </c>
      <c r="J9" s="7"/>
    </row>
    <row r="10" spans="1:12" ht="16" customHeight="1" x14ac:dyDescent="0.2">
      <c r="A10" s="7"/>
      <c r="B10" s="7"/>
      <c r="C10" s="6"/>
      <c r="D10" s="4"/>
      <c r="E10" s="11"/>
      <c r="F10" s="9" t="str">
        <f t="shared" si="0"/>
        <v/>
      </c>
      <c r="G10" s="12"/>
      <c r="H10" s="12"/>
      <c r="I10" s="9">
        <f t="shared" si="1"/>
        <v>0</v>
      </c>
      <c r="J10" s="7"/>
    </row>
    <row r="11" spans="1:12" ht="16" customHeight="1" x14ac:dyDescent="0.2">
      <c r="A11" s="7"/>
      <c r="B11" s="7"/>
      <c r="C11" s="6"/>
      <c r="D11" s="4"/>
      <c r="E11" s="11"/>
      <c r="F11" s="9" t="str">
        <f t="shared" si="0"/>
        <v/>
      </c>
      <c r="G11" s="12"/>
      <c r="H11" s="12"/>
      <c r="I11" s="9">
        <f t="shared" si="1"/>
        <v>0</v>
      </c>
      <c r="J11" s="7"/>
    </row>
    <row r="12" spans="1:12" ht="16" customHeight="1" x14ac:dyDescent="0.2">
      <c r="A12" s="7"/>
      <c r="B12" s="7"/>
      <c r="C12" s="6"/>
      <c r="D12" s="4"/>
      <c r="E12" s="11"/>
      <c r="F12" s="9" t="str">
        <f t="shared" si="0"/>
        <v/>
      </c>
      <c r="G12" s="12"/>
      <c r="H12" s="12"/>
      <c r="I12" s="9">
        <f t="shared" si="1"/>
        <v>0</v>
      </c>
      <c r="J12" s="7"/>
    </row>
    <row r="13" spans="1:12" ht="16" customHeight="1" x14ac:dyDescent="0.2">
      <c r="A13" s="7"/>
      <c r="B13" s="7"/>
      <c r="C13" s="6"/>
      <c r="D13" s="4"/>
      <c r="E13" s="11"/>
      <c r="F13" s="9" t="str">
        <f t="shared" si="0"/>
        <v/>
      </c>
      <c r="G13" s="12"/>
      <c r="H13" s="12"/>
      <c r="I13" s="9">
        <f t="shared" si="1"/>
        <v>0</v>
      </c>
      <c r="J13" s="7"/>
    </row>
    <row r="14" spans="1:12" ht="16" customHeight="1" x14ac:dyDescent="0.2">
      <c r="A14" s="7"/>
      <c r="B14" s="7"/>
      <c r="C14" s="6"/>
      <c r="D14" s="4"/>
      <c r="E14" s="11"/>
      <c r="F14" s="9" t="str">
        <f t="shared" si="0"/>
        <v/>
      </c>
      <c r="G14" s="12"/>
      <c r="H14" s="12"/>
      <c r="I14" s="9">
        <f t="shared" si="1"/>
        <v>0</v>
      </c>
      <c r="J14" s="7"/>
    </row>
    <row r="15" spans="1:12" ht="16" customHeight="1" x14ac:dyDescent="0.2">
      <c r="A15" s="7"/>
      <c r="B15" s="7"/>
      <c r="C15" s="6"/>
      <c r="D15" s="4"/>
      <c r="E15" s="11"/>
      <c r="F15" s="9" t="str">
        <f t="shared" si="0"/>
        <v/>
      </c>
      <c r="G15" s="12"/>
      <c r="H15" s="12"/>
      <c r="I15" s="9">
        <f t="shared" si="1"/>
        <v>0</v>
      </c>
      <c r="J15" s="7"/>
    </row>
    <row r="16" spans="1:12" ht="16" customHeight="1" x14ac:dyDescent="0.2">
      <c r="A16" s="7"/>
      <c r="B16" s="7"/>
      <c r="C16" s="6"/>
      <c r="D16" s="4"/>
      <c r="E16" s="11"/>
      <c r="F16" s="9" t="str">
        <f t="shared" si="0"/>
        <v/>
      </c>
      <c r="G16" s="12"/>
      <c r="H16" s="12"/>
      <c r="I16" s="9">
        <f t="shared" si="1"/>
        <v>0</v>
      </c>
      <c r="J16" s="7"/>
    </row>
    <row r="17" spans="1:10" ht="16" customHeight="1" x14ac:dyDescent="0.2">
      <c r="A17" s="7"/>
      <c r="B17" s="7"/>
      <c r="C17" s="6"/>
      <c r="D17" s="4"/>
      <c r="E17" s="11"/>
      <c r="F17" s="9" t="str">
        <f t="shared" si="0"/>
        <v/>
      </c>
      <c r="G17" s="12"/>
      <c r="H17" s="12"/>
      <c r="I17" s="9">
        <f t="shared" si="1"/>
        <v>0</v>
      </c>
      <c r="J17" s="7"/>
    </row>
    <row r="18" spans="1:10" ht="16" customHeight="1" x14ac:dyDescent="0.2">
      <c r="A18" s="7"/>
      <c r="B18" s="7"/>
      <c r="C18" s="6"/>
      <c r="D18" s="4"/>
      <c r="E18" s="11"/>
      <c r="F18" s="9" t="str">
        <f t="shared" si="0"/>
        <v/>
      </c>
      <c r="G18" s="12"/>
      <c r="H18" s="12"/>
      <c r="I18" s="9">
        <f t="shared" si="1"/>
        <v>0</v>
      </c>
      <c r="J18" s="7"/>
    </row>
    <row r="19" spans="1:10" ht="16" customHeight="1" x14ac:dyDescent="0.2">
      <c r="A19" s="7"/>
      <c r="B19" s="7"/>
      <c r="C19" s="6"/>
      <c r="D19" s="4"/>
      <c r="E19" s="11"/>
      <c r="F19" s="9" t="str">
        <f t="shared" si="0"/>
        <v/>
      </c>
      <c r="G19" s="12"/>
      <c r="H19" s="12"/>
      <c r="I19" s="9">
        <f t="shared" si="1"/>
        <v>0</v>
      </c>
      <c r="J19" s="7"/>
    </row>
    <row r="20" spans="1:10" ht="16" customHeight="1" x14ac:dyDescent="0.2">
      <c r="A20" s="7"/>
      <c r="B20" s="7"/>
      <c r="C20" s="6"/>
      <c r="D20" s="4"/>
      <c r="E20" s="11"/>
      <c r="F20" s="9" t="str">
        <f t="shared" si="0"/>
        <v/>
      </c>
      <c r="G20" s="12"/>
      <c r="H20" s="12"/>
      <c r="I20" s="9">
        <f t="shared" si="1"/>
        <v>0</v>
      </c>
      <c r="J20" s="7"/>
    </row>
    <row r="21" spans="1:10" ht="16" customHeight="1" x14ac:dyDescent="0.2">
      <c r="A21" s="7"/>
      <c r="B21" s="7"/>
      <c r="C21" s="6"/>
      <c r="D21" s="4"/>
      <c r="E21" s="11"/>
      <c r="F21" s="9" t="str">
        <f t="shared" si="0"/>
        <v/>
      </c>
      <c r="G21" s="12"/>
      <c r="H21" s="12"/>
      <c r="I21" s="9">
        <f t="shared" si="1"/>
        <v>0</v>
      </c>
      <c r="J21" s="7"/>
    </row>
    <row r="22" spans="1:10" ht="16" customHeight="1" x14ac:dyDescent="0.2">
      <c r="A22" s="7"/>
      <c r="B22" s="7"/>
      <c r="C22" s="6"/>
      <c r="D22" s="4"/>
      <c r="E22" s="11"/>
      <c r="F22" s="9" t="str">
        <f t="shared" si="0"/>
        <v/>
      </c>
      <c r="G22" s="12"/>
      <c r="H22" s="12"/>
      <c r="I22" s="9">
        <f t="shared" si="1"/>
        <v>0</v>
      </c>
      <c r="J22" s="7"/>
    </row>
    <row r="23" spans="1:10" ht="16" customHeight="1" x14ac:dyDescent="0.2">
      <c r="A23" s="7"/>
      <c r="B23" s="7"/>
      <c r="C23" s="6"/>
      <c r="D23" s="4"/>
      <c r="E23" s="11"/>
      <c r="F23" s="9" t="str">
        <f t="shared" si="0"/>
        <v/>
      </c>
      <c r="G23" s="12"/>
      <c r="H23" s="12"/>
      <c r="I23" s="9">
        <f t="shared" si="1"/>
        <v>0</v>
      </c>
      <c r="J23" s="7"/>
    </row>
    <row r="24" spans="1:10" ht="16" customHeight="1" x14ac:dyDescent="0.2">
      <c r="A24" s="7"/>
      <c r="B24" s="7"/>
      <c r="C24" s="6"/>
      <c r="D24" s="4"/>
      <c r="E24" s="11"/>
      <c r="F24" s="9" t="str">
        <f t="shared" si="0"/>
        <v/>
      </c>
      <c r="G24" s="12"/>
      <c r="H24" s="12"/>
      <c r="I24" s="9">
        <f t="shared" si="1"/>
        <v>0</v>
      </c>
      <c r="J24" s="7"/>
    </row>
    <row r="25" spans="1:10" ht="16" customHeight="1" x14ac:dyDescent="0.2">
      <c r="A25" s="7"/>
      <c r="B25" s="7"/>
      <c r="C25" s="6"/>
      <c r="D25" s="4"/>
      <c r="E25" s="11"/>
      <c r="F25" s="9" t="str">
        <f t="shared" si="0"/>
        <v/>
      </c>
      <c r="G25" s="12"/>
      <c r="H25" s="12"/>
      <c r="I25" s="9">
        <f t="shared" si="1"/>
        <v>0</v>
      </c>
      <c r="J25" s="7"/>
    </row>
    <row r="26" spans="1:10" ht="16" customHeight="1" x14ac:dyDescent="0.2">
      <c r="A26" s="7"/>
      <c r="B26" s="7"/>
      <c r="C26" s="6"/>
      <c r="D26" s="4"/>
      <c r="E26" s="11"/>
      <c r="F26" s="9" t="str">
        <f t="shared" si="0"/>
        <v/>
      </c>
      <c r="G26" s="12"/>
      <c r="H26" s="12"/>
      <c r="I26" s="9">
        <f t="shared" si="1"/>
        <v>0</v>
      </c>
      <c r="J26" s="7"/>
    </row>
    <row r="27" spans="1:10" ht="16" customHeight="1" x14ac:dyDescent="0.2">
      <c r="A27" s="7"/>
      <c r="B27" s="7"/>
      <c r="C27" s="6"/>
      <c r="D27" s="4"/>
      <c r="E27" s="11"/>
      <c r="F27" s="9" t="str">
        <f t="shared" si="0"/>
        <v/>
      </c>
      <c r="G27" s="12"/>
      <c r="H27" s="12"/>
      <c r="I27" s="9">
        <f t="shared" si="1"/>
        <v>0</v>
      </c>
      <c r="J27" s="7"/>
    </row>
    <row r="28" spans="1:10" ht="16" customHeight="1" x14ac:dyDescent="0.2">
      <c r="A28" s="7"/>
      <c r="B28" s="7"/>
      <c r="C28" s="6"/>
      <c r="D28" s="4"/>
      <c r="E28" s="11"/>
      <c r="F28" s="9" t="str">
        <f t="shared" si="0"/>
        <v/>
      </c>
      <c r="G28" s="12"/>
      <c r="H28" s="12"/>
      <c r="I28" s="9">
        <f t="shared" si="1"/>
        <v>0</v>
      </c>
      <c r="J28" s="7"/>
    </row>
    <row r="29" spans="1:10" ht="16" customHeight="1" x14ac:dyDescent="0.2">
      <c r="A29" s="7"/>
      <c r="B29" s="7"/>
      <c r="C29" s="6"/>
      <c r="D29" s="4"/>
      <c r="E29" s="11"/>
      <c r="F29" s="9" t="str">
        <f t="shared" si="0"/>
        <v/>
      </c>
      <c r="G29" s="12"/>
      <c r="H29" s="12"/>
      <c r="I29" s="9">
        <f t="shared" si="1"/>
        <v>0</v>
      </c>
      <c r="J29" s="7"/>
    </row>
    <row r="30" spans="1:10" ht="16" customHeight="1" x14ac:dyDescent="0.2">
      <c r="A30" s="7"/>
      <c r="B30" s="7"/>
      <c r="C30" s="6"/>
      <c r="D30" s="4"/>
      <c r="E30" s="11"/>
      <c r="F30" s="9" t="str">
        <f t="shared" si="0"/>
        <v/>
      </c>
      <c r="G30" s="12"/>
      <c r="H30" s="12"/>
      <c r="I30" s="9">
        <f t="shared" si="1"/>
        <v>0</v>
      </c>
      <c r="J30" s="7"/>
    </row>
    <row r="31" spans="1:10" ht="16" customHeight="1" x14ac:dyDescent="0.2">
      <c r="A31" s="7"/>
      <c r="B31" s="7"/>
      <c r="C31" s="6"/>
      <c r="D31" s="4"/>
      <c r="E31" s="11"/>
      <c r="F31" s="9" t="str">
        <f t="shared" si="0"/>
        <v/>
      </c>
      <c r="G31" s="12"/>
      <c r="H31" s="12"/>
      <c r="I31" s="9">
        <f t="shared" si="1"/>
        <v>0</v>
      </c>
      <c r="J31" s="7"/>
    </row>
    <row r="32" spans="1:10" ht="16" customHeight="1" x14ac:dyDescent="0.2">
      <c r="A32" s="7"/>
      <c r="B32" s="7"/>
      <c r="C32" s="6"/>
      <c r="D32" s="4"/>
      <c r="E32" s="11"/>
      <c r="F32" s="9" t="str">
        <f t="shared" si="0"/>
        <v/>
      </c>
      <c r="G32" s="12"/>
      <c r="H32" s="12"/>
      <c r="I32" s="9">
        <f t="shared" si="1"/>
        <v>0</v>
      </c>
      <c r="J32" s="7"/>
    </row>
    <row r="33" spans="1:10" ht="16" customHeight="1" x14ac:dyDescent="0.2">
      <c r="A33" s="7"/>
      <c r="B33" s="7"/>
      <c r="C33" s="6"/>
      <c r="D33" s="4"/>
      <c r="E33" s="11"/>
      <c r="F33" s="9" t="str">
        <f t="shared" si="0"/>
        <v/>
      </c>
      <c r="G33" s="12"/>
      <c r="H33" s="12"/>
      <c r="I33" s="9">
        <f t="shared" si="1"/>
        <v>0</v>
      </c>
      <c r="J33" s="7"/>
    </row>
    <row r="34" spans="1:10" ht="16" customHeight="1" x14ac:dyDescent="0.2">
      <c r="A34" s="7"/>
      <c r="B34" s="7"/>
      <c r="C34" s="6"/>
      <c r="D34" s="4"/>
      <c r="E34" s="11"/>
      <c r="F34" s="9" t="str">
        <f t="shared" si="0"/>
        <v/>
      </c>
      <c r="G34" s="12"/>
      <c r="H34" s="12"/>
      <c r="I34" s="9">
        <f t="shared" si="1"/>
        <v>0</v>
      </c>
      <c r="J34" s="7"/>
    </row>
    <row r="35" spans="1:10" ht="16" customHeight="1" x14ac:dyDescent="0.2">
      <c r="A35" s="7"/>
      <c r="B35" s="7"/>
      <c r="C35" s="6"/>
      <c r="D35" s="4"/>
      <c r="E35" s="11"/>
      <c r="F35" s="9" t="str">
        <f t="shared" si="0"/>
        <v/>
      </c>
      <c r="G35" s="12"/>
      <c r="H35" s="12"/>
      <c r="I35" s="9">
        <f t="shared" si="1"/>
        <v>0</v>
      </c>
      <c r="J35" s="7"/>
    </row>
    <row r="36" spans="1:10" ht="16" customHeight="1" x14ac:dyDescent="0.2">
      <c r="A36" s="7"/>
      <c r="B36" s="7"/>
      <c r="C36" s="6"/>
      <c r="D36" s="4"/>
      <c r="E36" s="11"/>
      <c r="F36" s="9" t="str">
        <f t="shared" si="0"/>
        <v/>
      </c>
      <c r="G36" s="12"/>
      <c r="H36" s="12"/>
      <c r="I36" s="9">
        <f t="shared" si="1"/>
        <v>0</v>
      </c>
      <c r="J36" s="7"/>
    </row>
    <row r="37" spans="1:10" ht="16" customHeight="1" x14ac:dyDescent="0.2">
      <c r="A37" s="7"/>
      <c r="B37" s="7"/>
      <c r="C37" s="6"/>
      <c r="D37" s="4"/>
      <c r="E37" s="11"/>
      <c r="F37" s="9" t="str">
        <f t="shared" si="0"/>
        <v/>
      </c>
      <c r="G37" s="12"/>
      <c r="H37" s="12"/>
      <c r="I37" s="9">
        <f t="shared" si="1"/>
        <v>0</v>
      </c>
      <c r="J37" s="7"/>
    </row>
    <row r="38" spans="1:10" ht="16" customHeight="1" x14ac:dyDescent="0.2">
      <c r="A38" s="7"/>
      <c r="B38" s="7"/>
      <c r="C38" s="6"/>
      <c r="D38" s="4"/>
      <c r="E38" s="11"/>
      <c r="F38" s="9" t="str">
        <f t="shared" si="0"/>
        <v/>
      </c>
      <c r="G38" s="12"/>
      <c r="H38" s="12"/>
      <c r="I38" s="9">
        <f t="shared" si="1"/>
        <v>0</v>
      </c>
      <c r="J38" s="7"/>
    </row>
    <row r="39" spans="1:10" ht="16" customHeight="1" x14ac:dyDescent="0.2">
      <c r="A39" s="7"/>
      <c r="B39" s="7"/>
      <c r="C39" s="6"/>
      <c r="D39" s="4"/>
      <c r="E39" s="11"/>
      <c r="F39" s="9" t="str">
        <f t="shared" si="0"/>
        <v/>
      </c>
      <c r="G39" s="12"/>
      <c r="H39" s="12"/>
      <c r="I39" s="9">
        <f t="shared" si="1"/>
        <v>0</v>
      </c>
      <c r="J39" s="7"/>
    </row>
    <row r="40" spans="1:10" ht="16" customHeight="1" x14ac:dyDescent="0.2">
      <c r="A40" s="7"/>
      <c r="B40" s="7"/>
      <c r="C40" s="6"/>
      <c r="D40" s="4"/>
      <c r="E40" s="11"/>
      <c r="F40" s="9" t="str">
        <f t="shared" si="0"/>
        <v/>
      </c>
      <c r="G40" s="12"/>
      <c r="H40" s="12"/>
      <c r="I40" s="9">
        <f t="shared" si="1"/>
        <v>0</v>
      </c>
      <c r="J40" s="7"/>
    </row>
    <row r="41" spans="1:10" ht="16" customHeight="1" x14ac:dyDescent="0.2">
      <c r="A41" s="7"/>
      <c r="B41" s="7"/>
      <c r="C41" s="6"/>
      <c r="D41" s="4"/>
      <c r="E41" s="11"/>
      <c r="F41" s="9" t="str">
        <f t="shared" si="0"/>
        <v/>
      </c>
      <c r="G41" s="12"/>
      <c r="H41" s="12"/>
      <c r="I41" s="9">
        <f t="shared" si="1"/>
        <v>0</v>
      </c>
      <c r="J41" s="7"/>
    </row>
    <row r="42" spans="1:10" ht="16" customHeight="1" x14ac:dyDescent="0.2">
      <c r="A42" s="7"/>
      <c r="B42" s="7"/>
      <c r="C42" s="6"/>
      <c r="D42" s="4"/>
      <c r="E42" s="11"/>
      <c r="F42" s="9" t="str">
        <f t="shared" si="0"/>
        <v/>
      </c>
      <c r="G42" s="12"/>
      <c r="H42" s="12"/>
      <c r="I42" s="9">
        <f t="shared" si="1"/>
        <v>0</v>
      </c>
      <c r="J42" s="7"/>
    </row>
    <row r="43" spans="1:10" ht="16" customHeight="1" x14ac:dyDescent="0.2">
      <c r="A43" s="7"/>
      <c r="B43" s="7"/>
      <c r="C43" s="6"/>
      <c r="D43" s="4"/>
      <c r="E43" s="11"/>
      <c r="F43" s="9" t="str">
        <f t="shared" si="0"/>
        <v/>
      </c>
      <c r="G43" s="12"/>
      <c r="H43" s="12"/>
      <c r="I43" s="9">
        <f t="shared" si="1"/>
        <v>0</v>
      </c>
      <c r="J43" s="7"/>
    </row>
    <row r="44" spans="1:10" ht="16" customHeight="1" x14ac:dyDescent="0.2">
      <c r="A44" s="7"/>
      <c r="B44" s="7"/>
      <c r="C44" s="6"/>
      <c r="D44" s="4"/>
      <c r="E44" s="11"/>
      <c r="F44" s="9" t="str">
        <f t="shared" si="0"/>
        <v/>
      </c>
      <c r="G44" s="12"/>
      <c r="H44" s="12"/>
      <c r="I44" s="9">
        <f t="shared" si="1"/>
        <v>0</v>
      </c>
      <c r="J44" s="7"/>
    </row>
    <row r="45" spans="1:10" ht="16" customHeight="1" x14ac:dyDescent="0.2">
      <c r="A45" s="7"/>
      <c r="B45" s="7"/>
      <c r="C45" s="6"/>
      <c r="D45" s="4"/>
      <c r="E45" s="11"/>
      <c r="F45" s="9" t="str">
        <f t="shared" si="0"/>
        <v/>
      </c>
      <c r="G45" s="12"/>
      <c r="H45" s="12"/>
      <c r="I45" s="9">
        <f t="shared" si="1"/>
        <v>0</v>
      </c>
      <c r="J45" s="7"/>
    </row>
    <row r="46" spans="1:10" ht="16" customHeight="1" x14ac:dyDescent="0.2">
      <c r="A46" s="7"/>
      <c r="B46" s="7"/>
      <c r="C46" s="6"/>
      <c r="D46" s="4"/>
      <c r="E46" s="11"/>
      <c r="F46" s="9" t="str">
        <f t="shared" si="0"/>
        <v/>
      </c>
      <c r="G46" s="12"/>
      <c r="H46" s="12"/>
      <c r="I46" s="9">
        <f t="shared" si="1"/>
        <v>0</v>
      </c>
      <c r="J46" s="7"/>
    </row>
    <row r="47" spans="1:10" ht="16" customHeight="1" x14ac:dyDescent="0.2">
      <c r="A47" s="7"/>
      <c r="B47" s="7"/>
      <c r="C47" s="6"/>
      <c r="D47" s="4"/>
      <c r="E47" s="11"/>
      <c r="F47" s="9" t="str">
        <f t="shared" si="0"/>
        <v/>
      </c>
      <c r="G47" s="12"/>
      <c r="H47" s="12"/>
      <c r="I47" s="9">
        <f t="shared" si="1"/>
        <v>0</v>
      </c>
      <c r="J47" s="7"/>
    </row>
    <row r="48" spans="1:10" ht="16" customHeight="1" x14ac:dyDescent="0.2">
      <c r="A48" s="7"/>
      <c r="B48" s="7"/>
      <c r="C48" s="6"/>
      <c r="D48" s="4"/>
      <c r="E48" s="11"/>
      <c r="F48" s="9" t="str">
        <f t="shared" si="0"/>
        <v/>
      </c>
      <c r="G48" s="12"/>
      <c r="H48" s="12"/>
      <c r="I48" s="9">
        <f t="shared" si="1"/>
        <v>0</v>
      </c>
      <c r="J48" s="7"/>
    </row>
    <row r="49" spans="1:10" ht="16" customHeight="1" x14ac:dyDescent="0.2">
      <c r="A49" s="7"/>
      <c r="B49" s="7"/>
      <c r="C49" s="6"/>
      <c r="D49" s="4"/>
      <c r="E49" s="11"/>
      <c r="F49" s="9" t="str">
        <f t="shared" si="0"/>
        <v/>
      </c>
      <c r="G49" s="12"/>
      <c r="H49" s="12"/>
      <c r="I49" s="9">
        <f t="shared" si="1"/>
        <v>0</v>
      </c>
      <c r="J49" s="7"/>
    </row>
    <row r="50" spans="1:10" ht="16" customHeight="1" x14ac:dyDescent="0.2">
      <c r="A50" s="7"/>
      <c r="B50" s="7"/>
      <c r="C50" s="6"/>
      <c r="D50" s="4"/>
      <c r="E50" s="11"/>
      <c r="F50" s="9" t="str">
        <f t="shared" si="0"/>
        <v/>
      </c>
      <c r="G50" s="12"/>
      <c r="H50" s="12"/>
      <c r="I50" s="9">
        <f t="shared" si="1"/>
        <v>0</v>
      </c>
      <c r="J50" s="7"/>
    </row>
    <row r="51" spans="1:10" ht="16" customHeight="1" x14ac:dyDescent="0.2">
      <c r="A51" s="7"/>
      <c r="B51" s="7"/>
      <c r="C51" s="6"/>
      <c r="D51" s="4"/>
      <c r="E51" s="11"/>
      <c r="F51" s="9" t="str">
        <f t="shared" si="0"/>
        <v/>
      </c>
      <c r="G51" s="12"/>
      <c r="H51" s="12"/>
      <c r="I51" s="9">
        <f t="shared" si="1"/>
        <v>0</v>
      </c>
      <c r="J51" s="7"/>
    </row>
    <row r="52" spans="1:10" ht="16" customHeight="1" x14ac:dyDescent="0.2">
      <c r="A52" s="7"/>
      <c r="B52" s="7"/>
      <c r="C52" s="6"/>
      <c r="D52" s="4"/>
      <c r="E52" s="11"/>
      <c r="F52" s="9" t="str">
        <f t="shared" si="0"/>
        <v/>
      </c>
      <c r="G52" s="12"/>
      <c r="H52" s="12"/>
      <c r="I52" s="9">
        <f t="shared" si="1"/>
        <v>0</v>
      </c>
      <c r="J52" s="7"/>
    </row>
    <row r="53" spans="1:10" ht="16" customHeight="1" x14ac:dyDescent="0.2">
      <c r="A53" s="7"/>
      <c r="B53" s="7"/>
      <c r="C53" s="6"/>
      <c r="D53" s="4"/>
      <c r="E53" s="11"/>
      <c r="F53" s="9" t="str">
        <f t="shared" si="0"/>
        <v/>
      </c>
      <c r="G53" s="12"/>
      <c r="H53" s="12"/>
      <c r="I53" s="9">
        <f t="shared" si="1"/>
        <v>0</v>
      </c>
      <c r="J53" s="7"/>
    </row>
    <row r="54" spans="1:10" ht="16" customHeight="1" x14ac:dyDescent="0.2">
      <c r="A54" s="7"/>
      <c r="B54" s="7"/>
      <c r="C54" s="6"/>
      <c r="D54" s="4"/>
      <c r="E54" s="11"/>
      <c r="F54" s="9" t="str">
        <f t="shared" si="0"/>
        <v/>
      </c>
      <c r="G54" s="12"/>
      <c r="H54" s="12"/>
      <c r="I54" s="9">
        <f t="shared" si="1"/>
        <v>0</v>
      </c>
      <c r="J54" s="7"/>
    </row>
    <row r="55" spans="1:10" ht="16" customHeight="1" x14ac:dyDescent="0.2">
      <c r="A55" s="7"/>
      <c r="B55" s="7"/>
      <c r="C55" s="6"/>
      <c r="D55" s="4"/>
      <c r="E55" s="11"/>
      <c r="F55" s="9" t="str">
        <f t="shared" si="0"/>
        <v/>
      </c>
      <c r="G55" s="12"/>
      <c r="H55" s="12"/>
      <c r="I55" s="9">
        <f t="shared" si="1"/>
        <v>0</v>
      </c>
      <c r="J55" s="7"/>
    </row>
    <row r="56" spans="1:10" ht="16" customHeight="1" x14ac:dyDescent="0.2">
      <c r="A56" s="7"/>
      <c r="B56" s="7"/>
      <c r="C56" s="6"/>
      <c r="D56" s="4"/>
      <c r="E56" s="11"/>
      <c r="F56" s="9" t="str">
        <f t="shared" si="0"/>
        <v/>
      </c>
      <c r="G56" s="12"/>
      <c r="H56" s="12"/>
      <c r="I56" s="9">
        <f t="shared" si="1"/>
        <v>0</v>
      </c>
      <c r="J56" s="7"/>
    </row>
    <row r="57" spans="1:10" ht="16" customHeight="1" x14ac:dyDescent="0.2">
      <c r="A57" s="7"/>
      <c r="B57" s="7"/>
      <c r="C57" s="6"/>
      <c r="D57" s="4"/>
      <c r="E57" s="11"/>
      <c r="F57" s="9" t="str">
        <f t="shared" si="0"/>
        <v/>
      </c>
      <c r="G57" s="12"/>
      <c r="H57" s="12"/>
      <c r="I57" s="9">
        <f t="shared" si="1"/>
        <v>0</v>
      </c>
      <c r="J57" s="7"/>
    </row>
    <row r="58" spans="1:10" ht="16" customHeight="1" x14ac:dyDescent="0.2">
      <c r="A58" s="7"/>
      <c r="B58" s="7"/>
      <c r="C58" s="6"/>
      <c r="D58" s="4"/>
      <c r="E58" s="11"/>
      <c r="F58" s="9" t="str">
        <f t="shared" si="0"/>
        <v/>
      </c>
      <c r="G58" s="12"/>
      <c r="H58" s="12"/>
      <c r="I58" s="9">
        <f t="shared" si="1"/>
        <v>0</v>
      </c>
      <c r="J58" s="7"/>
    </row>
    <row r="59" spans="1:10" ht="16" customHeight="1" x14ac:dyDescent="0.2">
      <c r="A59" s="7"/>
      <c r="B59" s="7"/>
      <c r="C59" s="6"/>
      <c r="D59" s="4"/>
      <c r="E59" s="11"/>
      <c r="F59" s="9" t="str">
        <f t="shared" si="0"/>
        <v/>
      </c>
      <c r="G59" s="12"/>
      <c r="H59" s="12"/>
      <c r="I59" s="9">
        <f t="shared" si="1"/>
        <v>0</v>
      </c>
      <c r="J59" s="7"/>
    </row>
    <row r="60" spans="1:10" ht="16" customHeight="1" x14ac:dyDescent="0.2">
      <c r="A60" s="7"/>
      <c r="B60" s="7"/>
      <c r="C60" s="6"/>
      <c r="D60" s="4"/>
      <c r="E60" s="11"/>
      <c r="F60" s="9" t="str">
        <f t="shared" si="0"/>
        <v/>
      </c>
      <c r="G60" s="12"/>
      <c r="H60" s="12"/>
      <c r="I60" s="9">
        <f t="shared" si="1"/>
        <v>0</v>
      </c>
      <c r="J60" s="7"/>
    </row>
    <row r="61" spans="1:10" ht="16" customHeight="1" x14ac:dyDescent="0.2">
      <c r="A61" s="7"/>
      <c r="B61" s="7"/>
      <c r="C61" s="6"/>
      <c r="D61" s="4"/>
      <c r="E61" s="11"/>
      <c r="F61" s="9" t="str">
        <f t="shared" si="0"/>
        <v/>
      </c>
      <c r="G61" s="12"/>
      <c r="H61" s="12"/>
      <c r="I61" s="9">
        <f t="shared" si="1"/>
        <v>0</v>
      </c>
      <c r="J61" s="7"/>
    </row>
    <row r="62" spans="1:10" ht="16" customHeight="1" x14ac:dyDescent="0.2">
      <c r="A62" s="7"/>
      <c r="B62" s="7"/>
      <c r="C62" s="6"/>
      <c r="D62" s="4"/>
      <c r="E62" s="11"/>
      <c r="F62" s="9" t="str">
        <f t="shared" si="0"/>
        <v/>
      </c>
      <c r="G62" s="12"/>
      <c r="H62" s="12"/>
      <c r="I62" s="9">
        <f t="shared" si="1"/>
        <v>0</v>
      </c>
      <c r="J62" s="7"/>
    </row>
    <row r="63" spans="1:10" ht="16" customHeight="1" x14ac:dyDescent="0.2">
      <c r="A63" s="7"/>
      <c r="B63" s="7"/>
      <c r="C63" s="6"/>
      <c r="D63" s="4"/>
      <c r="E63" s="11"/>
      <c r="F63" s="9" t="str">
        <f t="shared" si="0"/>
        <v/>
      </c>
      <c r="G63" s="12"/>
      <c r="H63" s="12"/>
      <c r="I63" s="9">
        <f t="shared" si="1"/>
        <v>0</v>
      </c>
      <c r="J63" s="7"/>
    </row>
    <row r="64" spans="1:10" ht="16" customHeight="1" x14ac:dyDescent="0.2">
      <c r="A64" s="7"/>
      <c r="B64" s="7"/>
      <c r="C64" s="6"/>
      <c r="D64" s="4"/>
      <c r="E64" s="11"/>
      <c r="F64" s="9" t="str">
        <f t="shared" si="0"/>
        <v/>
      </c>
      <c r="G64" s="12"/>
      <c r="H64" s="12"/>
      <c r="I64" s="9">
        <f t="shared" si="1"/>
        <v>0</v>
      </c>
      <c r="J64" s="7"/>
    </row>
    <row r="65" spans="1:10" ht="16" customHeight="1" x14ac:dyDescent="0.2">
      <c r="A65" s="7"/>
      <c r="B65" s="7"/>
      <c r="C65" s="6"/>
      <c r="D65" s="4"/>
      <c r="E65" s="11"/>
      <c r="F65" s="9" t="str">
        <f t="shared" si="0"/>
        <v/>
      </c>
      <c r="G65" s="12"/>
      <c r="H65" s="12"/>
      <c r="I65" s="9">
        <f t="shared" si="1"/>
        <v>0</v>
      </c>
      <c r="J65" s="7"/>
    </row>
    <row r="66" spans="1:10" ht="16" customHeight="1" x14ac:dyDescent="0.2">
      <c r="A66" s="7"/>
      <c r="B66" s="7"/>
      <c r="C66" s="6"/>
      <c r="D66" s="4"/>
      <c r="E66" s="11"/>
      <c r="F66" s="9" t="str">
        <f t="shared" si="0"/>
        <v/>
      </c>
      <c r="G66" s="12"/>
      <c r="H66" s="12"/>
      <c r="I66" s="9">
        <f t="shared" si="1"/>
        <v>0</v>
      </c>
      <c r="J66" s="7"/>
    </row>
    <row r="67" spans="1:10" ht="16" customHeight="1" x14ac:dyDescent="0.2">
      <c r="A67" s="7"/>
      <c r="B67" s="7"/>
      <c r="C67" s="6"/>
      <c r="D67" s="4"/>
      <c r="E67" s="11"/>
      <c r="F67" s="9" t="str">
        <f t="shared" si="0"/>
        <v/>
      </c>
      <c r="G67" s="12"/>
      <c r="H67" s="12"/>
      <c r="I67" s="9">
        <f t="shared" si="1"/>
        <v>0</v>
      </c>
      <c r="J67" s="7"/>
    </row>
    <row r="68" spans="1:10" ht="16" customHeight="1" x14ac:dyDescent="0.2">
      <c r="A68" s="7"/>
      <c r="B68" s="7"/>
      <c r="C68" s="6"/>
      <c r="D68" s="4"/>
      <c r="E68" s="11"/>
      <c r="F68" s="9" t="str">
        <f t="shared" si="0"/>
        <v/>
      </c>
      <c r="G68" s="12"/>
      <c r="H68" s="12"/>
      <c r="I68" s="9">
        <f t="shared" si="1"/>
        <v>0</v>
      </c>
      <c r="J68" s="7"/>
    </row>
    <row r="69" spans="1:10" ht="16" customHeight="1" x14ac:dyDescent="0.2">
      <c r="A69" s="7"/>
      <c r="B69" s="7"/>
      <c r="C69" s="6"/>
      <c r="D69" s="4"/>
      <c r="E69" s="11"/>
      <c r="F69" s="9" t="str">
        <f t="shared" ref="F69:F132" si="2">IFERROR(D69/E69,"")</f>
        <v/>
      </c>
      <c r="G69" s="12"/>
      <c r="H69" s="12"/>
      <c r="I69" s="9">
        <f t="shared" ref="I69:I132" si="3">IFERROR(SUM(F69:H69),"")</f>
        <v>0</v>
      </c>
      <c r="J69" s="7"/>
    </row>
    <row r="70" spans="1:10" ht="16" customHeight="1" x14ac:dyDescent="0.2">
      <c r="A70" s="7"/>
      <c r="B70" s="7"/>
      <c r="C70" s="6"/>
      <c r="D70" s="4"/>
      <c r="E70" s="11"/>
      <c r="F70" s="9" t="str">
        <f t="shared" si="2"/>
        <v/>
      </c>
      <c r="G70" s="12"/>
      <c r="H70" s="12"/>
      <c r="I70" s="9">
        <f t="shared" si="3"/>
        <v>0</v>
      </c>
      <c r="J70" s="7"/>
    </row>
    <row r="71" spans="1:10" ht="16" customHeight="1" x14ac:dyDescent="0.2">
      <c r="A71" s="7"/>
      <c r="B71" s="7"/>
      <c r="C71" s="6"/>
      <c r="D71" s="4"/>
      <c r="E71" s="11"/>
      <c r="F71" s="9" t="str">
        <f t="shared" si="2"/>
        <v/>
      </c>
      <c r="G71" s="12"/>
      <c r="H71" s="12"/>
      <c r="I71" s="9">
        <f t="shared" si="3"/>
        <v>0</v>
      </c>
      <c r="J71" s="7"/>
    </row>
    <row r="72" spans="1:10" ht="16" customHeight="1" x14ac:dyDescent="0.2">
      <c r="A72" s="7"/>
      <c r="B72" s="7"/>
      <c r="C72" s="6"/>
      <c r="D72" s="4"/>
      <c r="E72" s="11"/>
      <c r="F72" s="9" t="str">
        <f t="shared" si="2"/>
        <v/>
      </c>
      <c r="G72" s="12"/>
      <c r="H72" s="12"/>
      <c r="I72" s="9">
        <f t="shared" si="3"/>
        <v>0</v>
      </c>
      <c r="J72" s="7"/>
    </row>
    <row r="73" spans="1:10" ht="16" customHeight="1" x14ac:dyDescent="0.2">
      <c r="A73" s="7"/>
      <c r="B73" s="7"/>
      <c r="C73" s="6"/>
      <c r="D73" s="4"/>
      <c r="E73" s="11"/>
      <c r="F73" s="9" t="str">
        <f t="shared" si="2"/>
        <v/>
      </c>
      <c r="G73" s="12"/>
      <c r="H73" s="12"/>
      <c r="I73" s="9">
        <f t="shared" si="3"/>
        <v>0</v>
      </c>
      <c r="J73" s="7"/>
    </row>
    <row r="74" spans="1:10" ht="16" customHeight="1" x14ac:dyDescent="0.2">
      <c r="A74" s="7"/>
      <c r="B74" s="7"/>
      <c r="C74" s="6"/>
      <c r="D74" s="4"/>
      <c r="E74" s="11"/>
      <c r="F74" s="9" t="str">
        <f t="shared" si="2"/>
        <v/>
      </c>
      <c r="G74" s="12"/>
      <c r="H74" s="12"/>
      <c r="I74" s="9">
        <f t="shared" si="3"/>
        <v>0</v>
      </c>
      <c r="J74" s="7"/>
    </row>
    <row r="75" spans="1:10" ht="16" customHeight="1" x14ac:dyDescent="0.2">
      <c r="A75" s="7"/>
      <c r="B75" s="7"/>
      <c r="C75" s="6"/>
      <c r="D75" s="4"/>
      <c r="E75" s="11"/>
      <c r="F75" s="9" t="str">
        <f t="shared" si="2"/>
        <v/>
      </c>
      <c r="G75" s="12"/>
      <c r="H75" s="12"/>
      <c r="I75" s="9">
        <f t="shared" si="3"/>
        <v>0</v>
      </c>
      <c r="J75" s="7"/>
    </row>
    <row r="76" spans="1:10" ht="16" customHeight="1" x14ac:dyDescent="0.2">
      <c r="A76" s="7"/>
      <c r="B76" s="7"/>
      <c r="C76" s="6"/>
      <c r="D76" s="4"/>
      <c r="E76" s="11"/>
      <c r="F76" s="9" t="str">
        <f t="shared" si="2"/>
        <v/>
      </c>
      <c r="G76" s="12"/>
      <c r="H76" s="12"/>
      <c r="I76" s="9">
        <f t="shared" si="3"/>
        <v>0</v>
      </c>
      <c r="J76" s="7"/>
    </row>
    <row r="77" spans="1:10" ht="16" customHeight="1" x14ac:dyDescent="0.2">
      <c r="A77" s="7"/>
      <c r="B77" s="7"/>
      <c r="C77" s="6"/>
      <c r="D77" s="4"/>
      <c r="E77" s="11"/>
      <c r="F77" s="9" t="str">
        <f t="shared" si="2"/>
        <v/>
      </c>
      <c r="G77" s="12"/>
      <c r="H77" s="12"/>
      <c r="I77" s="9">
        <f t="shared" si="3"/>
        <v>0</v>
      </c>
      <c r="J77" s="7"/>
    </row>
    <row r="78" spans="1:10" ht="16" customHeight="1" x14ac:dyDescent="0.2">
      <c r="A78" s="7"/>
      <c r="B78" s="7"/>
      <c r="C78" s="6"/>
      <c r="D78" s="4"/>
      <c r="E78" s="11"/>
      <c r="F78" s="9" t="str">
        <f t="shared" si="2"/>
        <v/>
      </c>
      <c r="G78" s="12"/>
      <c r="H78" s="12"/>
      <c r="I78" s="9">
        <f t="shared" si="3"/>
        <v>0</v>
      </c>
      <c r="J78" s="7"/>
    </row>
    <row r="79" spans="1:10" ht="16" customHeight="1" x14ac:dyDescent="0.2">
      <c r="A79" s="7"/>
      <c r="B79" s="7"/>
      <c r="C79" s="6"/>
      <c r="D79" s="4"/>
      <c r="E79" s="11"/>
      <c r="F79" s="9" t="str">
        <f t="shared" si="2"/>
        <v/>
      </c>
      <c r="G79" s="12"/>
      <c r="H79" s="12"/>
      <c r="I79" s="9">
        <f t="shared" si="3"/>
        <v>0</v>
      </c>
      <c r="J79" s="7"/>
    </row>
    <row r="80" spans="1:10" ht="16" customHeight="1" x14ac:dyDescent="0.2">
      <c r="A80" s="7"/>
      <c r="B80" s="7"/>
      <c r="C80" s="6"/>
      <c r="D80" s="4"/>
      <c r="E80" s="11"/>
      <c r="F80" s="9" t="str">
        <f t="shared" si="2"/>
        <v/>
      </c>
      <c r="G80" s="12"/>
      <c r="H80" s="12"/>
      <c r="I80" s="9">
        <f t="shared" si="3"/>
        <v>0</v>
      </c>
      <c r="J80" s="7"/>
    </row>
    <row r="81" spans="1:10" ht="16" customHeight="1" x14ac:dyDescent="0.2">
      <c r="A81" s="7"/>
      <c r="B81" s="7"/>
      <c r="C81" s="6"/>
      <c r="D81" s="4"/>
      <c r="E81" s="11"/>
      <c r="F81" s="9" t="str">
        <f t="shared" si="2"/>
        <v/>
      </c>
      <c r="G81" s="12"/>
      <c r="H81" s="12"/>
      <c r="I81" s="9">
        <f t="shared" si="3"/>
        <v>0</v>
      </c>
      <c r="J81" s="7"/>
    </row>
    <row r="82" spans="1:10" ht="16" customHeight="1" x14ac:dyDescent="0.2">
      <c r="A82" s="7"/>
      <c r="B82" s="7"/>
      <c r="C82" s="6"/>
      <c r="D82" s="4"/>
      <c r="E82" s="11"/>
      <c r="F82" s="9" t="str">
        <f t="shared" si="2"/>
        <v/>
      </c>
      <c r="G82" s="12"/>
      <c r="H82" s="12"/>
      <c r="I82" s="9">
        <f t="shared" si="3"/>
        <v>0</v>
      </c>
      <c r="J82" s="7"/>
    </row>
    <row r="83" spans="1:10" ht="16" customHeight="1" x14ac:dyDescent="0.2">
      <c r="A83" s="7"/>
      <c r="B83" s="7"/>
      <c r="C83" s="6"/>
      <c r="D83" s="4"/>
      <c r="E83" s="11"/>
      <c r="F83" s="9" t="str">
        <f t="shared" si="2"/>
        <v/>
      </c>
      <c r="G83" s="12"/>
      <c r="H83" s="12"/>
      <c r="I83" s="9">
        <f t="shared" si="3"/>
        <v>0</v>
      </c>
      <c r="J83" s="7"/>
    </row>
    <row r="84" spans="1:10" ht="16" customHeight="1" x14ac:dyDescent="0.2">
      <c r="A84" s="7"/>
      <c r="B84" s="7"/>
      <c r="C84" s="6"/>
      <c r="D84" s="4"/>
      <c r="E84" s="11"/>
      <c r="F84" s="9" t="str">
        <f t="shared" si="2"/>
        <v/>
      </c>
      <c r="G84" s="12"/>
      <c r="H84" s="12"/>
      <c r="I84" s="9">
        <f t="shared" si="3"/>
        <v>0</v>
      </c>
      <c r="J84" s="7"/>
    </row>
    <row r="85" spans="1:10" ht="16" customHeight="1" x14ac:dyDescent="0.2">
      <c r="A85" s="7"/>
      <c r="B85" s="7"/>
      <c r="C85" s="6"/>
      <c r="D85" s="4"/>
      <c r="E85" s="11"/>
      <c r="F85" s="9" t="str">
        <f t="shared" si="2"/>
        <v/>
      </c>
      <c r="G85" s="12"/>
      <c r="H85" s="12"/>
      <c r="I85" s="9">
        <f t="shared" si="3"/>
        <v>0</v>
      </c>
      <c r="J85" s="7"/>
    </row>
    <row r="86" spans="1:10" ht="16" customHeight="1" x14ac:dyDescent="0.2">
      <c r="A86" s="7"/>
      <c r="B86" s="7"/>
      <c r="C86" s="6"/>
      <c r="D86" s="4"/>
      <c r="E86" s="11"/>
      <c r="F86" s="9" t="str">
        <f t="shared" si="2"/>
        <v/>
      </c>
      <c r="G86" s="12"/>
      <c r="H86" s="12"/>
      <c r="I86" s="9">
        <f t="shared" si="3"/>
        <v>0</v>
      </c>
      <c r="J86" s="7"/>
    </row>
    <row r="87" spans="1:10" ht="16" customHeight="1" x14ac:dyDescent="0.2">
      <c r="A87" s="7"/>
      <c r="B87" s="7"/>
      <c r="C87" s="6"/>
      <c r="D87" s="4"/>
      <c r="E87" s="11"/>
      <c r="F87" s="9" t="str">
        <f t="shared" si="2"/>
        <v/>
      </c>
      <c r="G87" s="12"/>
      <c r="H87" s="12"/>
      <c r="I87" s="9">
        <f t="shared" si="3"/>
        <v>0</v>
      </c>
      <c r="J87" s="7"/>
    </row>
    <row r="88" spans="1:10" ht="16" customHeight="1" x14ac:dyDescent="0.2">
      <c r="A88" s="7"/>
      <c r="B88" s="7"/>
      <c r="C88" s="6"/>
      <c r="D88" s="4"/>
      <c r="E88" s="11"/>
      <c r="F88" s="9" t="str">
        <f t="shared" si="2"/>
        <v/>
      </c>
      <c r="G88" s="12"/>
      <c r="H88" s="12"/>
      <c r="I88" s="9">
        <f t="shared" si="3"/>
        <v>0</v>
      </c>
      <c r="J88" s="7"/>
    </row>
    <row r="89" spans="1:10" ht="16" customHeight="1" x14ac:dyDescent="0.2">
      <c r="A89" s="7"/>
      <c r="B89" s="7"/>
      <c r="C89" s="6"/>
      <c r="D89" s="4"/>
      <c r="E89" s="11"/>
      <c r="F89" s="9" t="str">
        <f t="shared" si="2"/>
        <v/>
      </c>
      <c r="G89" s="12"/>
      <c r="H89" s="12"/>
      <c r="I89" s="9">
        <f t="shared" si="3"/>
        <v>0</v>
      </c>
      <c r="J89" s="7"/>
    </row>
    <row r="90" spans="1:10" ht="16" customHeight="1" x14ac:dyDescent="0.2">
      <c r="A90" s="7"/>
      <c r="B90" s="7"/>
      <c r="C90" s="6"/>
      <c r="D90" s="4"/>
      <c r="E90" s="11"/>
      <c r="F90" s="9" t="str">
        <f t="shared" si="2"/>
        <v/>
      </c>
      <c r="G90" s="12"/>
      <c r="H90" s="12"/>
      <c r="I90" s="9">
        <f t="shared" si="3"/>
        <v>0</v>
      </c>
      <c r="J90" s="7"/>
    </row>
    <row r="91" spans="1:10" ht="16" customHeight="1" x14ac:dyDescent="0.2">
      <c r="A91" s="7"/>
      <c r="B91" s="7"/>
      <c r="C91" s="6"/>
      <c r="D91" s="4"/>
      <c r="E91" s="11"/>
      <c r="F91" s="9" t="str">
        <f t="shared" si="2"/>
        <v/>
      </c>
      <c r="G91" s="12"/>
      <c r="H91" s="12"/>
      <c r="I91" s="9">
        <f t="shared" si="3"/>
        <v>0</v>
      </c>
      <c r="J91" s="7"/>
    </row>
    <row r="92" spans="1:10" ht="16" customHeight="1" x14ac:dyDescent="0.2">
      <c r="A92" s="7"/>
      <c r="B92" s="7"/>
      <c r="C92" s="6"/>
      <c r="D92" s="4"/>
      <c r="E92" s="11"/>
      <c r="F92" s="9" t="str">
        <f t="shared" si="2"/>
        <v/>
      </c>
      <c r="G92" s="12"/>
      <c r="H92" s="12"/>
      <c r="I92" s="9">
        <f t="shared" si="3"/>
        <v>0</v>
      </c>
      <c r="J92" s="7"/>
    </row>
    <row r="93" spans="1:10" ht="16" customHeight="1" x14ac:dyDescent="0.2">
      <c r="A93" s="7"/>
      <c r="B93" s="7"/>
      <c r="C93" s="6"/>
      <c r="D93" s="4"/>
      <c r="E93" s="11"/>
      <c r="F93" s="9" t="str">
        <f t="shared" si="2"/>
        <v/>
      </c>
      <c r="G93" s="12"/>
      <c r="H93" s="12"/>
      <c r="I93" s="9">
        <f t="shared" si="3"/>
        <v>0</v>
      </c>
      <c r="J93" s="7"/>
    </row>
    <row r="94" spans="1:10" ht="16" customHeight="1" x14ac:dyDescent="0.2">
      <c r="A94" s="7"/>
      <c r="B94" s="7"/>
      <c r="C94" s="6"/>
      <c r="D94" s="4"/>
      <c r="E94" s="11"/>
      <c r="F94" s="9" t="str">
        <f t="shared" si="2"/>
        <v/>
      </c>
      <c r="G94" s="12"/>
      <c r="H94" s="12"/>
      <c r="I94" s="9">
        <f t="shared" si="3"/>
        <v>0</v>
      </c>
      <c r="J94" s="7"/>
    </row>
    <row r="95" spans="1:10" ht="16" customHeight="1" x14ac:dyDescent="0.2">
      <c r="A95" s="7"/>
      <c r="B95" s="7"/>
      <c r="C95" s="6"/>
      <c r="D95" s="4"/>
      <c r="E95" s="11"/>
      <c r="F95" s="9" t="str">
        <f t="shared" si="2"/>
        <v/>
      </c>
      <c r="G95" s="12"/>
      <c r="H95" s="12"/>
      <c r="I95" s="9">
        <f t="shared" si="3"/>
        <v>0</v>
      </c>
      <c r="J95" s="7"/>
    </row>
    <row r="96" spans="1:10" ht="16" customHeight="1" x14ac:dyDescent="0.2">
      <c r="A96" s="7"/>
      <c r="B96" s="7"/>
      <c r="C96" s="6"/>
      <c r="D96" s="4"/>
      <c r="E96" s="11"/>
      <c r="F96" s="9" t="str">
        <f t="shared" si="2"/>
        <v/>
      </c>
      <c r="G96" s="12"/>
      <c r="H96" s="12"/>
      <c r="I96" s="9">
        <f t="shared" si="3"/>
        <v>0</v>
      </c>
      <c r="J96" s="7"/>
    </row>
    <row r="97" spans="1:10" ht="16" customHeight="1" x14ac:dyDescent="0.2">
      <c r="A97" s="7"/>
      <c r="B97" s="7"/>
      <c r="C97" s="6"/>
      <c r="D97" s="4"/>
      <c r="E97" s="11"/>
      <c r="F97" s="9" t="str">
        <f t="shared" si="2"/>
        <v/>
      </c>
      <c r="G97" s="12"/>
      <c r="H97" s="12"/>
      <c r="I97" s="9">
        <f t="shared" si="3"/>
        <v>0</v>
      </c>
      <c r="J97" s="7"/>
    </row>
    <row r="98" spans="1:10" ht="16" customHeight="1" x14ac:dyDescent="0.2">
      <c r="A98" s="7"/>
      <c r="B98" s="7"/>
      <c r="C98" s="6"/>
      <c r="D98" s="4"/>
      <c r="E98" s="11"/>
      <c r="F98" s="9" t="str">
        <f t="shared" si="2"/>
        <v/>
      </c>
      <c r="G98" s="12"/>
      <c r="H98" s="12"/>
      <c r="I98" s="9">
        <f t="shared" si="3"/>
        <v>0</v>
      </c>
      <c r="J98" s="7"/>
    </row>
    <row r="99" spans="1:10" ht="16" customHeight="1" x14ac:dyDescent="0.2">
      <c r="A99" s="7"/>
      <c r="B99" s="7"/>
      <c r="C99" s="6"/>
      <c r="D99" s="4"/>
      <c r="E99" s="11"/>
      <c r="F99" s="9" t="str">
        <f t="shared" si="2"/>
        <v/>
      </c>
      <c r="G99" s="12"/>
      <c r="H99" s="12"/>
      <c r="I99" s="9">
        <f t="shared" si="3"/>
        <v>0</v>
      </c>
      <c r="J99" s="7"/>
    </row>
    <row r="100" spans="1:10" ht="16" customHeight="1" x14ac:dyDescent="0.2">
      <c r="A100" s="7"/>
      <c r="B100" s="7"/>
      <c r="C100" s="6"/>
      <c r="D100" s="4"/>
      <c r="E100" s="11"/>
      <c r="F100" s="9" t="str">
        <f t="shared" si="2"/>
        <v/>
      </c>
      <c r="G100" s="12"/>
      <c r="H100" s="12"/>
      <c r="I100" s="9">
        <f t="shared" si="3"/>
        <v>0</v>
      </c>
      <c r="J100" s="7"/>
    </row>
    <row r="101" spans="1:10" ht="16" customHeight="1" x14ac:dyDescent="0.2">
      <c r="A101" s="7"/>
      <c r="B101" s="7"/>
      <c r="C101" s="6"/>
      <c r="D101" s="4"/>
      <c r="E101" s="11"/>
      <c r="F101" s="9" t="str">
        <f t="shared" si="2"/>
        <v/>
      </c>
      <c r="G101" s="12"/>
      <c r="H101" s="12"/>
      <c r="I101" s="9">
        <f t="shared" si="3"/>
        <v>0</v>
      </c>
      <c r="J101" s="7"/>
    </row>
    <row r="102" spans="1:10" ht="16" customHeight="1" x14ac:dyDescent="0.2">
      <c r="A102" s="7"/>
      <c r="B102" s="7"/>
      <c r="C102" s="6"/>
      <c r="D102" s="4"/>
      <c r="E102" s="11"/>
      <c r="F102" s="9" t="str">
        <f t="shared" si="2"/>
        <v/>
      </c>
      <c r="G102" s="12"/>
      <c r="H102" s="12"/>
      <c r="I102" s="9">
        <f t="shared" si="3"/>
        <v>0</v>
      </c>
      <c r="J102" s="7"/>
    </row>
    <row r="103" spans="1:10" ht="16" customHeight="1" x14ac:dyDescent="0.2">
      <c r="A103" s="7"/>
      <c r="B103" s="7"/>
      <c r="C103" s="6"/>
      <c r="D103" s="4"/>
      <c r="E103" s="11"/>
      <c r="F103" s="9" t="str">
        <f t="shared" si="2"/>
        <v/>
      </c>
      <c r="G103" s="12"/>
      <c r="H103" s="12"/>
      <c r="I103" s="9">
        <f t="shared" si="3"/>
        <v>0</v>
      </c>
      <c r="J103" s="7"/>
    </row>
    <row r="104" spans="1:10" ht="16" customHeight="1" x14ac:dyDescent="0.2">
      <c r="A104" s="7"/>
      <c r="B104" s="7"/>
      <c r="C104" s="6"/>
      <c r="D104" s="4"/>
      <c r="E104" s="11"/>
      <c r="F104" s="9" t="str">
        <f t="shared" si="2"/>
        <v/>
      </c>
      <c r="G104" s="12"/>
      <c r="H104" s="12"/>
      <c r="I104" s="9">
        <f t="shared" si="3"/>
        <v>0</v>
      </c>
      <c r="J104" s="7"/>
    </row>
    <row r="105" spans="1:10" ht="16" customHeight="1" x14ac:dyDescent="0.2">
      <c r="A105" s="7"/>
      <c r="B105" s="7"/>
      <c r="C105" s="6"/>
      <c r="D105" s="4"/>
      <c r="E105" s="11"/>
      <c r="F105" s="9" t="str">
        <f t="shared" si="2"/>
        <v/>
      </c>
      <c r="G105" s="12"/>
      <c r="H105" s="12"/>
      <c r="I105" s="9">
        <f t="shared" si="3"/>
        <v>0</v>
      </c>
      <c r="J105" s="7"/>
    </row>
    <row r="106" spans="1:10" ht="16" customHeight="1" x14ac:dyDescent="0.2">
      <c r="A106" s="7"/>
      <c r="B106" s="7"/>
      <c r="C106" s="6"/>
      <c r="D106" s="4"/>
      <c r="E106" s="11"/>
      <c r="F106" s="9" t="str">
        <f t="shared" si="2"/>
        <v/>
      </c>
      <c r="G106" s="12"/>
      <c r="H106" s="12"/>
      <c r="I106" s="9">
        <f t="shared" si="3"/>
        <v>0</v>
      </c>
      <c r="J106" s="7"/>
    </row>
    <row r="107" spans="1:10" ht="16" customHeight="1" x14ac:dyDescent="0.2">
      <c r="A107" s="7"/>
      <c r="B107" s="7"/>
      <c r="C107" s="6"/>
      <c r="D107" s="4"/>
      <c r="E107" s="11"/>
      <c r="F107" s="9" t="str">
        <f t="shared" si="2"/>
        <v/>
      </c>
      <c r="G107" s="12"/>
      <c r="H107" s="12"/>
      <c r="I107" s="9">
        <f t="shared" si="3"/>
        <v>0</v>
      </c>
      <c r="J107" s="7"/>
    </row>
    <row r="108" spans="1:10" ht="16" customHeight="1" x14ac:dyDescent="0.2">
      <c r="A108" s="7"/>
      <c r="B108" s="7"/>
      <c r="C108" s="6"/>
      <c r="D108" s="4"/>
      <c r="E108" s="11"/>
      <c r="F108" s="9" t="str">
        <f t="shared" si="2"/>
        <v/>
      </c>
      <c r="G108" s="12"/>
      <c r="H108" s="12"/>
      <c r="I108" s="9">
        <f t="shared" si="3"/>
        <v>0</v>
      </c>
      <c r="J108" s="7"/>
    </row>
    <row r="109" spans="1:10" ht="16" customHeight="1" x14ac:dyDescent="0.2">
      <c r="A109" s="7"/>
      <c r="B109" s="7"/>
      <c r="C109" s="6"/>
      <c r="D109" s="4"/>
      <c r="E109" s="11"/>
      <c r="F109" s="9" t="str">
        <f t="shared" si="2"/>
        <v/>
      </c>
      <c r="G109" s="12"/>
      <c r="H109" s="12"/>
      <c r="I109" s="9">
        <f t="shared" si="3"/>
        <v>0</v>
      </c>
      <c r="J109" s="7"/>
    </row>
    <row r="110" spans="1:10" ht="16" customHeight="1" x14ac:dyDescent="0.2">
      <c r="A110" s="7"/>
      <c r="B110" s="7"/>
      <c r="C110" s="6"/>
      <c r="D110" s="4"/>
      <c r="E110" s="11"/>
      <c r="F110" s="9" t="str">
        <f t="shared" si="2"/>
        <v/>
      </c>
      <c r="G110" s="12"/>
      <c r="H110" s="12"/>
      <c r="I110" s="9">
        <f t="shared" si="3"/>
        <v>0</v>
      </c>
      <c r="J110" s="7"/>
    </row>
    <row r="111" spans="1:10" ht="16" customHeight="1" x14ac:dyDescent="0.2">
      <c r="A111" s="7"/>
      <c r="B111" s="7"/>
      <c r="C111" s="6"/>
      <c r="D111" s="4"/>
      <c r="E111" s="11"/>
      <c r="F111" s="9" t="str">
        <f t="shared" si="2"/>
        <v/>
      </c>
      <c r="G111" s="12"/>
      <c r="H111" s="12"/>
      <c r="I111" s="9">
        <f t="shared" si="3"/>
        <v>0</v>
      </c>
      <c r="J111" s="7"/>
    </row>
    <row r="112" spans="1:10" ht="16" customHeight="1" x14ac:dyDescent="0.2">
      <c r="A112" s="7"/>
      <c r="B112" s="7"/>
      <c r="C112" s="6"/>
      <c r="D112" s="4"/>
      <c r="E112" s="11"/>
      <c r="F112" s="9" t="str">
        <f t="shared" si="2"/>
        <v/>
      </c>
      <c r="G112" s="12"/>
      <c r="H112" s="12"/>
      <c r="I112" s="9">
        <f t="shared" si="3"/>
        <v>0</v>
      </c>
      <c r="J112" s="7"/>
    </row>
    <row r="113" spans="1:10" ht="16" customHeight="1" x14ac:dyDescent="0.2">
      <c r="A113" s="7"/>
      <c r="B113" s="7"/>
      <c r="C113" s="6"/>
      <c r="D113" s="4"/>
      <c r="E113" s="11"/>
      <c r="F113" s="9" t="str">
        <f t="shared" si="2"/>
        <v/>
      </c>
      <c r="G113" s="12"/>
      <c r="H113" s="12"/>
      <c r="I113" s="9">
        <f t="shared" si="3"/>
        <v>0</v>
      </c>
      <c r="J113" s="7"/>
    </row>
    <row r="114" spans="1:10" ht="16" customHeight="1" x14ac:dyDescent="0.2">
      <c r="A114" s="7"/>
      <c r="B114" s="7"/>
      <c r="C114" s="6"/>
      <c r="D114" s="4"/>
      <c r="E114" s="11"/>
      <c r="F114" s="9" t="str">
        <f t="shared" si="2"/>
        <v/>
      </c>
      <c r="G114" s="12"/>
      <c r="H114" s="12"/>
      <c r="I114" s="9">
        <f t="shared" si="3"/>
        <v>0</v>
      </c>
      <c r="J114" s="7"/>
    </row>
    <row r="115" spans="1:10" ht="16" customHeight="1" x14ac:dyDescent="0.2">
      <c r="A115" s="7"/>
      <c r="B115" s="7"/>
      <c r="C115" s="6"/>
      <c r="D115" s="4"/>
      <c r="E115" s="11"/>
      <c r="F115" s="9" t="str">
        <f t="shared" si="2"/>
        <v/>
      </c>
      <c r="G115" s="12"/>
      <c r="H115" s="12"/>
      <c r="I115" s="9">
        <f t="shared" si="3"/>
        <v>0</v>
      </c>
      <c r="J115" s="7"/>
    </row>
    <row r="116" spans="1:10" ht="16" customHeight="1" x14ac:dyDescent="0.2">
      <c r="A116" s="7"/>
      <c r="B116" s="7"/>
      <c r="C116" s="6"/>
      <c r="D116" s="4"/>
      <c r="E116" s="11"/>
      <c r="F116" s="9" t="str">
        <f t="shared" si="2"/>
        <v/>
      </c>
      <c r="G116" s="12"/>
      <c r="H116" s="12"/>
      <c r="I116" s="9">
        <f t="shared" si="3"/>
        <v>0</v>
      </c>
      <c r="J116" s="7"/>
    </row>
    <row r="117" spans="1:10" ht="16" customHeight="1" x14ac:dyDescent="0.2">
      <c r="A117" s="7"/>
      <c r="B117" s="7"/>
      <c r="C117" s="6"/>
      <c r="D117" s="4"/>
      <c r="E117" s="11"/>
      <c r="F117" s="9" t="str">
        <f t="shared" si="2"/>
        <v/>
      </c>
      <c r="G117" s="12"/>
      <c r="H117" s="12"/>
      <c r="I117" s="9">
        <f t="shared" si="3"/>
        <v>0</v>
      </c>
      <c r="J117" s="7"/>
    </row>
    <row r="118" spans="1:10" ht="16" customHeight="1" x14ac:dyDescent="0.2">
      <c r="A118" s="7"/>
      <c r="B118" s="7"/>
      <c r="C118" s="6"/>
      <c r="D118" s="4"/>
      <c r="E118" s="11"/>
      <c r="F118" s="9" t="str">
        <f t="shared" si="2"/>
        <v/>
      </c>
      <c r="G118" s="12"/>
      <c r="H118" s="12"/>
      <c r="I118" s="9">
        <f t="shared" si="3"/>
        <v>0</v>
      </c>
      <c r="J118" s="7"/>
    </row>
    <row r="119" spans="1:10" ht="16" customHeight="1" x14ac:dyDescent="0.2">
      <c r="A119" s="7"/>
      <c r="B119" s="7"/>
      <c r="C119" s="6"/>
      <c r="D119" s="4"/>
      <c r="E119" s="11"/>
      <c r="F119" s="9" t="str">
        <f t="shared" si="2"/>
        <v/>
      </c>
      <c r="G119" s="12"/>
      <c r="H119" s="12"/>
      <c r="I119" s="9">
        <f t="shared" si="3"/>
        <v>0</v>
      </c>
      <c r="J119" s="7"/>
    </row>
    <row r="120" spans="1:10" ht="16" customHeight="1" x14ac:dyDescent="0.2">
      <c r="A120" s="7"/>
      <c r="B120" s="7"/>
      <c r="C120" s="6"/>
      <c r="D120" s="4"/>
      <c r="E120" s="11"/>
      <c r="F120" s="9" t="str">
        <f t="shared" si="2"/>
        <v/>
      </c>
      <c r="G120" s="12"/>
      <c r="H120" s="12"/>
      <c r="I120" s="9">
        <f t="shared" si="3"/>
        <v>0</v>
      </c>
      <c r="J120" s="7"/>
    </row>
    <row r="121" spans="1:10" ht="16" customHeight="1" x14ac:dyDescent="0.2">
      <c r="A121" s="7"/>
      <c r="B121" s="7"/>
      <c r="C121" s="6"/>
      <c r="D121" s="4"/>
      <c r="E121" s="11"/>
      <c r="F121" s="9" t="str">
        <f t="shared" si="2"/>
        <v/>
      </c>
      <c r="G121" s="12"/>
      <c r="H121" s="12"/>
      <c r="I121" s="9">
        <f t="shared" si="3"/>
        <v>0</v>
      </c>
      <c r="J121" s="7"/>
    </row>
    <row r="122" spans="1:10" ht="16" customHeight="1" x14ac:dyDescent="0.2">
      <c r="A122" s="7"/>
      <c r="B122" s="7"/>
      <c r="C122" s="6"/>
      <c r="D122" s="4"/>
      <c r="E122" s="11"/>
      <c r="F122" s="9" t="str">
        <f t="shared" si="2"/>
        <v/>
      </c>
      <c r="G122" s="12"/>
      <c r="H122" s="12"/>
      <c r="I122" s="9">
        <f t="shared" si="3"/>
        <v>0</v>
      </c>
      <c r="J122" s="7"/>
    </row>
    <row r="123" spans="1:10" ht="16" customHeight="1" x14ac:dyDescent="0.2">
      <c r="A123" s="7"/>
      <c r="B123" s="7"/>
      <c r="C123" s="6"/>
      <c r="D123" s="4"/>
      <c r="E123" s="11"/>
      <c r="F123" s="9" t="str">
        <f t="shared" si="2"/>
        <v/>
      </c>
      <c r="G123" s="12"/>
      <c r="H123" s="12"/>
      <c r="I123" s="9">
        <f t="shared" si="3"/>
        <v>0</v>
      </c>
      <c r="J123" s="7"/>
    </row>
    <row r="124" spans="1:10" ht="16" customHeight="1" x14ac:dyDescent="0.2">
      <c r="A124" s="7"/>
      <c r="B124" s="7"/>
      <c r="C124" s="6"/>
      <c r="D124" s="4"/>
      <c r="E124" s="11"/>
      <c r="F124" s="9" t="str">
        <f t="shared" si="2"/>
        <v/>
      </c>
      <c r="G124" s="12"/>
      <c r="H124" s="12"/>
      <c r="I124" s="9">
        <f t="shared" si="3"/>
        <v>0</v>
      </c>
      <c r="J124" s="7"/>
    </row>
    <row r="125" spans="1:10" ht="16" customHeight="1" x14ac:dyDescent="0.2">
      <c r="A125" s="7"/>
      <c r="B125" s="7"/>
      <c r="C125" s="6"/>
      <c r="D125" s="4"/>
      <c r="E125" s="11"/>
      <c r="F125" s="9" t="str">
        <f t="shared" si="2"/>
        <v/>
      </c>
      <c r="G125" s="12"/>
      <c r="H125" s="12"/>
      <c r="I125" s="9">
        <f t="shared" si="3"/>
        <v>0</v>
      </c>
      <c r="J125" s="7"/>
    </row>
    <row r="126" spans="1:10" ht="16" customHeight="1" x14ac:dyDescent="0.2">
      <c r="A126" s="7"/>
      <c r="B126" s="7"/>
      <c r="C126" s="6"/>
      <c r="D126" s="4"/>
      <c r="E126" s="11"/>
      <c r="F126" s="9" t="str">
        <f t="shared" si="2"/>
        <v/>
      </c>
      <c r="G126" s="12"/>
      <c r="H126" s="12"/>
      <c r="I126" s="9">
        <f t="shared" si="3"/>
        <v>0</v>
      </c>
      <c r="J126" s="7"/>
    </row>
    <row r="127" spans="1:10" ht="16" customHeight="1" x14ac:dyDescent="0.2">
      <c r="A127" s="7"/>
      <c r="B127" s="7"/>
      <c r="C127" s="6"/>
      <c r="D127" s="4"/>
      <c r="E127" s="11"/>
      <c r="F127" s="9" t="str">
        <f t="shared" si="2"/>
        <v/>
      </c>
      <c r="G127" s="12"/>
      <c r="H127" s="12"/>
      <c r="I127" s="9">
        <f t="shared" si="3"/>
        <v>0</v>
      </c>
      <c r="J127" s="7"/>
    </row>
    <row r="128" spans="1:10" ht="16" customHeight="1" x14ac:dyDescent="0.2">
      <c r="A128" s="7"/>
      <c r="B128" s="7"/>
      <c r="C128" s="6"/>
      <c r="D128" s="4"/>
      <c r="E128" s="11"/>
      <c r="F128" s="9" t="str">
        <f t="shared" si="2"/>
        <v/>
      </c>
      <c r="G128" s="12"/>
      <c r="H128" s="12"/>
      <c r="I128" s="9">
        <f t="shared" si="3"/>
        <v>0</v>
      </c>
      <c r="J128" s="7"/>
    </row>
    <row r="129" spans="1:10" ht="16" customHeight="1" x14ac:dyDescent="0.2">
      <c r="A129" s="7"/>
      <c r="B129" s="7"/>
      <c r="C129" s="6"/>
      <c r="D129" s="4"/>
      <c r="E129" s="11"/>
      <c r="F129" s="9" t="str">
        <f t="shared" si="2"/>
        <v/>
      </c>
      <c r="G129" s="12"/>
      <c r="H129" s="12"/>
      <c r="I129" s="9">
        <f t="shared" si="3"/>
        <v>0</v>
      </c>
      <c r="J129" s="7"/>
    </row>
    <row r="130" spans="1:10" ht="16" customHeight="1" x14ac:dyDescent="0.2">
      <c r="A130" s="7"/>
      <c r="B130" s="7"/>
      <c r="C130" s="6"/>
      <c r="D130" s="4"/>
      <c r="E130" s="11"/>
      <c r="F130" s="9" t="str">
        <f t="shared" si="2"/>
        <v/>
      </c>
      <c r="G130" s="12"/>
      <c r="H130" s="12"/>
      <c r="I130" s="9">
        <f t="shared" si="3"/>
        <v>0</v>
      </c>
      <c r="J130" s="7"/>
    </row>
    <row r="131" spans="1:10" ht="16" customHeight="1" x14ac:dyDescent="0.2">
      <c r="A131" s="7"/>
      <c r="B131" s="7"/>
      <c r="C131" s="6"/>
      <c r="D131" s="4"/>
      <c r="E131" s="11"/>
      <c r="F131" s="9" t="str">
        <f t="shared" si="2"/>
        <v/>
      </c>
      <c r="G131" s="12"/>
      <c r="H131" s="12"/>
      <c r="I131" s="9">
        <f t="shared" si="3"/>
        <v>0</v>
      </c>
      <c r="J131" s="7"/>
    </row>
    <row r="132" spans="1:10" ht="16" customHeight="1" x14ac:dyDescent="0.2">
      <c r="A132" s="7"/>
      <c r="B132" s="7"/>
      <c r="C132" s="6"/>
      <c r="D132" s="4"/>
      <c r="E132" s="11"/>
      <c r="F132" s="9" t="str">
        <f t="shared" si="2"/>
        <v/>
      </c>
      <c r="G132" s="12"/>
      <c r="H132" s="12"/>
      <c r="I132" s="9">
        <f t="shared" si="3"/>
        <v>0</v>
      </c>
      <c r="J132" s="7"/>
    </row>
    <row r="133" spans="1:10" ht="16" customHeight="1" x14ac:dyDescent="0.2">
      <c r="A133" s="7"/>
      <c r="B133" s="7"/>
      <c r="C133" s="6"/>
      <c r="D133" s="4"/>
      <c r="E133" s="11"/>
      <c r="F133" s="9" t="str">
        <f t="shared" ref="F133:F196" si="4">IFERROR(D133/E133,"")</f>
        <v/>
      </c>
      <c r="G133" s="12"/>
      <c r="H133" s="12"/>
      <c r="I133" s="9">
        <f t="shared" ref="I133:I196" si="5">IFERROR(SUM(F133:H133),"")</f>
        <v>0</v>
      </c>
      <c r="J133" s="7"/>
    </row>
    <row r="134" spans="1:10" ht="16" customHeight="1" x14ac:dyDescent="0.2">
      <c r="A134" s="7"/>
      <c r="B134" s="7"/>
      <c r="C134" s="6"/>
      <c r="D134" s="4"/>
      <c r="E134" s="11"/>
      <c r="F134" s="9" t="str">
        <f t="shared" si="4"/>
        <v/>
      </c>
      <c r="G134" s="12"/>
      <c r="H134" s="12"/>
      <c r="I134" s="9">
        <f t="shared" si="5"/>
        <v>0</v>
      </c>
      <c r="J134" s="7"/>
    </row>
    <row r="135" spans="1:10" ht="16" customHeight="1" x14ac:dyDescent="0.2">
      <c r="A135" s="7"/>
      <c r="B135" s="7"/>
      <c r="C135" s="6"/>
      <c r="D135" s="4"/>
      <c r="E135" s="11"/>
      <c r="F135" s="9" t="str">
        <f t="shared" si="4"/>
        <v/>
      </c>
      <c r="G135" s="12"/>
      <c r="H135" s="12"/>
      <c r="I135" s="9">
        <f t="shared" si="5"/>
        <v>0</v>
      </c>
      <c r="J135" s="7"/>
    </row>
    <row r="136" spans="1:10" ht="16" customHeight="1" x14ac:dyDescent="0.2">
      <c r="A136" s="7"/>
      <c r="B136" s="7"/>
      <c r="C136" s="6"/>
      <c r="D136" s="4"/>
      <c r="E136" s="11"/>
      <c r="F136" s="9" t="str">
        <f t="shared" si="4"/>
        <v/>
      </c>
      <c r="G136" s="12"/>
      <c r="H136" s="12"/>
      <c r="I136" s="9">
        <f t="shared" si="5"/>
        <v>0</v>
      </c>
      <c r="J136" s="7"/>
    </row>
    <row r="137" spans="1:10" ht="16" customHeight="1" x14ac:dyDescent="0.2">
      <c r="A137" s="7"/>
      <c r="B137" s="7"/>
      <c r="C137" s="6"/>
      <c r="D137" s="4"/>
      <c r="E137" s="11"/>
      <c r="F137" s="9" t="str">
        <f t="shared" si="4"/>
        <v/>
      </c>
      <c r="G137" s="12"/>
      <c r="H137" s="12"/>
      <c r="I137" s="9">
        <f t="shared" si="5"/>
        <v>0</v>
      </c>
      <c r="J137" s="7"/>
    </row>
    <row r="138" spans="1:10" ht="16" customHeight="1" x14ac:dyDescent="0.2">
      <c r="A138" s="7"/>
      <c r="B138" s="7"/>
      <c r="C138" s="6"/>
      <c r="D138" s="4"/>
      <c r="E138" s="11"/>
      <c r="F138" s="9" t="str">
        <f t="shared" si="4"/>
        <v/>
      </c>
      <c r="G138" s="12"/>
      <c r="H138" s="12"/>
      <c r="I138" s="9">
        <f t="shared" si="5"/>
        <v>0</v>
      </c>
      <c r="J138" s="7"/>
    </row>
    <row r="139" spans="1:10" ht="16" customHeight="1" x14ac:dyDescent="0.2">
      <c r="A139" s="7"/>
      <c r="B139" s="7"/>
      <c r="C139" s="6"/>
      <c r="D139" s="4"/>
      <c r="E139" s="11"/>
      <c r="F139" s="9" t="str">
        <f t="shared" si="4"/>
        <v/>
      </c>
      <c r="G139" s="12"/>
      <c r="H139" s="12"/>
      <c r="I139" s="9">
        <f t="shared" si="5"/>
        <v>0</v>
      </c>
      <c r="J139" s="7"/>
    </row>
    <row r="140" spans="1:10" ht="16" customHeight="1" x14ac:dyDescent="0.2">
      <c r="A140" s="7"/>
      <c r="B140" s="7"/>
      <c r="C140" s="6"/>
      <c r="D140" s="4"/>
      <c r="E140" s="11"/>
      <c r="F140" s="9" t="str">
        <f t="shared" si="4"/>
        <v/>
      </c>
      <c r="G140" s="12"/>
      <c r="H140" s="12"/>
      <c r="I140" s="9">
        <f t="shared" si="5"/>
        <v>0</v>
      </c>
      <c r="J140" s="7"/>
    </row>
    <row r="141" spans="1:10" ht="16" customHeight="1" x14ac:dyDescent="0.2">
      <c r="A141" s="7"/>
      <c r="B141" s="7"/>
      <c r="C141" s="6"/>
      <c r="D141" s="4"/>
      <c r="E141" s="11"/>
      <c r="F141" s="9" t="str">
        <f t="shared" si="4"/>
        <v/>
      </c>
      <c r="G141" s="12"/>
      <c r="H141" s="12"/>
      <c r="I141" s="9">
        <f t="shared" si="5"/>
        <v>0</v>
      </c>
      <c r="J141" s="7"/>
    </row>
    <row r="142" spans="1:10" ht="16" customHeight="1" x14ac:dyDescent="0.2">
      <c r="A142" s="7"/>
      <c r="B142" s="7"/>
      <c r="C142" s="6"/>
      <c r="D142" s="4"/>
      <c r="E142" s="11"/>
      <c r="F142" s="9" t="str">
        <f t="shared" si="4"/>
        <v/>
      </c>
      <c r="G142" s="12"/>
      <c r="H142" s="12"/>
      <c r="I142" s="9">
        <f t="shared" si="5"/>
        <v>0</v>
      </c>
      <c r="J142" s="7"/>
    </row>
    <row r="143" spans="1:10" ht="16" customHeight="1" x14ac:dyDescent="0.2">
      <c r="A143" s="7"/>
      <c r="B143" s="7"/>
      <c r="C143" s="6"/>
      <c r="D143" s="4"/>
      <c r="E143" s="11"/>
      <c r="F143" s="9" t="str">
        <f t="shared" si="4"/>
        <v/>
      </c>
      <c r="G143" s="12"/>
      <c r="H143" s="12"/>
      <c r="I143" s="9">
        <f t="shared" si="5"/>
        <v>0</v>
      </c>
      <c r="J143" s="7"/>
    </row>
    <row r="144" spans="1:10" ht="16" customHeight="1" x14ac:dyDescent="0.2">
      <c r="A144" s="7"/>
      <c r="B144" s="7"/>
      <c r="C144" s="6"/>
      <c r="D144" s="4"/>
      <c r="E144" s="11"/>
      <c r="F144" s="9" t="str">
        <f t="shared" si="4"/>
        <v/>
      </c>
      <c r="G144" s="12"/>
      <c r="H144" s="12"/>
      <c r="I144" s="9">
        <f t="shared" si="5"/>
        <v>0</v>
      </c>
      <c r="J144" s="7"/>
    </row>
    <row r="145" spans="1:10" ht="16" customHeight="1" x14ac:dyDescent="0.2">
      <c r="A145" s="7"/>
      <c r="B145" s="7"/>
      <c r="C145" s="6"/>
      <c r="D145" s="4"/>
      <c r="E145" s="11"/>
      <c r="F145" s="9" t="str">
        <f t="shared" si="4"/>
        <v/>
      </c>
      <c r="G145" s="12"/>
      <c r="H145" s="12"/>
      <c r="I145" s="9">
        <f t="shared" si="5"/>
        <v>0</v>
      </c>
      <c r="J145" s="7"/>
    </row>
    <row r="146" spans="1:10" ht="16" customHeight="1" x14ac:dyDescent="0.2">
      <c r="A146" s="7"/>
      <c r="B146" s="7"/>
      <c r="C146" s="6"/>
      <c r="D146" s="4"/>
      <c r="E146" s="11"/>
      <c r="F146" s="9" t="str">
        <f t="shared" si="4"/>
        <v/>
      </c>
      <c r="G146" s="12"/>
      <c r="H146" s="12"/>
      <c r="I146" s="9">
        <f t="shared" si="5"/>
        <v>0</v>
      </c>
      <c r="J146" s="7"/>
    </row>
    <row r="147" spans="1:10" ht="16" customHeight="1" x14ac:dyDescent="0.2">
      <c r="A147" s="7"/>
      <c r="B147" s="7"/>
      <c r="C147" s="6"/>
      <c r="D147" s="4"/>
      <c r="E147" s="11"/>
      <c r="F147" s="9" t="str">
        <f t="shared" si="4"/>
        <v/>
      </c>
      <c r="G147" s="12"/>
      <c r="H147" s="12"/>
      <c r="I147" s="9">
        <f t="shared" si="5"/>
        <v>0</v>
      </c>
      <c r="J147" s="7"/>
    </row>
    <row r="148" spans="1:10" ht="16" customHeight="1" x14ac:dyDescent="0.2">
      <c r="A148" s="7"/>
      <c r="B148" s="7"/>
      <c r="C148" s="6"/>
      <c r="D148" s="4"/>
      <c r="E148" s="11"/>
      <c r="F148" s="9" t="str">
        <f t="shared" si="4"/>
        <v/>
      </c>
      <c r="G148" s="12"/>
      <c r="H148" s="12"/>
      <c r="I148" s="9">
        <f t="shared" si="5"/>
        <v>0</v>
      </c>
      <c r="J148" s="7"/>
    </row>
    <row r="149" spans="1:10" ht="16" customHeight="1" x14ac:dyDescent="0.2">
      <c r="A149" s="7"/>
      <c r="B149" s="7"/>
      <c r="C149" s="6"/>
      <c r="D149" s="4"/>
      <c r="E149" s="11"/>
      <c r="F149" s="9" t="str">
        <f t="shared" si="4"/>
        <v/>
      </c>
      <c r="G149" s="12"/>
      <c r="H149" s="12"/>
      <c r="I149" s="9">
        <f t="shared" si="5"/>
        <v>0</v>
      </c>
      <c r="J149" s="7"/>
    </row>
    <row r="150" spans="1:10" ht="16" customHeight="1" x14ac:dyDescent="0.2">
      <c r="A150" s="7"/>
      <c r="B150" s="7"/>
      <c r="C150" s="6"/>
      <c r="D150" s="4"/>
      <c r="E150" s="11"/>
      <c r="F150" s="9" t="str">
        <f t="shared" si="4"/>
        <v/>
      </c>
      <c r="G150" s="12"/>
      <c r="H150" s="12"/>
      <c r="I150" s="9">
        <f t="shared" si="5"/>
        <v>0</v>
      </c>
      <c r="J150" s="7"/>
    </row>
    <row r="151" spans="1:10" ht="16" customHeight="1" x14ac:dyDescent="0.2">
      <c r="A151" s="7"/>
      <c r="B151" s="7"/>
      <c r="C151" s="6"/>
      <c r="D151" s="4"/>
      <c r="E151" s="11"/>
      <c r="F151" s="9" t="str">
        <f t="shared" si="4"/>
        <v/>
      </c>
      <c r="G151" s="12"/>
      <c r="H151" s="12"/>
      <c r="I151" s="9">
        <f t="shared" si="5"/>
        <v>0</v>
      </c>
      <c r="J151" s="7"/>
    </row>
    <row r="152" spans="1:10" ht="16" customHeight="1" x14ac:dyDescent="0.2">
      <c r="A152" s="7"/>
      <c r="B152" s="7"/>
      <c r="C152" s="6"/>
      <c r="D152" s="4"/>
      <c r="E152" s="11"/>
      <c r="F152" s="9" t="str">
        <f t="shared" si="4"/>
        <v/>
      </c>
      <c r="G152" s="12"/>
      <c r="H152" s="12"/>
      <c r="I152" s="9">
        <f t="shared" si="5"/>
        <v>0</v>
      </c>
      <c r="J152" s="7"/>
    </row>
    <row r="153" spans="1:10" ht="16" customHeight="1" x14ac:dyDescent="0.2">
      <c r="A153" s="7"/>
      <c r="B153" s="7"/>
      <c r="C153" s="6"/>
      <c r="D153" s="4"/>
      <c r="E153" s="11"/>
      <c r="F153" s="9" t="str">
        <f t="shared" si="4"/>
        <v/>
      </c>
      <c r="G153" s="12"/>
      <c r="H153" s="12"/>
      <c r="I153" s="9">
        <f t="shared" si="5"/>
        <v>0</v>
      </c>
      <c r="J153" s="7"/>
    </row>
    <row r="154" spans="1:10" ht="16" customHeight="1" x14ac:dyDescent="0.2">
      <c r="A154" s="7"/>
      <c r="B154" s="7"/>
      <c r="C154" s="6"/>
      <c r="D154" s="4"/>
      <c r="E154" s="11"/>
      <c r="F154" s="9" t="str">
        <f t="shared" si="4"/>
        <v/>
      </c>
      <c r="G154" s="12"/>
      <c r="H154" s="12"/>
      <c r="I154" s="9">
        <f t="shared" si="5"/>
        <v>0</v>
      </c>
      <c r="J154" s="7"/>
    </row>
    <row r="155" spans="1:10" ht="16" customHeight="1" x14ac:dyDescent="0.2">
      <c r="A155" s="7"/>
      <c r="B155" s="7"/>
      <c r="C155" s="6"/>
      <c r="D155" s="4"/>
      <c r="E155" s="11"/>
      <c r="F155" s="9" t="str">
        <f t="shared" si="4"/>
        <v/>
      </c>
      <c r="G155" s="12"/>
      <c r="H155" s="12"/>
      <c r="I155" s="9">
        <f t="shared" si="5"/>
        <v>0</v>
      </c>
      <c r="J155" s="7"/>
    </row>
    <row r="156" spans="1:10" ht="16" customHeight="1" x14ac:dyDescent="0.2">
      <c r="A156" s="7"/>
      <c r="B156" s="7"/>
      <c r="C156" s="6"/>
      <c r="D156" s="4"/>
      <c r="E156" s="11"/>
      <c r="F156" s="9" t="str">
        <f t="shared" si="4"/>
        <v/>
      </c>
      <c r="G156" s="12"/>
      <c r="H156" s="12"/>
      <c r="I156" s="9">
        <f t="shared" si="5"/>
        <v>0</v>
      </c>
      <c r="J156" s="7"/>
    </row>
    <row r="157" spans="1:10" ht="16" customHeight="1" x14ac:dyDescent="0.2">
      <c r="A157" s="7"/>
      <c r="B157" s="7"/>
      <c r="C157" s="6"/>
      <c r="D157" s="4"/>
      <c r="E157" s="11"/>
      <c r="F157" s="9" t="str">
        <f t="shared" si="4"/>
        <v/>
      </c>
      <c r="G157" s="12"/>
      <c r="H157" s="12"/>
      <c r="I157" s="9">
        <f t="shared" si="5"/>
        <v>0</v>
      </c>
      <c r="J157" s="7"/>
    </row>
    <row r="158" spans="1:10" ht="16" customHeight="1" x14ac:dyDescent="0.2">
      <c r="A158" s="7"/>
      <c r="B158" s="7"/>
      <c r="C158" s="6"/>
      <c r="D158" s="4"/>
      <c r="E158" s="11"/>
      <c r="F158" s="9" t="str">
        <f t="shared" si="4"/>
        <v/>
      </c>
      <c r="G158" s="12"/>
      <c r="H158" s="12"/>
      <c r="I158" s="9">
        <f t="shared" si="5"/>
        <v>0</v>
      </c>
      <c r="J158" s="7"/>
    </row>
    <row r="159" spans="1:10" ht="16" customHeight="1" x14ac:dyDescent="0.2">
      <c r="A159" s="7"/>
      <c r="B159" s="7"/>
      <c r="C159" s="6"/>
      <c r="D159" s="4"/>
      <c r="E159" s="11"/>
      <c r="F159" s="9" t="str">
        <f t="shared" si="4"/>
        <v/>
      </c>
      <c r="G159" s="12"/>
      <c r="H159" s="12"/>
      <c r="I159" s="9">
        <f t="shared" si="5"/>
        <v>0</v>
      </c>
      <c r="J159" s="7"/>
    </row>
    <row r="160" spans="1:10" ht="16" customHeight="1" x14ac:dyDescent="0.2">
      <c r="A160" s="7"/>
      <c r="B160" s="7"/>
      <c r="C160" s="6"/>
      <c r="D160" s="4"/>
      <c r="E160" s="11"/>
      <c r="F160" s="9" t="str">
        <f t="shared" si="4"/>
        <v/>
      </c>
      <c r="G160" s="12"/>
      <c r="H160" s="12"/>
      <c r="I160" s="9">
        <f t="shared" si="5"/>
        <v>0</v>
      </c>
      <c r="J160" s="7"/>
    </row>
    <row r="161" spans="1:10" ht="16" customHeight="1" x14ac:dyDescent="0.2">
      <c r="A161" s="7"/>
      <c r="B161" s="7"/>
      <c r="C161" s="6"/>
      <c r="D161" s="4"/>
      <c r="E161" s="11"/>
      <c r="F161" s="9" t="str">
        <f t="shared" si="4"/>
        <v/>
      </c>
      <c r="G161" s="12"/>
      <c r="H161" s="12"/>
      <c r="I161" s="9">
        <f t="shared" si="5"/>
        <v>0</v>
      </c>
      <c r="J161" s="7"/>
    </row>
    <row r="162" spans="1:10" ht="16" customHeight="1" x14ac:dyDescent="0.2">
      <c r="A162" s="7"/>
      <c r="B162" s="7"/>
      <c r="C162" s="6"/>
      <c r="D162" s="4"/>
      <c r="E162" s="11"/>
      <c r="F162" s="9" t="str">
        <f t="shared" si="4"/>
        <v/>
      </c>
      <c r="G162" s="12"/>
      <c r="H162" s="12"/>
      <c r="I162" s="9">
        <f t="shared" si="5"/>
        <v>0</v>
      </c>
      <c r="J162" s="7"/>
    </row>
    <row r="163" spans="1:10" ht="16" customHeight="1" x14ac:dyDescent="0.2">
      <c r="A163" s="7"/>
      <c r="B163" s="7"/>
      <c r="C163" s="6"/>
      <c r="D163" s="4"/>
      <c r="E163" s="11"/>
      <c r="F163" s="9" t="str">
        <f t="shared" si="4"/>
        <v/>
      </c>
      <c r="G163" s="12"/>
      <c r="H163" s="12"/>
      <c r="I163" s="9">
        <f t="shared" si="5"/>
        <v>0</v>
      </c>
      <c r="J163" s="7"/>
    </row>
    <row r="164" spans="1:10" ht="16" customHeight="1" x14ac:dyDescent="0.2">
      <c r="A164" s="7"/>
      <c r="B164" s="7"/>
      <c r="C164" s="6"/>
      <c r="D164" s="4"/>
      <c r="E164" s="11"/>
      <c r="F164" s="9" t="str">
        <f t="shared" si="4"/>
        <v/>
      </c>
      <c r="G164" s="12"/>
      <c r="H164" s="12"/>
      <c r="I164" s="9">
        <f t="shared" si="5"/>
        <v>0</v>
      </c>
      <c r="J164" s="7"/>
    </row>
    <row r="165" spans="1:10" ht="16" customHeight="1" x14ac:dyDescent="0.2">
      <c r="A165" s="7"/>
      <c r="B165" s="7"/>
      <c r="C165" s="6"/>
      <c r="D165" s="4"/>
      <c r="E165" s="11"/>
      <c r="F165" s="9" t="str">
        <f t="shared" si="4"/>
        <v/>
      </c>
      <c r="G165" s="12"/>
      <c r="H165" s="12"/>
      <c r="I165" s="9">
        <f t="shared" si="5"/>
        <v>0</v>
      </c>
      <c r="J165" s="7"/>
    </row>
    <row r="166" spans="1:10" ht="16" customHeight="1" x14ac:dyDescent="0.2">
      <c r="A166" s="7"/>
      <c r="B166" s="7"/>
      <c r="C166" s="6"/>
      <c r="D166" s="4"/>
      <c r="E166" s="11"/>
      <c r="F166" s="9" t="str">
        <f t="shared" si="4"/>
        <v/>
      </c>
      <c r="G166" s="12"/>
      <c r="H166" s="12"/>
      <c r="I166" s="9">
        <f t="shared" si="5"/>
        <v>0</v>
      </c>
      <c r="J166" s="7"/>
    </row>
    <row r="167" spans="1:10" ht="16" customHeight="1" x14ac:dyDescent="0.2">
      <c r="A167" s="7"/>
      <c r="B167" s="7"/>
      <c r="C167" s="6"/>
      <c r="D167" s="4"/>
      <c r="E167" s="11"/>
      <c r="F167" s="9" t="str">
        <f t="shared" si="4"/>
        <v/>
      </c>
      <c r="G167" s="12"/>
      <c r="H167" s="12"/>
      <c r="I167" s="9">
        <f t="shared" si="5"/>
        <v>0</v>
      </c>
      <c r="J167" s="7"/>
    </row>
    <row r="168" spans="1:10" ht="16" customHeight="1" x14ac:dyDescent="0.2">
      <c r="A168" s="7"/>
      <c r="B168" s="7"/>
      <c r="C168" s="6"/>
      <c r="D168" s="4"/>
      <c r="E168" s="11"/>
      <c r="F168" s="9" t="str">
        <f t="shared" si="4"/>
        <v/>
      </c>
      <c r="G168" s="12"/>
      <c r="H168" s="12"/>
      <c r="I168" s="9">
        <f t="shared" si="5"/>
        <v>0</v>
      </c>
      <c r="J168" s="7"/>
    </row>
    <row r="169" spans="1:10" ht="16" customHeight="1" x14ac:dyDescent="0.2">
      <c r="A169" s="7"/>
      <c r="B169" s="7"/>
      <c r="C169" s="6"/>
      <c r="D169" s="4"/>
      <c r="E169" s="11"/>
      <c r="F169" s="9" t="str">
        <f t="shared" si="4"/>
        <v/>
      </c>
      <c r="G169" s="12"/>
      <c r="H169" s="12"/>
      <c r="I169" s="9">
        <f t="shared" si="5"/>
        <v>0</v>
      </c>
      <c r="J169" s="7"/>
    </row>
    <row r="170" spans="1:10" ht="16" customHeight="1" x14ac:dyDescent="0.2">
      <c r="A170" s="7"/>
      <c r="B170" s="7"/>
      <c r="C170" s="6"/>
      <c r="D170" s="4"/>
      <c r="E170" s="11"/>
      <c r="F170" s="9" t="str">
        <f t="shared" si="4"/>
        <v/>
      </c>
      <c r="G170" s="12"/>
      <c r="H170" s="12"/>
      <c r="I170" s="9">
        <f t="shared" si="5"/>
        <v>0</v>
      </c>
      <c r="J170" s="7"/>
    </row>
    <row r="171" spans="1:10" ht="16" customHeight="1" x14ac:dyDescent="0.2">
      <c r="A171" s="7"/>
      <c r="B171" s="7"/>
      <c r="C171" s="6"/>
      <c r="D171" s="4"/>
      <c r="E171" s="11"/>
      <c r="F171" s="9" t="str">
        <f t="shared" si="4"/>
        <v/>
      </c>
      <c r="G171" s="12"/>
      <c r="H171" s="12"/>
      <c r="I171" s="9">
        <f t="shared" si="5"/>
        <v>0</v>
      </c>
      <c r="J171" s="7"/>
    </row>
    <row r="172" spans="1:10" ht="16" customHeight="1" x14ac:dyDescent="0.2">
      <c r="A172" s="7"/>
      <c r="B172" s="7"/>
      <c r="C172" s="6"/>
      <c r="D172" s="4"/>
      <c r="E172" s="11"/>
      <c r="F172" s="9" t="str">
        <f t="shared" si="4"/>
        <v/>
      </c>
      <c r="G172" s="12"/>
      <c r="H172" s="12"/>
      <c r="I172" s="9">
        <f t="shared" si="5"/>
        <v>0</v>
      </c>
      <c r="J172" s="7"/>
    </row>
    <row r="173" spans="1:10" ht="16" customHeight="1" x14ac:dyDescent="0.2">
      <c r="A173" s="7"/>
      <c r="B173" s="7"/>
      <c r="C173" s="6"/>
      <c r="D173" s="4"/>
      <c r="E173" s="11"/>
      <c r="F173" s="9" t="str">
        <f t="shared" si="4"/>
        <v/>
      </c>
      <c r="G173" s="12"/>
      <c r="H173" s="12"/>
      <c r="I173" s="9">
        <f t="shared" si="5"/>
        <v>0</v>
      </c>
      <c r="J173" s="7"/>
    </row>
    <row r="174" spans="1:10" ht="16" customHeight="1" x14ac:dyDescent="0.2">
      <c r="A174" s="7"/>
      <c r="B174" s="7"/>
      <c r="C174" s="6"/>
      <c r="D174" s="4"/>
      <c r="E174" s="11"/>
      <c r="F174" s="9" t="str">
        <f t="shared" si="4"/>
        <v/>
      </c>
      <c r="G174" s="12"/>
      <c r="H174" s="12"/>
      <c r="I174" s="9">
        <f t="shared" si="5"/>
        <v>0</v>
      </c>
      <c r="J174" s="7"/>
    </row>
    <row r="175" spans="1:10" ht="16" customHeight="1" x14ac:dyDescent="0.2">
      <c r="A175" s="7"/>
      <c r="B175" s="7"/>
      <c r="C175" s="6"/>
      <c r="D175" s="4"/>
      <c r="E175" s="11"/>
      <c r="F175" s="9" t="str">
        <f t="shared" si="4"/>
        <v/>
      </c>
      <c r="G175" s="12"/>
      <c r="H175" s="12"/>
      <c r="I175" s="9">
        <f t="shared" si="5"/>
        <v>0</v>
      </c>
      <c r="J175" s="7"/>
    </row>
    <row r="176" spans="1:10" ht="16" customHeight="1" x14ac:dyDescent="0.2">
      <c r="A176" s="7"/>
      <c r="B176" s="7"/>
      <c r="C176" s="6"/>
      <c r="D176" s="4"/>
      <c r="E176" s="11"/>
      <c r="F176" s="9" t="str">
        <f t="shared" si="4"/>
        <v/>
      </c>
      <c r="G176" s="12"/>
      <c r="H176" s="12"/>
      <c r="I176" s="9">
        <f t="shared" si="5"/>
        <v>0</v>
      </c>
      <c r="J176" s="7"/>
    </row>
    <row r="177" spans="1:10" ht="16" customHeight="1" x14ac:dyDescent="0.2">
      <c r="A177" s="7"/>
      <c r="B177" s="7"/>
      <c r="C177" s="6"/>
      <c r="D177" s="4"/>
      <c r="E177" s="11"/>
      <c r="F177" s="9" t="str">
        <f t="shared" si="4"/>
        <v/>
      </c>
      <c r="G177" s="12"/>
      <c r="H177" s="12"/>
      <c r="I177" s="9">
        <f t="shared" si="5"/>
        <v>0</v>
      </c>
      <c r="J177" s="7"/>
    </row>
    <row r="178" spans="1:10" ht="16" customHeight="1" x14ac:dyDescent="0.2">
      <c r="A178" s="7"/>
      <c r="B178" s="7"/>
      <c r="C178" s="6"/>
      <c r="D178" s="4"/>
      <c r="E178" s="11"/>
      <c r="F178" s="9" t="str">
        <f t="shared" si="4"/>
        <v/>
      </c>
      <c r="G178" s="12"/>
      <c r="H178" s="12"/>
      <c r="I178" s="9">
        <f t="shared" si="5"/>
        <v>0</v>
      </c>
      <c r="J178" s="7"/>
    </row>
    <row r="179" spans="1:10" ht="16" customHeight="1" x14ac:dyDescent="0.2">
      <c r="A179" s="7"/>
      <c r="B179" s="7"/>
      <c r="C179" s="6"/>
      <c r="D179" s="4"/>
      <c r="E179" s="11"/>
      <c r="F179" s="9" t="str">
        <f t="shared" si="4"/>
        <v/>
      </c>
      <c r="G179" s="12"/>
      <c r="H179" s="12"/>
      <c r="I179" s="9">
        <f t="shared" si="5"/>
        <v>0</v>
      </c>
      <c r="J179" s="7"/>
    </row>
    <row r="180" spans="1:10" ht="16" customHeight="1" x14ac:dyDescent="0.2">
      <c r="A180" s="7"/>
      <c r="B180" s="7"/>
      <c r="C180" s="6"/>
      <c r="D180" s="4"/>
      <c r="E180" s="11"/>
      <c r="F180" s="9" t="str">
        <f t="shared" si="4"/>
        <v/>
      </c>
      <c r="G180" s="12"/>
      <c r="H180" s="12"/>
      <c r="I180" s="9">
        <f t="shared" si="5"/>
        <v>0</v>
      </c>
      <c r="J180" s="7"/>
    </row>
    <row r="181" spans="1:10" ht="16" customHeight="1" x14ac:dyDescent="0.2">
      <c r="A181" s="7"/>
      <c r="B181" s="7"/>
      <c r="C181" s="6"/>
      <c r="D181" s="4"/>
      <c r="E181" s="11"/>
      <c r="F181" s="9" t="str">
        <f t="shared" si="4"/>
        <v/>
      </c>
      <c r="G181" s="12"/>
      <c r="H181" s="12"/>
      <c r="I181" s="9">
        <f t="shared" si="5"/>
        <v>0</v>
      </c>
      <c r="J181" s="7"/>
    </row>
    <row r="182" spans="1:10" ht="16" customHeight="1" x14ac:dyDescent="0.2">
      <c r="A182" s="7"/>
      <c r="B182" s="7"/>
      <c r="C182" s="6"/>
      <c r="D182" s="4"/>
      <c r="E182" s="11"/>
      <c r="F182" s="9" t="str">
        <f t="shared" si="4"/>
        <v/>
      </c>
      <c r="G182" s="12"/>
      <c r="H182" s="12"/>
      <c r="I182" s="9">
        <f t="shared" si="5"/>
        <v>0</v>
      </c>
      <c r="J182" s="7"/>
    </row>
    <row r="183" spans="1:10" ht="16" customHeight="1" x14ac:dyDescent="0.2">
      <c r="A183" s="7"/>
      <c r="B183" s="7"/>
      <c r="C183" s="6"/>
      <c r="D183" s="4"/>
      <c r="E183" s="11"/>
      <c r="F183" s="9" t="str">
        <f t="shared" si="4"/>
        <v/>
      </c>
      <c r="G183" s="12"/>
      <c r="H183" s="12"/>
      <c r="I183" s="9">
        <f t="shared" si="5"/>
        <v>0</v>
      </c>
      <c r="J183" s="7"/>
    </row>
    <row r="184" spans="1:10" ht="16" customHeight="1" x14ac:dyDescent="0.2">
      <c r="A184" s="7"/>
      <c r="B184" s="7"/>
      <c r="C184" s="6"/>
      <c r="D184" s="4"/>
      <c r="E184" s="11"/>
      <c r="F184" s="9" t="str">
        <f t="shared" si="4"/>
        <v/>
      </c>
      <c r="G184" s="12"/>
      <c r="H184" s="12"/>
      <c r="I184" s="9">
        <f t="shared" si="5"/>
        <v>0</v>
      </c>
      <c r="J184" s="7"/>
    </row>
    <row r="185" spans="1:10" ht="16" customHeight="1" x14ac:dyDescent="0.2">
      <c r="A185" s="7"/>
      <c r="B185" s="7"/>
      <c r="C185" s="6"/>
      <c r="D185" s="4"/>
      <c r="E185" s="11"/>
      <c r="F185" s="9" t="str">
        <f t="shared" si="4"/>
        <v/>
      </c>
      <c r="G185" s="12"/>
      <c r="H185" s="12"/>
      <c r="I185" s="9">
        <f t="shared" si="5"/>
        <v>0</v>
      </c>
      <c r="J185" s="7"/>
    </row>
    <row r="186" spans="1:10" ht="16" customHeight="1" x14ac:dyDescent="0.2">
      <c r="A186" s="7"/>
      <c r="B186" s="7"/>
      <c r="C186" s="6"/>
      <c r="D186" s="4"/>
      <c r="E186" s="11"/>
      <c r="F186" s="9" t="str">
        <f t="shared" si="4"/>
        <v/>
      </c>
      <c r="G186" s="12"/>
      <c r="H186" s="12"/>
      <c r="I186" s="9">
        <f t="shared" si="5"/>
        <v>0</v>
      </c>
      <c r="J186" s="7"/>
    </row>
    <row r="187" spans="1:10" ht="16" customHeight="1" x14ac:dyDescent="0.2">
      <c r="A187" s="7"/>
      <c r="B187" s="7"/>
      <c r="C187" s="6"/>
      <c r="D187" s="4"/>
      <c r="E187" s="11"/>
      <c r="F187" s="9" t="str">
        <f t="shared" si="4"/>
        <v/>
      </c>
      <c r="G187" s="12"/>
      <c r="H187" s="12"/>
      <c r="I187" s="9">
        <f t="shared" si="5"/>
        <v>0</v>
      </c>
      <c r="J187" s="7"/>
    </row>
    <row r="188" spans="1:10" ht="16" customHeight="1" x14ac:dyDescent="0.2">
      <c r="A188" s="7"/>
      <c r="B188" s="7"/>
      <c r="C188" s="6"/>
      <c r="D188" s="4"/>
      <c r="E188" s="11"/>
      <c r="F188" s="9" t="str">
        <f t="shared" si="4"/>
        <v/>
      </c>
      <c r="G188" s="12"/>
      <c r="H188" s="12"/>
      <c r="I188" s="9">
        <f t="shared" si="5"/>
        <v>0</v>
      </c>
      <c r="J188" s="7"/>
    </row>
    <row r="189" spans="1:10" ht="16" customHeight="1" x14ac:dyDescent="0.2">
      <c r="A189" s="7"/>
      <c r="B189" s="7"/>
      <c r="C189" s="6"/>
      <c r="D189" s="4"/>
      <c r="E189" s="11"/>
      <c r="F189" s="9" t="str">
        <f t="shared" si="4"/>
        <v/>
      </c>
      <c r="G189" s="12"/>
      <c r="H189" s="12"/>
      <c r="I189" s="9">
        <f t="shared" si="5"/>
        <v>0</v>
      </c>
      <c r="J189" s="7"/>
    </row>
    <row r="190" spans="1:10" ht="16" customHeight="1" x14ac:dyDescent="0.2">
      <c r="A190" s="7"/>
      <c r="B190" s="7"/>
      <c r="C190" s="6"/>
      <c r="D190" s="4"/>
      <c r="E190" s="11"/>
      <c r="F190" s="9" t="str">
        <f t="shared" si="4"/>
        <v/>
      </c>
      <c r="G190" s="12"/>
      <c r="H190" s="12"/>
      <c r="I190" s="9">
        <f t="shared" si="5"/>
        <v>0</v>
      </c>
      <c r="J190" s="7"/>
    </row>
    <row r="191" spans="1:10" ht="16" customHeight="1" x14ac:dyDescent="0.2">
      <c r="A191" s="7"/>
      <c r="B191" s="7"/>
      <c r="C191" s="6"/>
      <c r="D191" s="4"/>
      <c r="E191" s="11"/>
      <c r="F191" s="9" t="str">
        <f t="shared" si="4"/>
        <v/>
      </c>
      <c r="G191" s="12"/>
      <c r="H191" s="12"/>
      <c r="I191" s="9">
        <f t="shared" si="5"/>
        <v>0</v>
      </c>
      <c r="J191" s="7"/>
    </row>
    <row r="192" spans="1:10" ht="16" customHeight="1" x14ac:dyDescent="0.2">
      <c r="A192" s="7"/>
      <c r="B192" s="7"/>
      <c r="C192" s="6"/>
      <c r="D192" s="4"/>
      <c r="E192" s="11"/>
      <c r="F192" s="9" t="str">
        <f t="shared" si="4"/>
        <v/>
      </c>
      <c r="G192" s="12"/>
      <c r="H192" s="12"/>
      <c r="I192" s="9">
        <f t="shared" si="5"/>
        <v>0</v>
      </c>
      <c r="J192" s="7"/>
    </row>
    <row r="193" spans="1:10" ht="16" customHeight="1" x14ac:dyDescent="0.2">
      <c r="A193" s="7"/>
      <c r="B193" s="7"/>
      <c r="C193" s="6"/>
      <c r="D193" s="4"/>
      <c r="E193" s="11"/>
      <c r="F193" s="9" t="str">
        <f t="shared" si="4"/>
        <v/>
      </c>
      <c r="G193" s="12"/>
      <c r="H193" s="12"/>
      <c r="I193" s="9">
        <f t="shared" si="5"/>
        <v>0</v>
      </c>
      <c r="J193" s="7"/>
    </row>
    <row r="194" spans="1:10" ht="16" customHeight="1" x14ac:dyDescent="0.2">
      <c r="A194" s="7"/>
      <c r="B194" s="7"/>
      <c r="C194" s="6"/>
      <c r="D194" s="4"/>
      <c r="E194" s="11"/>
      <c r="F194" s="9" t="str">
        <f t="shared" si="4"/>
        <v/>
      </c>
      <c r="G194" s="12"/>
      <c r="H194" s="12"/>
      <c r="I194" s="9">
        <f t="shared" si="5"/>
        <v>0</v>
      </c>
      <c r="J194" s="7"/>
    </row>
    <row r="195" spans="1:10" ht="16" customHeight="1" x14ac:dyDescent="0.2">
      <c r="A195" s="7"/>
      <c r="B195" s="7"/>
      <c r="C195" s="6"/>
      <c r="D195" s="4"/>
      <c r="E195" s="11"/>
      <c r="F195" s="9" t="str">
        <f t="shared" si="4"/>
        <v/>
      </c>
      <c r="G195" s="12"/>
      <c r="H195" s="12"/>
      <c r="I195" s="9">
        <f t="shared" si="5"/>
        <v>0</v>
      </c>
      <c r="J195" s="7"/>
    </row>
    <row r="196" spans="1:10" ht="16" customHeight="1" x14ac:dyDescent="0.2">
      <c r="A196" s="7"/>
      <c r="B196" s="7"/>
      <c r="C196" s="6"/>
      <c r="D196" s="4"/>
      <c r="E196" s="11"/>
      <c r="F196" s="9" t="str">
        <f t="shared" si="4"/>
        <v/>
      </c>
      <c r="G196" s="12"/>
      <c r="H196" s="12"/>
      <c r="I196" s="9">
        <f t="shared" si="5"/>
        <v>0</v>
      </c>
      <c r="J196" s="7"/>
    </row>
    <row r="197" spans="1:10" ht="16" customHeight="1" x14ac:dyDescent="0.2">
      <c r="A197" s="7"/>
      <c r="B197" s="7"/>
      <c r="C197" s="6"/>
      <c r="D197" s="4"/>
      <c r="E197" s="11"/>
      <c r="F197" s="9" t="str">
        <f t="shared" ref="F197:F260" si="6">IFERROR(D197/E197,"")</f>
        <v/>
      </c>
      <c r="G197" s="12"/>
      <c r="H197" s="12"/>
      <c r="I197" s="9">
        <f t="shared" ref="I197:I260" si="7">IFERROR(SUM(F197:H197),"")</f>
        <v>0</v>
      </c>
      <c r="J197" s="7"/>
    </row>
    <row r="198" spans="1:10" ht="16" customHeight="1" x14ac:dyDescent="0.2">
      <c r="A198" s="7"/>
      <c r="B198" s="7"/>
      <c r="C198" s="6"/>
      <c r="D198" s="4"/>
      <c r="E198" s="11"/>
      <c r="F198" s="9" t="str">
        <f t="shared" si="6"/>
        <v/>
      </c>
      <c r="G198" s="12"/>
      <c r="H198" s="12"/>
      <c r="I198" s="9">
        <f t="shared" si="7"/>
        <v>0</v>
      </c>
      <c r="J198" s="7"/>
    </row>
    <row r="199" spans="1:10" ht="16" customHeight="1" x14ac:dyDescent="0.2">
      <c r="A199" s="7"/>
      <c r="B199" s="7"/>
      <c r="C199" s="6"/>
      <c r="D199" s="4"/>
      <c r="E199" s="11"/>
      <c r="F199" s="9" t="str">
        <f t="shared" si="6"/>
        <v/>
      </c>
      <c r="G199" s="12"/>
      <c r="H199" s="12"/>
      <c r="I199" s="9">
        <f t="shared" si="7"/>
        <v>0</v>
      </c>
      <c r="J199" s="7"/>
    </row>
    <row r="200" spans="1:10" ht="16" customHeight="1" x14ac:dyDescent="0.2">
      <c r="A200" s="7"/>
      <c r="B200" s="7"/>
      <c r="C200" s="6"/>
      <c r="D200" s="4"/>
      <c r="E200" s="11"/>
      <c r="F200" s="9" t="str">
        <f t="shared" si="6"/>
        <v/>
      </c>
      <c r="G200" s="12"/>
      <c r="H200" s="12"/>
      <c r="I200" s="9">
        <f t="shared" si="7"/>
        <v>0</v>
      </c>
      <c r="J200" s="7"/>
    </row>
    <row r="201" spans="1:10" ht="16" customHeight="1" x14ac:dyDescent="0.2">
      <c r="A201" s="7"/>
      <c r="B201" s="7"/>
      <c r="C201" s="6"/>
      <c r="D201" s="4"/>
      <c r="E201" s="11"/>
      <c r="F201" s="9" t="str">
        <f t="shared" si="6"/>
        <v/>
      </c>
      <c r="G201" s="12"/>
      <c r="H201" s="12"/>
      <c r="I201" s="9">
        <f t="shared" si="7"/>
        <v>0</v>
      </c>
      <c r="J201" s="7"/>
    </row>
    <row r="202" spans="1:10" ht="16" customHeight="1" x14ac:dyDescent="0.2">
      <c r="A202" s="7"/>
      <c r="B202" s="7"/>
      <c r="C202" s="6"/>
      <c r="D202" s="4"/>
      <c r="E202" s="11"/>
      <c r="F202" s="9" t="str">
        <f t="shared" si="6"/>
        <v/>
      </c>
      <c r="G202" s="12"/>
      <c r="H202" s="12"/>
      <c r="I202" s="9">
        <f t="shared" si="7"/>
        <v>0</v>
      </c>
      <c r="J202" s="7"/>
    </row>
    <row r="203" spans="1:10" ht="16" customHeight="1" x14ac:dyDescent="0.2">
      <c r="A203" s="7"/>
      <c r="B203" s="7"/>
      <c r="C203" s="6"/>
      <c r="D203" s="4"/>
      <c r="E203" s="11"/>
      <c r="F203" s="9" t="str">
        <f t="shared" si="6"/>
        <v/>
      </c>
      <c r="G203" s="12"/>
      <c r="H203" s="12"/>
      <c r="I203" s="9">
        <f t="shared" si="7"/>
        <v>0</v>
      </c>
      <c r="J203" s="7"/>
    </row>
    <row r="204" spans="1:10" x14ac:dyDescent="0.2">
      <c r="F204" t="str">
        <f t="shared" si="6"/>
        <v/>
      </c>
      <c r="I204">
        <f t="shared" si="7"/>
        <v>0</v>
      </c>
    </row>
    <row r="205" spans="1:10" x14ac:dyDescent="0.2">
      <c r="F205" t="str">
        <f t="shared" si="6"/>
        <v/>
      </c>
      <c r="I205">
        <f t="shared" si="7"/>
        <v>0</v>
      </c>
    </row>
    <row r="206" spans="1:10" x14ac:dyDescent="0.2">
      <c r="F206" t="str">
        <f t="shared" si="6"/>
        <v/>
      </c>
      <c r="I206">
        <f t="shared" si="7"/>
        <v>0</v>
      </c>
    </row>
    <row r="207" spans="1:10" x14ac:dyDescent="0.2">
      <c r="F207" t="str">
        <f t="shared" si="6"/>
        <v/>
      </c>
      <c r="I207">
        <f t="shared" si="7"/>
        <v>0</v>
      </c>
    </row>
    <row r="208" spans="1:10" x14ac:dyDescent="0.2">
      <c r="F208" t="str">
        <f t="shared" si="6"/>
        <v/>
      </c>
      <c r="I208">
        <f t="shared" si="7"/>
        <v>0</v>
      </c>
    </row>
    <row r="209" spans="6:9" x14ac:dyDescent="0.2">
      <c r="F209" t="str">
        <f t="shared" si="6"/>
        <v/>
      </c>
      <c r="I209">
        <f t="shared" si="7"/>
        <v>0</v>
      </c>
    </row>
    <row r="210" spans="6:9" x14ac:dyDescent="0.2">
      <c r="F210" t="str">
        <f t="shared" si="6"/>
        <v/>
      </c>
      <c r="I210">
        <f t="shared" si="7"/>
        <v>0</v>
      </c>
    </row>
    <row r="211" spans="6:9" x14ac:dyDescent="0.2">
      <c r="F211" t="str">
        <f t="shared" si="6"/>
        <v/>
      </c>
      <c r="I211">
        <f t="shared" si="7"/>
        <v>0</v>
      </c>
    </row>
    <row r="212" spans="6:9" x14ac:dyDescent="0.2">
      <c r="F212" t="str">
        <f t="shared" si="6"/>
        <v/>
      </c>
      <c r="I212">
        <f t="shared" si="7"/>
        <v>0</v>
      </c>
    </row>
    <row r="213" spans="6:9" x14ac:dyDescent="0.2">
      <c r="F213" t="str">
        <f t="shared" si="6"/>
        <v/>
      </c>
      <c r="I213">
        <f t="shared" si="7"/>
        <v>0</v>
      </c>
    </row>
    <row r="214" spans="6:9" x14ac:dyDescent="0.2">
      <c r="F214" t="str">
        <f t="shared" si="6"/>
        <v/>
      </c>
      <c r="I214">
        <f t="shared" si="7"/>
        <v>0</v>
      </c>
    </row>
    <row r="215" spans="6:9" x14ac:dyDescent="0.2">
      <c r="F215" t="str">
        <f t="shared" si="6"/>
        <v/>
      </c>
      <c r="I215">
        <f t="shared" si="7"/>
        <v>0</v>
      </c>
    </row>
    <row r="216" spans="6:9" x14ac:dyDescent="0.2">
      <c r="F216" t="str">
        <f t="shared" si="6"/>
        <v/>
      </c>
      <c r="I216">
        <f t="shared" si="7"/>
        <v>0</v>
      </c>
    </row>
    <row r="217" spans="6:9" x14ac:dyDescent="0.2">
      <c r="F217" t="str">
        <f t="shared" si="6"/>
        <v/>
      </c>
      <c r="I217">
        <f t="shared" si="7"/>
        <v>0</v>
      </c>
    </row>
    <row r="218" spans="6:9" x14ac:dyDescent="0.2">
      <c r="F218" t="str">
        <f t="shared" si="6"/>
        <v/>
      </c>
      <c r="I218">
        <f t="shared" si="7"/>
        <v>0</v>
      </c>
    </row>
    <row r="219" spans="6:9" x14ac:dyDescent="0.2">
      <c r="F219" t="str">
        <f t="shared" si="6"/>
        <v/>
      </c>
      <c r="I219">
        <f t="shared" si="7"/>
        <v>0</v>
      </c>
    </row>
    <row r="220" spans="6:9" x14ac:dyDescent="0.2">
      <c r="F220" t="str">
        <f t="shared" si="6"/>
        <v/>
      </c>
      <c r="I220">
        <f t="shared" si="7"/>
        <v>0</v>
      </c>
    </row>
    <row r="221" spans="6:9" x14ac:dyDescent="0.2">
      <c r="F221" t="str">
        <f t="shared" si="6"/>
        <v/>
      </c>
      <c r="I221">
        <f t="shared" si="7"/>
        <v>0</v>
      </c>
    </row>
    <row r="222" spans="6:9" x14ac:dyDescent="0.2">
      <c r="F222" t="str">
        <f t="shared" si="6"/>
        <v/>
      </c>
      <c r="I222">
        <f t="shared" si="7"/>
        <v>0</v>
      </c>
    </row>
    <row r="223" spans="6:9" x14ac:dyDescent="0.2">
      <c r="F223" t="str">
        <f t="shared" si="6"/>
        <v/>
      </c>
      <c r="I223">
        <f t="shared" si="7"/>
        <v>0</v>
      </c>
    </row>
    <row r="224" spans="6:9" x14ac:dyDescent="0.2">
      <c r="F224" t="str">
        <f t="shared" si="6"/>
        <v/>
      </c>
      <c r="I224">
        <f t="shared" si="7"/>
        <v>0</v>
      </c>
    </row>
    <row r="225" spans="6:9" x14ac:dyDescent="0.2">
      <c r="F225" t="str">
        <f t="shared" si="6"/>
        <v/>
      </c>
      <c r="I225">
        <f t="shared" si="7"/>
        <v>0</v>
      </c>
    </row>
    <row r="226" spans="6:9" x14ac:dyDescent="0.2">
      <c r="F226" t="str">
        <f t="shared" si="6"/>
        <v/>
      </c>
      <c r="I226">
        <f t="shared" si="7"/>
        <v>0</v>
      </c>
    </row>
    <row r="227" spans="6:9" x14ac:dyDescent="0.2">
      <c r="F227" t="str">
        <f t="shared" si="6"/>
        <v/>
      </c>
      <c r="I227">
        <f t="shared" si="7"/>
        <v>0</v>
      </c>
    </row>
    <row r="228" spans="6:9" x14ac:dyDescent="0.2">
      <c r="F228" t="str">
        <f t="shared" si="6"/>
        <v/>
      </c>
      <c r="I228">
        <f t="shared" si="7"/>
        <v>0</v>
      </c>
    </row>
    <row r="229" spans="6:9" x14ac:dyDescent="0.2">
      <c r="F229" t="str">
        <f t="shared" si="6"/>
        <v/>
      </c>
      <c r="I229">
        <f t="shared" si="7"/>
        <v>0</v>
      </c>
    </row>
    <row r="230" spans="6:9" x14ac:dyDescent="0.2">
      <c r="F230" t="str">
        <f t="shared" si="6"/>
        <v/>
      </c>
      <c r="I230">
        <f t="shared" si="7"/>
        <v>0</v>
      </c>
    </row>
    <row r="231" spans="6:9" x14ac:dyDescent="0.2">
      <c r="F231" t="str">
        <f t="shared" si="6"/>
        <v/>
      </c>
      <c r="I231">
        <f t="shared" si="7"/>
        <v>0</v>
      </c>
    </row>
    <row r="232" spans="6:9" x14ac:dyDescent="0.2">
      <c r="F232" t="str">
        <f t="shared" si="6"/>
        <v/>
      </c>
      <c r="I232">
        <f t="shared" si="7"/>
        <v>0</v>
      </c>
    </row>
    <row r="233" spans="6:9" x14ac:dyDescent="0.2">
      <c r="F233" t="str">
        <f t="shared" si="6"/>
        <v/>
      </c>
      <c r="I233">
        <f t="shared" si="7"/>
        <v>0</v>
      </c>
    </row>
    <row r="234" spans="6:9" x14ac:dyDescent="0.2">
      <c r="F234" t="str">
        <f t="shared" si="6"/>
        <v/>
      </c>
      <c r="I234">
        <f t="shared" si="7"/>
        <v>0</v>
      </c>
    </row>
    <row r="235" spans="6:9" x14ac:dyDescent="0.2">
      <c r="F235" t="str">
        <f t="shared" si="6"/>
        <v/>
      </c>
      <c r="I235">
        <f t="shared" si="7"/>
        <v>0</v>
      </c>
    </row>
    <row r="236" spans="6:9" x14ac:dyDescent="0.2">
      <c r="F236" t="str">
        <f t="shared" si="6"/>
        <v/>
      </c>
      <c r="I236">
        <f t="shared" si="7"/>
        <v>0</v>
      </c>
    </row>
    <row r="237" spans="6:9" x14ac:dyDescent="0.2">
      <c r="F237" t="str">
        <f t="shared" si="6"/>
        <v/>
      </c>
      <c r="I237">
        <f t="shared" si="7"/>
        <v>0</v>
      </c>
    </row>
    <row r="238" spans="6:9" x14ac:dyDescent="0.2">
      <c r="F238" t="str">
        <f t="shared" si="6"/>
        <v/>
      </c>
      <c r="I238">
        <f t="shared" si="7"/>
        <v>0</v>
      </c>
    </row>
    <row r="239" spans="6:9" x14ac:dyDescent="0.2">
      <c r="F239" t="str">
        <f t="shared" si="6"/>
        <v/>
      </c>
      <c r="I239">
        <f t="shared" si="7"/>
        <v>0</v>
      </c>
    </row>
    <row r="240" spans="6:9" x14ac:dyDescent="0.2">
      <c r="F240" t="str">
        <f t="shared" si="6"/>
        <v/>
      </c>
      <c r="I240">
        <f t="shared" si="7"/>
        <v>0</v>
      </c>
    </row>
    <row r="241" spans="6:9" x14ac:dyDescent="0.2">
      <c r="F241" t="str">
        <f t="shared" si="6"/>
        <v/>
      </c>
      <c r="I241">
        <f t="shared" si="7"/>
        <v>0</v>
      </c>
    </row>
    <row r="242" spans="6:9" x14ac:dyDescent="0.2">
      <c r="F242" t="str">
        <f t="shared" si="6"/>
        <v/>
      </c>
      <c r="I242">
        <f t="shared" si="7"/>
        <v>0</v>
      </c>
    </row>
    <row r="243" spans="6:9" x14ac:dyDescent="0.2">
      <c r="F243" t="str">
        <f t="shared" si="6"/>
        <v/>
      </c>
      <c r="I243">
        <f t="shared" si="7"/>
        <v>0</v>
      </c>
    </row>
    <row r="244" spans="6:9" x14ac:dyDescent="0.2">
      <c r="F244" t="str">
        <f t="shared" si="6"/>
        <v/>
      </c>
      <c r="I244">
        <f t="shared" si="7"/>
        <v>0</v>
      </c>
    </row>
    <row r="245" spans="6:9" x14ac:dyDescent="0.2">
      <c r="F245" t="str">
        <f t="shared" si="6"/>
        <v/>
      </c>
      <c r="I245">
        <f t="shared" si="7"/>
        <v>0</v>
      </c>
    </row>
    <row r="246" spans="6:9" x14ac:dyDescent="0.2">
      <c r="F246" t="str">
        <f t="shared" si="6"/>
        <v/>
      </c>
      <c r="I246">
        <f t="shared" si="7"/>
        <v>0</v>
      </c>
    </row>
    <row r="247" spans="6:9" x14ac:dyDescent="0.2">
      <c r="F247" t="str">
        <f t="shared" si="6"/>
        <v/>
      </c>
      <c r="I247">
        <f t="shared" si="7"/>
        <v>0</v>
      </c>
    </row>
    <row r="248" spans="6:9" x14ac:dyDescent="0.2">
      <c r="F248" t="str">
        <f t="shared" si="6"/>
        <v/>
      </c>
      <c r="I248">
        <f t="shared" si="7"/>
        <v>0</v>
      </c>
    </row>
    <row r="249" spans="6:9" x14ac:dyDescent="0.2">
      <c r="F249" t="str">
        <f t="shared" si="6"/>
        <v/>
      </c>
      <c r="I249">
        <f t="shared" si="7"/>
        <v>0</v>
      </c>
    </row>
    <row r="250" spans="6:9" x14ac:dyDescent="0.2">
      <c r="F250" t="str">
        <f t="shared" si="6"/>
        <v/>
      </c>
      <c r="I250">
        <f t="shared" si="7"/>
        <v>0</v>
      </c>
    </row>
    <row r="251" spans="6:9" x14ac:dyDescent="0.2">
      <c r="F251" t="str">
        <f t="shared" si="6"/>
        <v/>
      </c>
      <c r="I251">
        <f t="shared" si="7"/>
        <v>0</v>
      </c>
    </row>
    <row r="252" spans="6:9" x14ac:dyDescent="0.2">
      <c r="F252" t="str">
        <f t="shared" si="6"/>
        <v/>
      </c>
      <c r="I252">
        <f t="shared" si="7"/>
        <v>0</v>
      </c>
    </row>
    <row r="253" spans="6:9" x14ac:dyDescent="0.2">
      <c r="F253" t="str">
        <f t="shared" si="6"/>
        <v/>
      </c>
      <c r="I253">
        <f t="shared" si="7"/>
        <v>0</v>
      </c>
    </row>
    <row r="254" spans="6:9" x14ac:dyDescent="0.2">
      <c r="F254" t="str">
        <f t="shared" si="6"/>
        <v/>
      </c>
      <c r="I254">
        <f t="shared" si="7"/>
        <v>0</v>
      </c>
    </row>
    <row r="255" spans="6:9" x14ac:dyDescent="0.2">
      <c r="F255" t="str">
        <f t="shared" si="6"/>
        <v/>
      </c>
      <c r="I255">
        <f t="shared" si="7"/>
        <v>0</v>
      </c>
    </row>
    <row r="256" spans="6:9" x14ac:dyDescent="0.2">
      <c r="F256" t="str">
        <f t="shared" si="6"/>
        <v/>
      </c>
      <c r="I256">
        <f t="shared" si="7"/>
        <v>0</v>
      </c>
    </row>
    <row r="257" spans="6:9" x14ac:dyDescent="0.2">
      <c r="F257" t="str">
        <f t="shared" si="6"/>
        <v/>
      </c>
      <c r="I257">
        <f t="shared" si="7"/>
        <v>0</v>
      </c>
    </row>
    <row r="258" spans="6:9" x14ac:dyDescent="0.2">
      <c r="F258" t="str">
        <f t="shared" si="6"/>
        <v/>
      </c>
      <c r="I258">
        <f t="shared" si="7"/>
        <v>0</v>
      </c>
    </row>
    <row r="259" spans="6:9" x14ac:dyDescent="0.2">
      <c r="F259" t="str">
        <f t="shared" si="6"/>
        <v/>
      </c>
      <c r="I259">
        <f t="shared" si="7"/>
        <v>0</v>
      </c>
    </row>
    <row r="260" spans="6:9" x14ac:dyDescent="0.2">
      <c r="F260" t="str">
        <f t="shared" si="6"/>
        <v/>
      </c>
      <c r="I260">
        <f t="shared" si="7"/>
        <v>0</v>
      </c>
    </row>
    <row r="261" spans="6:9" x14ac:dyDescent="0.2">
      <c r="F261" t="str">
        <f t="shared" ref="F261:F303" si="8">IFERROR(D261/E261,"")</f>
        <v/>
      </c>
      <c r="I261">
        <f t="shared" ref="I261:I303" si="9">IFERROR(SUM(F261:H261),"")</f>
        <v>0</v>
      </c>
    </row>
    <row r="262" spans="6:9" x14ac:dyDescent="0.2">
      <c r="F262" t="str">
        <f t="shared" si="8"/>
        <v/>
      </c>
      <c r="I262">
        <f t="shared" si="9"/>
        <v>0</v>
      </c>
    </row>
    <row r="263" spans="6:9" x14ac:dyDescent="0.2">
      <c r="F263" t="str">
        <f t="shared" si="8"/>
        <v/>
      </c>
      <c r="I263">
        <f t="shared" si="9"/>
        <v>0</v>
      </c>
    </row>
    <row r="264" spans="6:9" x14ac:dyDescent="0.2">
      <c r="F264" t="str">
        <f t="shared" si="8"/>
        <v/>
      </c>
      <c r="I264">
        <f t="shared" si="9"/>
        <v>0</v>
      </c>
    </row>
    <row r="265" spans="6:9" x14ac:dyDescent="0.2">
      <c r="F265" t="str">
        <f t="shared" si="8"/>
        <v/>
      </c>
      <c r="I265">
        <f t="shared" si="9"/>
        <v>0</v>
      </c>
    </row>
    <row r="266" spans="6:9" x14ac:dyDescent="0.2">
      <c r="F266" t="str">
        <f t="shared" si="8"/>
        <v/>
      </c>
      <c r="I266">
        <f t="shared" si="9"/>
        <v>0</v>
      </c>
    </row>
    <row r="267" spans="6:9" x14ac:dyDescent="0.2">
      <c r="F267" t="str">
        <f t="shared" si="8"/>
        <v/>
      </c>
      <c r="I267">
        <f t="shared" si="9"/>
        <v>0</v>
      </c>
    </row>
    <row r="268" spans="6:9" x14ac:dyDescent="0.2">
      <c r="F268" t="str">
        <f t="shared" si="8"/>
        <v/>
      </c>
      <c r="I268">
        <f t="shared" si="9"/>
        <v>0</v>
      </c>
    </row>
    <row r="269" spans="6:9" x14ac:dyDescent="0.2">
      <c r="F269" t="str">
        <f t="shared" si="8"/>
        <v/>
      </c>
      <c r="I269">
        <f t="shared" si="9"/>
        <v>0</v>
      </c>
    </row>
    <row r="270" spans="6:9" x14ac:dyDescent="0.2">
      <c r="F270" t="str">
        <f t="shared" si="8"/>
        <v/>
      </c>
      <c r="I270">
        <f t="shared" si="9"/>
        <v>0</v>
      </c>
    </row>
    <row r="271" spans="6:9" x14ac:dyDescent="0.2">
      <c r="F271" t="str">
        <f t="shared" si="8"/>
        <v/>
      </c>
      <c r="I271">
        <f t="shared" si="9"/>
        <v>0</v>
      </c>
    </row>
    <row r="272" spans="6:9" x14ac:dyDescent="0.2">
      <c r="F272" t="str">
        <f t="shared" si="8"/>
        <v/>
      </c>
      <c r="I272">
        <f t="shared" si="9"/>
        <v>0</v>
      </c>
    </row>
    <row r="273" spans="6:9" x14ac:dyDescent="0.2">
      <c r="F273" t="str">
        <f t="shared" si="8"/>
        <v/>
      </c>
      <c r="I273">
        <f t="shared" si="9"/>
        <v>0</v>
      </c>
    </row>
    <row r="274" spans="6:9" x14ac:dyDescent="0.2">
      <c r="F274" t="str">
        <f t="shared" si="8"/>
        <v/>
      </c>
      <c r="I274">
        <f t="shared" si="9"/>
        <v>0</v>
      </c>
    </row>
    <row r="275" spans="6:9" x14ac:dyDescent="0.2">
      <c r="F275" t="str">
        <f t="shared" si="8"/>
        <v/>
      </c>
      <c r="I275">
        <f t="shared" si="9"/>
        <v>0</v>
      </c>
    </row>
    <row r="276" spans="6:9" x14ac:dyDescent="0.2">
      <c r="F276" t="str">
        <f t="shared" si="8"/>
        <v/>
      </c>
      <c r="I276">
        <f t="shared" si="9"/>
        <v>0</v>
      </c>
    </row>
    <row r="277" spans="6:9" x14ac:dyDescent="0.2">
      <c r="F277" t="str">
        <f t="shared" si="8"/>
        <v/>
      </c>
      <c r="I277">
        <f t="shared" si="9"/>
        <v>0</v>
      </c>
    </row>
    <row r="278" spans="6:9" x14ac:dyDescent="0.2">
      <c r="F278" t="str">
        <f t="shared" si="8"/>
        <v/>
      </c>
      <c r="I278">
        <f t="shared" si="9"/>
        <v>0</v>
      </c>
    </row>
    <row r="279" spans="6:9" x14ac:dyDescent="0.2">
      <c r="F279" t="str">
        <f t="shared" si="8"/>
        <v/>
      </c>
      <c r="I279">
        <f t="shared" si="9"/>
        <v>0</v>
      </c>
    </row>
    <row r="280" spans="6:9" x14ac:dyDescent="0.2">
      <c r="F280" t="str">
        <f t="shared" si="8"/>
        <v/>
      </c>
      <c r="I280">
        <f t="shared" si="9"/>
        <v>0</v>
      </c>
    </row>
    <row r="281" spans="6:9" x14ac:dyDescent="0.2">
      <c r="F281" t="str">
        <f t="shared" si="8"/>
        <v/>
      </c>
      <c r="I281">
        <f t="shared" si="9"/>
        <v>0</v>
      </c>
    </row>
    <row r="282" spans="6:9" x14ac:dyDescent="0.2">
      <c r="F282" t="str">
        <f t="shared" si="8"/>
        <v/>
      </c>
      <c r="I282">
        <f t="shared" si="9"/>
        <v>0</v>
      </c>
    </row>
    <row r="283" spans="6:9" x14ac:dyDescent="0.2">
      <c r="F283" t="str">
        <f t="shared" si="8"/>
        <v/>
      </c>
      <c r="I283">
        <f t="shared" si="9"/>
        <v>0</v>
      </c>
    </row>
    <row r="284" spans="6:9" x14ac:dyDescent="0.2">
      <c r="F284" t="str">
        <f t="shared" si="8"/>
        <v/>
      </c>
      <c r="I284">
        <f t="shared" si="9"/>
        <v>0</v>
      </c>
    </row>
    <row r="285" spans="6:9" x14ac:dyDescent="0.2">
      <c r="F285" t="str">
        <f t="shared" si="8"/>
        <v/>
      </c>
      <c r="I285">
        <f t="shared" si="9"/>
        <v>0</v>
      </c>
    </row>
    <row r="286" spans="6:9" x14ac:dyDescent="0.2">
      <c r="F286" t="str">
        <f t="shared" si="8"/>
        <v/>
      </c>
      <c r="I286">
        <f t="shared" si="9"/>
        <v>0</v>
      </c>
    </row>
    <row r="287" spans="6:9" x14ac:dyDescent="0.2">
      <c r="F287" t="str">
        <f t="shared" si="8"/>
        <v/>
      </c>
      <c r="I287">
        <f t="shared" si="9"/>
        <v>0</v>
      </c>
    </row>
    <row r="288" spans="6:9" x14ac:dyDescent="0.2">
      <c r="F288" t="str">
        <f t="shared" si="8"/>
        <v/>
      </c>
      <c r="I288">
        <f t="shared" si="9"/>
        <v>0</v>
      </c>
    </row>
    <row r="289" spans="6:9" x14ac:dyDescent="0.2">
      <c r="F289" t="str">
        <f t="shared" si="8"/>
        <v/>
      </c>
      <c r="I289">
        <f t="shared" si="9"/>
        <v>0</v>
      </c>
    </row>
    <row r="290" spans="6:9" x14ac:dyDescent="0.2">
      <c r="F290" t="str">
        <f t="shared" si="8"/>
        <v/>
      </c>
      <c r="I290">
        <f t="shared" si="9"/>
        <v>0</v>
      </c>
    </row>
    <row r="291" spans="6:9" x14ac:dyDescent="0.2">
      <c r="F291" t="str">
        <f t="shared" si="8"/>
        <v/>
      </c>
      <c r="I291">
        <f t="shared" si="9"/>
        <v>0</v>
      </c>
    </row>
    <row r="292" spans="6:9" x14ac:dyDescent="0.2">
      <c r="F292" t="str">
        <f t="shared" si="8"/>
        <v/>
      </c>
      <c r="I292">
        <f t="shared" si="9"/>
        <v>0</v>
      </c>
    </row>
    <row r="293" spans="6:9" x14ac:dyDescent="0.2">
      <c r="F293" t="str">
        <f t="shared" si="8"/>
        <v/>
      </c>
      <c r="I293">
        <f t="shared" si="9"/>
        <v>0</v>
      </c>
    </row>
    <row r="294" spans="6:9" x14ac:dyDescent="0.2">
      <c r="F294" t="str">
        <f t="shared" si="8"/>
        <v/>
      </c>
      <c r="I294">
        <f t="shared" si="9"/>
        <v>0</v>
      </c>
    </row>
    <row r="295" spans="6:9" x14ac:dyDescent="0.2">
      <c r="F295" t="str">
        <f t="shared" si="8"/>
        <v/>
      </c>
      <c r="I295">
        <f t="shared" si="9"/>
        <v>0</v>
      </c>
    </row>
    <row r="296" spans="6:9" x14ac:dyDescent="0.2">
      <c r="F296" t="str">
        <f t="shared" si="8"/>
        <v/>
      </c>
      <c r="I296">
        <f t="shared" si="9"/>
        <v>0</v>
      </c>
    </row>
    <row r="297" spans="6:9" x14ac:dyDescent="0.2">
      <c r="F297" t="str">
        <f t="shared" si="8"/>
        <v/>
      </c>
      <c r="I297">
        <f t="shared" si="9"/>
        <v>0</v>
      </c>
    </row>
    <row r="298" spans="6:9" x14ac:dyDescent="0.2">
      <c r="F298" t="str">
        <f t="shared" si="8"/>
        <v/>
      </c>
      <c r="I298">
        <f t="shared" si="9"/>
        <v>0</v>
      </c>
    </row>
    <row r="299" spans="6:9" x14ac:dyDescent="0.2">
      <c r="F299" t="str">
        <f t="shared" si="8"/>
        <v/>
      </c>
      <c r="I299">
        <f t="shared" si="9"/>
        <v>0</v>
      </c>
    </row>
    <row r="300" spans="6:9" x14ac:dyDescent="0.2">
      <c r="F300" t="str">
        <f t="shared" si="8"/>
        <v/>
      </c>
      <c r="I300">
        <f t="shared" si="9"/>
        <v>0</v>
      </c>
    </row>
    <row r="301" spans="6:9" x14ac:dyDescent="0.2">
      <c r="F301" t="str">
        <f t="shared" si="8"/>
        <v/>
      </c>
      <c r="I301">
        <f t="shared" si="9"/>
        <v>0</v>
      </c>
    </row>
    <row r="302" spans="6:9" x14ac:dyDescent="0.2">
      <c r="F302" t="str">
        <f t="shared" si="8"/>
        <v/>
      </c>
      <c r="I302">
        <f t="shared" si="9"/>
        <v>0</v>
      </c>
    </row>
    <row r="303" spans="6:9" x14ac:dyDescent="0.2">
      <c r="F303" t="str">
        <f t="shared" si="8"/>
        <v/>
      </c>
      <c r="I303">
        <f t="shared" si="9"/>
        <v>0</v>
      </c>
    </row>
  </sheetData>
  <mergeCells count="2">
    <mergeCell ref="A2:L2"/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50"/>
  </sheetPr>
  <dimension ref="A1:H21"/>
  <sheetViews>
    <sheetView showGridLines="0" workbookViewId="0">
      <pane ySplit="5" topLeftCell="A6" activePane="bottomLeft" state="frozen"/>
      <selection pane="bottomLeft" activeCell="B12" sqref="B12"/>
    </sheetView>
  </sheetViews>
  <sheetFormatPr baseColWidth="10" defaultColWidth="8.83203125" defaultRowHeight="15" x14ac:dyDescent="0.2"/>
  <cols>
    <col min="1" max="1" width="24" customWidth="1"/>
    <col min="2" max="2" width="28" customWidth="1"/>
    <col min="3" max="3" width="2" customWidth="1"/>
    <col min="4" max="4" width="12" customWidth="1"/>
    <col min="5" max="5" width="2" customWidth="1"/>
    <col min="6" max="6" width="28" customWidth="1"/>
    <col min="7" max="7" width="18" customWidth="1"/>
  </cols>
  <sheetData>
    <row r="1" spans="1:8" ht="26" customHeight="1" x14ac:dyDescent="0.2">
      <c r="A1" s="48" t="s">
        <v>125</v>
      </c>
      <c r="B1" s="49"/>
      <c r="C1" s="49"/>
      <c r="D1" s="49"/>
      <c r="E1" s="49"/>
      <c r="F1" s="49"/>
      <c r="G1" s="49"/>
      <c r="H1" s="50"/>
    </row>
    <row r="2" spans="1:8" ht="18" customHeight="1" x14ac:dyDescent="0.2">
      <c r="A2" s="56" t="s">
        <v>126</v>
      </c>
      <c r="B2" s="49"/>
      <c r="C2" s="49"/>
      <c r="D2" s="49"/>
      <c r="E2" s="49"/>
      <c r="F2" s="49"/>
      <c r="G2" s="49"/>
      <c r="H2" s="50"/>
    </row>
    <row r="4" spans="1:8" x14ac:dyDescent="0.2">
      <c r="A4" s="54" t="s">
        <v>127</v>
      </c>
      <c r="B4" s="49"/>
      <c r="C4" s="49"/>
      <c r="D4" s="50"/>
      <c r="F4" s="54" t="s">
        <v>128</v>
      </c>
      <c r="G4" s="50"/>
    </row>
    <row r="6" spans="1:8" ht="16" customHeight="1" x14ac:dyDescent="0.2">
      <c r="A6" s="13" t="s">
        <v>129</v>
      </c>
      <c r="B6" s="7" t="s">
        <v>220</v>
      </c>
      <c r="F6" s="14" t="s">
        <v>130</v>
      </c>
      <c r="G6" s="9">
        <f>IFERROR(VLOOKUP(B9,FILAMENTI_DB!$A:$J,10,FALSE),"")</f>
        <v>1.5560000000000001E-2</v>
      </c>
    </row>
    <row r="7" spans="1:8" ht="16" customHeight="1" x14ac:dyDescent="0.2">
      <c r="A7" s="13" t="s">
        <v>131</v>
      </c>
      <c r="B7" s="7" t="s">
        <v>219</v>
      </c>
      <c r="F7" s="14" t="s">
        <v>132</v>
      </c>
      <c r="G7" s="10">
        <f>IFERROR(B11*G6,"")</f>
        <v>0.12448000000000001</v>
      </c>
    </row>
    <row r="8" spans="1:8" ht="16" customHeight="1" x14ac:dyDescent="0.2">
      <c r="A8" s="13" t="s">
        <v>133</v>
      </c>
      <c r="B8" s="15" t="s">
        <v>106</v>
      </c>
      <c r="F8" s="14" t="s">
        <v>134</v>
      </c>
      <c r="G8" s="16">
        <f>IFERROR(VLOOKUP(B10,STAMPANTI_DB!$A:$C,3,FALSE),"")</f>
        <v>150</v>
      </c>
    </row>
    <row r="9" spans="1:8" ht="16" customHeight="1" x14ac:dyDescent="0.2">
      <c r="A9" s="13" t="s">
        <v>135</v>
      </c>
      <c r="B9" s="7" t="s">
        <v>224</v>
      </c>
      <c r="F9" s="14" t="s">
        <v>136</v>
      </c>
      <c r="G9" s="10">
        <f>IFERROR((G8/1000)*B12*SETTINGS!$C$6,"")</f>
        <v>2.2499999999999999E-2</v>
      </c>
    </row>
    <row r="10" spans="1:8" ht="16" customHeight="1" x14ac:dyDescent="0.2">
      <c r="A10" s="13" t="s">
        <v>137</v>
      </c>
      <c r="B10" s="7" t="s">
        <v>123</v>
      </c>
      <c r="F10" s="14" t="s">
        <v>138</v>
      </c>
      <c r="G10" s="9">
        <f>IFERROR(VLOOKUP(B10,STAMPANTI_DB!$A:$I,9,FALSE),"")</f>
        <v>0.3125</v>
      </c>
    </row>
    <row r="11" spans="1:8" ht="16" customHeight="1" x14ac:dyDescent="0.2">
      <c r="A11" s="13" t="s">
        <v>139</v>
      </c>
      <c r="B11" s="6">
        <v>8</v>
      </c>
      <c r="F11" s="14" t="s">
        <v>140</v>
      </c>
      <c r="G11" s="10">
        <f>IFERROR(B12*G10,"")</f>
        <v>0.3125</v>
      </c>
    </row>
    <row r="12" spans="1:8" ht="16" customHeight="1" x14ac:dyDescent="0.2">
      <c r="A12" s="13" t="s">
        <v>141</v>
      </c>
      <c r="B12" s="8">
        <v>1</v>
      </c>
      <c r="F12" s="14" t="s">
        <v>142</v>
      </c>
      <c r="G12" s="10">
        <f>IFERROR(B13*SETTINGS!$C$7,"")</f>
        <v>0.5</v>
      </c>
    </row>
    <row r="13" spans="1:8" ht="16" customHeight="1" x14ac:dyDescent="0.2">
      <c r="A13" s="13" t="s">
        <v>143</v>
      </c>
      <c r="B13" s="8">
        <v>0.05</v>
      </c>
      <c r="F13" s="14" t="s">
        <v>144</v>
      </c>
      <c r="G13" s="10">
        <f>SETTINGS!$C$11</f>
        <v>0.5</v>
      </c>
    </row>
    <row r="14" spans="1:8" ht="16" customHeight="1" x14ac:dyDescent="0.2">
      <c r="F14" s="14" t="s">
        <v>145</v>
      </c>
      <c r="G14" s="10">
        <f>IFERROR(SUM(G7,G9,G11,G12,G13),"")</f>
        <v>1.4594800000000001</v>
      </c>
    </row>
    <row r="15" spans="1:8" ht="16" customHeight="1" x14ac:dyDescent="0.2">
      <c r="A15" s="13" t="s">
        <v>146</v>
      </c>
      <c r="B15" s="3" t="str">
        <f>IFERROR(TEXT(B8,"yyyymmdd")&amp;"-"&amp;SUBSTITUTE(LEFT(B6,20)," ","_"),"")</f>
        <v>yyyy02dd-Karak_Mage</v>
      </c>
      <c r="F15" s="14" t="s">
        <v>147</v>
      </c>
      <c r="G15" s="10">
        <f>IFERROR(G14*SETTINGS!$C$9,"")</f>
        <v>7.2974000000000011E-2</v>
      </c>
    </row>
    <row r="16" spans="1:8" ht="16" customHeight="1" x14ac:dyDescent="0.2">
      <c r="A16" s="2" t="s">
        <v>148</v>
      </c>
      <c r="F16" s="14" t="s">
        <v>149</v>
      </c>
      <c r="G16" s="10">
        <f>IFERROR((G14+G15)*SETTINGS!$C$10,"")</f>
        <v>7.6622700000000016E-2</v>
      </c>
    </row>
    <row r="17" spans="1:7" ht="70" customHeight="1" x14ac:dyDescent="0.2">
      <c r="A17" s="53" t="s">
        <v>150</v>
      </c>
      <c r="B17" s="58"/>
      <c r="C17" s="58"/>
      <c r="D17" s="59"/>
      <c r="F17" s="14" t="s">
        <v>151</v>
      </c>
      <c r="G17" s="10">
        <f>IFERROR(G14+G15+G16,"")</f>
        <v>1.6090767000000001</v>
      </c>
    </row>
    <row r="18" spans="1:7" ht="16" customHeight="1" x14ac:dyDescent="0.2">
      <c r="A18" s="60"/>
      <c r="B18" s="61"/>
      <c r="C18" s="61"/>
      <c r="D18" s="62"/>
      <c r="F18" s="14" t="s">
        <v>152</v>
      </c>
      <c r="G18" s="10">
        <f>IFERROR(G17*(1+SETTINGS!$C$8),"")</f>
        <v>2.0917997100000001</v>
      </c>
    </row>
    <row r="19" spans="1:7" ht="16" customHeight="1" x14ac:dyDescent="0.2">
      <c r="A19" s="60"/>
      <c r="B19" s="61"/>
      <c r="C19" s="61"/>
      <c r="D19" s="62"/>
      <c r="F19" s="14" t="s">
        <v>153</v>
      </c>
      <c r="G19" s="10">
        <f>IFERROR(G18-G17,"")</f>
        <v>0.48272300999999995</v>
      </c>
    </row>
    <row r="20" spans="1:7" x14ac:dyDescent="0.2">
      <c r="A20" s="60"/>
      <c r="B20" s="61"/>
      <c r="C20" s="61"/>
      <c r="D20" s="62"/>
    </row>
    <row r="21" spans="1:7" x14ac:dyDescent="0.2">
      <c r="A21" s="63"/>
      <c r="B21" s="64"/>
      <c r="C21" s="64"/>
      <c r="D21" s="65"/>
    </row>
  </sheetData>
  <mergeCells count="5">
    <mergeCell ref="F4:G4"/>
    <mergeCell ref="A4:D4"/>
    <mergeCell ref="A2:H2"/>
    <mergeCell ref="A1:H1"/>
    <mergeCell ref="A17:D21"/>
  </mergeCell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31992E6-A660-4B1E-BBA3-A952C18D4DCF}">
          <x14:formula1>
            <xm:f>STAMPANTI_DB!$A$5</xm:f>
          </x14:formula1>
          <xm:sqref>B10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7030A0"/>
  </sheetPr>
  <dimension ref="A1:AD999"/>
  <sheetViews>
    <sheetView showGridLines="0" topLeftCell="I1" workbookViewId="0">
      <pane ySplit="4" topLeftCell="A5" activePane="bottomLeft" state="frozen"/>
      <selection activeCell="I1" sqref="I1"/>
      <selection pane="bottomLeft" activeCell="AE13" sqref="AE13"/>
    </sheetView>
  </sheetViews>
  <sheetFormatPr baseColWidth="10" defaultColWidth="8.83203125" defaultRowHeight="15" outlineLevelCol="1" x14ac:dyDescent="0.2"/>
  <cols>
    <col min="1" max="1" width="23.1640625" customWidth="1"/>
    <col min="2" max="2" width="34.1640625" bestFit="1" customWidth="1"/>
    <col min="3" max="3" width="19.83203125" bestFit="1" customWidth="1"/>
    <col min="4" max="4" width="11.83203125" bestFit="1" customWidth="1"/>
    <col min="5" max="5" width="10.6640625" bestFit="1" customWidth="1"/>
    <col min="6" max="6" width="17" bestFit="1" customWidth="1"/>
    <col min="7" max="7" width="16.5" bestFit="1" customWidth="1"/>
    <col min="8" max="8" width="13.83203125" bestFit="1" customWidth="1"/>
    <col min="9" max="9" width="11.33203125" bestFit="1" customWidth="1"/>
    <col min="10" max="10" width="18.6640625" bestFit="1" customWidth="1"/>
    <col min="11" max="11" width="14.5" bestFit="1" customWidth="1"/>
    <col min="12" max="12" width="14.83203125" bestFit="1" customWidth="1"/>
    <col min="13" max="13" width="14.5" bestFit="1" customWidth="1"/>
    <col min="14" max="15" width="16.83203125" bestFit="1" customWidth="1"/>
    <col min="16" max="16" width="20.5" bestFit="1" customWidth="1"/>
    <col min="17" max="17" width="24.6640625" bestFit="1" customWidth="1"/>
    <col min="18" max="18" width="17.5" bestFit="1" customWidth="1"/>
    <col min="19" max="19" width="16" bestFit="1" customWidth="1"/>
    <col min="20" max="20" width="19" bestFit="1" customWidth="1"/>
    <col min="21" max="21" width="14.83203125" hidden="1" customWidth="1"/>
    <col min="22" max="22" width="18.83203125" hidden="1" customWidth="1" outlineLevel="1"/>
    <col min="23" max="23" width="17.1640625" hidden="1" customWidth="1" outlineLevel="1"/>
    <col min="24" max="24" width="18.6640625" hidden="1" customWidth="1" outlineLevel="1"/>
    <col min="25" max="25" width="21.33203125" hidden="1" customWidth="1" outlineLevel="1"/>
    <col min="26" max="26" width="15.6640625" hidden="1" customWidth="1" outlineLevel="1"/>
    <col min="27" max="28" width="13.6640625" hidden="1" customWidth="1" outlineLevel="1"/>
    <col min="29" max="29" width="11.6640625" hidden="1" customWidth="1" outlineLevel="1"/>
    <col min="30" max="30" width="16" customWidth="1" collapsed="1"/>
  </cols>
  <sheetData>
    <row r="1" spans="1:30" ht="26" customHeight="1" x14ac:dyDescent="0.2">
      <c r="A1" s="48" t="s">
        <v>154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  <c r="X1" s="49"/>
      <c r="Y1" s="49"/>
      <c r="Z1" s="49"/>
      <c r="AA1" s="49"/>
      <c r="AB1" s="49"/>
      <c r="AC1" s="50"/>
    </row>
    <row r="2" spans="1:30" ht="31" customHeight="1" x14ac:dyDescent="0.2">
      <c r="A2" s="56" t="s">
        <v>155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  <c r="Z2" s="49"/>
      <c r="AA2" s="49"/>
      <c r="AB2" s="49"/>
      <c r="AC2" s="50"/>
    </row>
    <row r="3" spans="1:30" ht="26" customHeight="1" x14ac:dyDescent="0.2">
      <c r="A3" s="53" t="s">
        <v>156</v>
      </c>
      <c r="B3" s="49"/>
      <c r="C3" s="49"/>
      <c r="D3" s="49"/>
      <c r="E3" s="49"/>
      <c r="F3" s="49"/>
      <c r="G3" s="49"/>
      <c r="H3" s="49"/>
      <c r="I3" s="49"/>
      <c r="J3" s="49"/>
      <c r="K3" s="49"/>
      <c r="L3" s="49"/>
      <c r="M3" s="49"/>
      <c r="N3" s="49"/>
      <c r="O3" s="49"/>
      <c r="P3" s="49"/>
      <c r="Q3" s="49"/>
      <c r="R3" s="49"/>
      <c r="S3" s="49"/>
      <c r="T3" s="49"/>
      <c r="U3" s="49"/>
      <c r="V3" s="49"/>
      <c r="W3" s="49"/>
      <c r="X3" s="49"/>
      <c r="Y3" s="49"/>
      <c r="Z3" s="49"/>
      <c r="AA3" s="49"/>
      <c r="AB3" s="49"/>
      <c r="AC3" s="50"/>
    </row>
    <row r="4" spans="1:30" ht="32" customHeight="1" x14ac:dyDescent="0.2">
      <c r="A4" s="33" t="s">
        <v>133</v>
      </c>
      <c r="B4" s="33" t="s">
        <v>157</v>
      </c>
      <c r="C4" s="33" t="s">
        <v>129</v>
      </c>
      <c r="D4" s="33" t="s">
        <v>131</v>
      </c>
      <c r="E4" s="33" t="s">
        <v>99</v>
      </c>
      <c r="F4" s="33" t="s">
        <v>158</v>
      </c>
      <c r="G4" s="33" t="s">
        <v>159</v>
      </c>
      <c r="H4" s="33" t="s">
        <v>6</v>
      </c>
      <c r="I4" s="33" t="s">
        <v>91</v>
      </c>
      <c r="J4" s="33" t="s">
        <v>160</v>
      </c>
      <c r="K4" s="33" t="s">
        <v>161</v>
      </c>
      <c r="L4" s="33" t="s">
        <v>162</v>
      </c>
      <c r="M4" s="33" t="s">
        <v>163</v>
      </c>
      <c r="N4" s="33" t="s">
        <v>164</v>
      </c>
      <c r="O4" s="33" t="s">
        <v>165</v>
      </c>
      <c r="P4" s="33" t="s">
        <v>166</v>
      </c>
      <c r="Q4" s="33" t="s">
        <v>167</v>
      </c>
      <c r="R4" s="33" t="s">
        <v>168</v>
      </c>
      <c r="S4" s="33" t="s">
        <v>169</v>
      </c>
      <c r="T4" s="33" t="s">
        <v>170</v>
      </c>
      <c r="U4" s="33" t="s">
        <v>46</v>
      </c>
      <c r="V4" s="33" t="s">
        <v>171</v>
      </c>
      <c r="W4" s="33" t="s">
        <v>172</v>
      </c>
      <c r="X4" s="33" t="s">
        <v>173</v>
      </c>
      <c r="Y4" s="33" t="s">
        <v>174</v>
      </c>
      <c r="Z4" s="33" t="s">
        <v>144</v>
      </c>
      <c r="AA4" s="33" t="s">
        <v>145</v>
      </c>
      <c r="AB4" s="33" t="s">
        <v>147</v>
      </c>
      <c r="AC4" s="33" t="s">
        <v>149</v>
      </c>
      <c r="AD4" s="39" t="s">
        <v>175</v>
      </c>
    </row>
    <row r="5" spans="1:30" ht="16" customHeight="1" x14ac:dyDescent="0.2">
      <c r="A5" s="17">
        <v>46061</v>
      </c>
      <c r="B5" s="18" t="str">
        <f>IFERROR(TEXT(A5,"yyyymmdd")&amp;"-"&amp;SUBSTITUTE(LEFT(C5,20)," ","_")&amp;"-"&amp;TEXT(ROW(A5)-4,"0000"),"")</f>
        <v>yyyy02dd-Sottobicchiere_+_log-0001</v>
      </c>
      <c r="C5" s="7" t="s">
        <v>176</v>
      </c>
      <c r="D5" s="7" t="s">
        <v>177</v>
      </c>
      <c r="E5" s="7" t="s">
        <v>51</v>
      </c>
      <c r="F5" s="7" t="s">
        <v>123</v>
      </c>
      <c r="G5" s="7" t="s">
        <v>103</v>
      </c>
      <c r="H5" s="18" t="str">
        <f>IFERROR(VLOOKUP(G5,FILAMENTI_DB!$A:$C,3,FALSE),"")</f>
        <v>PLA</v>
      </c>
      <c r="I5" s="18" t="str">
        <f>IFERROR(VLOOKUP(G5,FILAMENTI_DB!$A:$E,4,FALSE),"")</f>
        <v>Plus</v>
      </c>
      <c r="J5" s="8">
        <v>10.31</v>
      </c>
      <c r="K5" s="6">
        <v>50</v>
      </c>
      <c r="L5" s="6">
        <v>5</v>
      </c>
      <c r="M5" s="16">
        <f t="shared" ref="M5:M68" si="0">IFERROR(K5+L5,"")</f>
        <v>55</v>
      </c>
      <c r="N5" s="20">
        <f t="shared" ref="N5:N68" si="1">IFERROR(J5*M5,"")</f>
        <v>567.05000000000007</v>
      </c>
      <c r="O5" s="8">
        <v>22</v>
      </c>
      <c r="P5" s="8">
        <v>1</v>
      </c>
      <c r="Q5" s="4">
        <v>1.5</v>
      </c>
      <c r="R5" s="10">
        <f t="shared" ref="R5:R68" si="2">IFERROR(Q5*K5,"")</f>
        <v>75</v>
      </c>
      <c r="S5" s="10">
        <f>IFERROR(AA5+AB5+AC5,"")</f>
        <v>24.811040362499998</v>
      </c>
      <c r="T5" s="10">
        <f t="shared" ref="T5:T68" si="3">IFERROR(R5-S5,"")</f>
        <v>50.188959637500005</v>
      </c>
      <c r="U5" s="24">
        <f>IFERROR(T5/R5,"")</f>
        <v>0.66918612850000003</v>
      </c>
      <c r="V5" s="10">
        <f>IFERROR(N5*VLOOKUP(G5,FILAMENTI_DB!$A:$J,10,FALSE),"")</f>
        <v>4.6343450000000006</v>
      </c>
      <c r="W5" s="10">
        <f>IFERROR((VLOOKUP(F5,STAMPANTI_DB!$A:$C,3,FALSE)/1000)*O5*SETTINGS!$C$6,"")</f>
        <v>0.49499999999999994</v>
      </c>
      <c r="X5" s="10">
        <f>IFERROR(O5*VLOOKUP(F5,STAMPANTI_DB!$A:$I,9,FALSE),"")</f>
        <v>6.875</v>
      </c>
      <c r="Y5" s="10">
        <f>IFERROR(P5*SETTINGS!$C$7,"")</f>
        <v>10</v>
      </c>
      <c r="Z5" s="10">
        <f>SETTINGS!$C$11</f>
        <v>0.5</v>
      </c>
      <c r="AA5" s="10">
        <f>IFERROR(SUM(V5:Z5),"")</f>
        <v>22.504345000000001</v>
      </c>
      <c r="AB5" s="10">
        <f>IFERROR(AA5*SETTINGS!$C$9,"")</f>
        <v>1.1252172500000002</v>
      </c>
      <c r="AC5" s="10">
        <f>IFERROR((AA5+AB5)*SETTINGS!$C$10,"")</f>
        <v>1.1814781125</v>
      </c>
      <c r="AD5" s="24" t="s">
        <v>77</v>
      </c>
    </row>
    <row r="6" spans="1:30" ht="16" customHeight="1" x14ac:dyDescent="0.2">
      <c r="A6" s="17">
        <v>46062</v>
      </c>
      <c r="B6" s="18" t="str">
        <f>IFERROR(TEXT(A6,"yyyymmdd")&amp;"-"&amp;SUBSTITUTE(LEFT(C6,20)," ","_")&amp;"-"&amp;TEXT(ROW(A6)-4,"0000"),"")</f>
        <v>yyyy02dd-Karak_Mage-0002</v>
      </c>
      <c r="C6" s="7" t="s">
        <v>220</v>
      </c>
      <c r="D6" s="7" t="s">
        <v>219</v>
      </c>
      <c r="E6" s="7" t="s">
        <v>51</v>
      </c>
      <c r="F6" s="7" t="s">
        <v>123</v>
      </c>
      <c r="G6" s="7" t="s">
        <v>204</v>
      </c>
      <c r="H6" s="18" t="str">
        <f>IFERROR(VLOOKUP(G6,FILAMENTI_DB!$A:$C,3,FALSE),"")</f>
        <v>PLA</v>
      </c>
      <c r="I6" s="18" t="str">
        <f>IFERROR(VLOOKUP(G6,FILAMENTI_DB!$A:$E,4,FALSE),"")</f>
        <v>Basic</v>
      </c>
      <c r="J6" s="8">
        <v>11.09</v>
      </c>
      <c r="K6" s="6">
        <v>1</v>
      </c>
      <c r="L6" s="6">
        <v>0</v>
      </c>
      <c r="M6" s="16">
        <f t="shared" si="0"/>
        <v>1</v>
      </c>
      <c r="N6" s="20">
        <f t="shared" si="1"/>
        <v>11.09</v>
      </c>
      <c r="O6" s="8">
        <v>1.05</v>
      </c>
      <c r="P6" s="8">
        <v>0.05</v>
      </c>
      <c r="Q6" s="4">
        <v>2</v>
      </c>
      <c r="R6" s="10">
        <f t="shared" si="2"/>
        <v>2</v>
      </c>
      <c r="S6" s="10">
        <f>IFERROR(AA6+AB6+AC6,"")</f>
        <v>1.58017080375</v>
      </c>
      <c r="T6" s="10">
        <f t="shared" si="3"/>
        <v>0.41982919625000004</v>
      </c>
      <c r="U6" s="24">
        <f t="shared" ref="U6:U68" si="4">IFERROR(T6/R6,"")</f>
        <v>0.20991459812500002</v>
      </c>
      <c r="V6" s="10">
        <f>IFERROR(N6*VLOOKUP(G6,FILAMENTI_DB!$A:$J,10,FALSE),"")</f>
        <v>8.1511500000000001E-2</v>
      </c>
      <c r="W6" s="10">
        <f>IFERROR((VLOOKUP(F6,STAMPANTI_DB!$A:$C,3,FALSE)/1000)*O6*SETTINGS!$C$6,"")</f>
        <v>2.3625E-2</v>
      </c>
      <c r="X6" s="10">
        <f>IFERROR(O6*VLOOKUP(F6,STAMPANTI_DB!$A:$I,9,FALSE),"")</f>
        <v>0.328125</v>
      </c>
      <c r="Y6" s="10">
        <f>IFERROR(P6*SETTINGS!$C$7,"")</f>
        <v>0.5</v>
      </c>
      <c r="Z6" s="10">
        <f>SETTINGS!$C$11</f>
        <v>0.5</v>
      </c>
      <c r="AA6" s="10">
        <f t="shared" ref="AA6:AA68" si="5">IFERROR(SUM(V6:Z6),"")</f>
        <v>1.4332615</v>
      </c>
      <c r="AB6" s="10">
        <f>IFERROR(AA6*SETTINGS!$C$9,"")</f>
        <v>7.1663075000000007E-2</v>
      </c>
      <c r="AC6" s="10">
        <f>IFERROR((AA6+AB6)*SETTINGS!$C$10,"")</f>
        <v>7.5246228750000005E-2</v>
      </c>
      <c r="AD6" s="24" t="s">
        <v>75</v>
      </c>
    </row>
    <row r="7" spans="1:30" ht="16" customHeight="1" x14ac:dyDescent="0.2">
      <c r="A7" s="17">
        <v>46063</v>
      </c>
      <c r="B7" s="18" t="str">
        <f>IFERROR(TEXT(A7,"yyyymmdd")&amp;"-"&amp;SUBSTITUTE(LEFT(C7,20)," ","_")&amp;"-"&amp;TEXT(ROW(A7)-4,"0000"),"")</f>
        <v>yyyy02dd-Karak_Warlock-0003</v>
      </c>
      <c r="C7" s="7" t="s">
        <v>221</v>
      </c>
      <c r="D7" s="7" t="s">
        <v>219</v>
      </c>
      <c r="E7" s="7" t="s">
        <v>51</v>
      </c>
      <c r="F7" s="7" t="s">
        <v>123</v>
      </c>
      <c r="G7" s="7" t="s">
        <v>197</v>
      </c>
      <c r="H7" s="18" t="str">
        <f>IFERROR(VLOOKUP(G7,FILAMENTI_DB!$A:$C,3,FALSE),"")</f>
        <v>PLA</v>
      </c>
      <c r="I7" s="18" t="str">
        <f>IFERROR(VLOOKUP(G7,FILAMENTI_DB!$A:$E,4,FALSE),"")</f>
        <v>Plus</v>
      </c>
      <c r="J7" s="8">
        <v>11.24</v>
      </c>
      <c r="K7" s="6">
        <v>1</v>
      </c>
      <c r="L7" s="6">
        <v>0</v>
      </c>
      <c r="M7" s="16">
        <f t="shared" si="0"/>
        <v>1</v>
      </c>
      <c r="N7" s="20">
        <f t="shared" si="1"/>
        <v>11.24</v>
      </c>
      <c r="O7" s="8">
        <v>1.07</v>
      </c>
      <c r="P7" s="8">
        <v>0.05</v>
      </c>
      <c r="Q7" s="4">
        <v>2</v>
      </c>
      <c r="R7" s="10">
        <f t="shared" si="2"/>
        <v>2</v>
      </c>
      <c r="S7" s="10">
        <f>IFERROR(AA7+AB7+AC7,"")</f>
        <v>1.5989683786363638</v>
      </c>
      <c r="T7" s="10">
        <f t="shared" si="3"/>
        <v>0.40103162136363624</v>
      </c>
      <c r="U7" s="24">
        <f t="shared" si="4"/>
        <v>0.20051581068181812</v>
      </c>
      <c r="V7" s="10">
        <f>IFERROR(N7*VLOOKUP(G7,FILAMENTI_DB!$A:$J,10,FALSE),"")</f>
        <v>9.1861454545454538E-2</v>
      </c>
      <c r="W7" s="10">
        <f>IFERROR((VLOOKUP(F7,STAMPANTI_DB!$A:$C,3,FALSE)/1000)*O7*SETTINGS!$C$6,"")</f>
        <v>2.4074999999999999E-2</v>
      </c>
      <c r="X7" s="10">
        <f>IFERROR(O7*VLOOKUP(F7,STAMPANTI_DB!$A:$I,9,FALSE),"")</f>
        <v>0.33437500000000003</v>
      </c>
      <c r="Y7" s="10">
        <f>IFERROR(P7*SETTINGS!$C$7,"")</f>
        <v>0.5</v>
      </c>
      <c r="Z7" s="10">
        <f>SETTINGS!$C$11</f>
        <v>0.5</v>
      </c>
      <c r="AA7" s="10">
        <f>IFERROR(SUM(V7:Z7),"")</f>
        <v>1.4503114545454545</v>
      </c>
      <c r="AB7" s="10">
        <f>IFERROR(AA7*SETTINGS!$C$9,"")</f>
        <v>7.2515572727272729E-2</v>
      </c>
      <c r="AC7" s="10">
        <f>IFERROR((AA7+AB7)*SETTINGS!$C$10,"")</f>
        <v>7.6141351363636367E-2</v>
      </c>
      <c r="AD7" s="24" t="s">
        <v>75</v>
      </c>
    </row>
    <row r="8" spans="1:30" ht="16" customHeight="1" x14ac:dyDescent="0.2">
      <c r="A8" s="17">
        <v>46063</v>
      </c>
      <c r="B8" s="18" t="str">
        <f>IFERROR(TEXT(A8,"yyyymmdd")&amp;"-"&amp;SUBSTITUTE(LEFT(C8,20)," ","_")&amp;"-"&amp;TEXT(ROW(A8)-4,"0000"),"")</f>
        <v>yyyy02dd-Karak_Spartan-0004</v>
      </c>
      <c r="C8" s="7" t="s">
        <v>222</v>
      </c>
      <c r="D8" s="7" t="s">
        <v>219</v>
      </c>
      <c r="E8" s="7" t="s">
        <v>51</v>
      </c>
      <c r="F8" s="7" t="s">
        <v>123</v>
      </c>
      <c r="G8" s="7" t="s">
        <v>205</v>
      </c>
      <c r="H8" s="18" t="str">
        <f>IFERROR(VLOOKUP(G8,FILAMENTI_DB!$A:$C,3,FALSE),"")</f>
        <v>PLA</v>
      </c>
      <c r="I8" s="18" t="str">
        <f>IFERROR(VLOOKUP(G8,FILAMENTI_DB!$A:$E,4,FALSE),"")</f>
        <v>Plus</v>
      </c>
      <c r="J8" s="8">
        <v>11.3</v>
      </c>
      <c r="K8" s="6">
        <v>1</v>
      </c>
      <c r="L8" s="6">
        <v>0</v>
      </c>
      <c r="M8" s="16">
        <f t="shared" si="0"/>
        <v>1</v>
      </c>
      <c r="N8" s="20">
        <f>IFERROR(J8*M8,"")</f>
        <v>11.3</v>
      </c>
      <c r="O8" s="8">
        <v>1.1299999999999999</v>
      </c>
      <c r="P8" s="8">
        <v>0.05</v>
      </c>
      <c r="Q8" s="4">
        <v>2</v>
      </c>
      <c r="R8" s="10">
        <f t="shared" si="2"/>
        <v>2</v>
      </c>
      <c r="S8" s="10">
        <f>IFERROR(AA8+AB8+AC8,"")</f>
        <v>1.6891589924999999</v>
      </c>
      <c r="T8" s="10">
        <f t="shared" si="3"/>
        <v>0.3108410075000001</v>
      </c>
      <c r="U8" s="24">
        <f t="shared" si="4"/>
        <v>0.15542050375000005</v>
      </c>
      <c r="V8" s="10">
        <f>IFERROR(N8*VLOOKUP(G8,FILAMENTI_DB!$A:$J,10,FALSE),"")</f>
        <v>0.15356700000000001</v>
      </c>
      <c r="W8" s="10">
        <f>IFERROR((VLOOKUP(F8,STAMPANTI_DB!$A:$C,3,FALSE)/1000)*O8*SETTINGS!$C$6,"")</f>
        <v>2.5424999999999996E-2</v>
      </c>
      <c r="X8" s="10">
        <f>IFERROR(O8*VLOOKUP(F8,STAMPANTI_DB!$A:$I,9,FALSE),"")</f>
        <v>0.35312499999999997</v>
      </c>
      <c r="Y8" s="10">
        <f>IFERROR(P8*SETTINGS!$C$7,"")</f>
        <v>0.5</v>
      </c>
      <c r="Z8" s="10">
        <f>SETTINGS!$C$11</f>
        <v>0.5</v>
      </c>
      <c r="AA8" s="10">
        <f t="shared" si="5"/>
        <v>1.532117</v>
      </c>
      <c r="AB8" s="10">
        <f>IFERROR(AA8*SETTINGS!$C$9,"")</f>
        <v>7.6605850000000003E-2</v>
      </c>
      <c r="AC8" s="10">
        <f>IFERROR((AA8+AB8)*SETTINGS!$C$10,"")</f>
        <v>8.0436142500000002E-2</v>
      </c>
      <c r="AD8" s="24" t="s">
        <v>75</v>
      </c>
    </row>
    <row r="9" spans="1:30" ht="16" customHeight="1" x14ac:dyDescent="0.2">
      <c r="A9" s="17">
        <v>46063</v>
      </c>
      <c r="B9" s="18" t="str">
        <f t="shared" ref="B9:B12" si="6">IFERROR(TEXT(A9,"yyyymmdd")&amp;"-"&amp;SUBSTITUTE(LEFT(C9,20)," ","_")&amp;"-"&amp;TEXT(ROW(A9)-4,"0000"),"")</f>
        <v>yyyy02dd-Karak_BallGirl-0005</v>
      </c>
      <c r="C9" s="7" t="s">
        <v>223</v>
      </c>
      <c r="D9" s="7" t="s">
        <v>219</v>
      </c>
      <c r="E9" s="7" t="s">
        <v>51</v>
      </c>
      <c r="F9" s="7" t="s">
        <v>123</v>
      </c>
      <c r="G9" s="7" t="s">
        <v>224</v>
      </c>
      <c r="H9" s="18" t="str">
        <f>IFERROR(VLOOKUP(G9,FILAMENTI_DB!$A:$C,3,FALSE),"")</f>
        <v>PLA</v>
      </c>
      <c r="I9" s="18" t="str">
        <f>IFERROR(VLOOKUP(G9,FILAMENTI_DB!$A:$E,4,FALSE),"")</f>
        <v>Plus</v>
      </c>
      <c r="J9" s="8">
        <v>6.62</v>
      </c>
      <c r="K9" s="6">
        <v>1</v>
      </c>
      <c r="L9" s="6">
        <v>0</v>
      </c>
      <c r="M9" s="16">
        <f t="shared" si="0"/>
        <v>1</v>
      </c>
      <c r="N9" s="20">
        <f t="shared" si="1"/>
        <v>6.62</v>
      </c>
      <c r="O9" s="8">
        <v>0.55000000000000004</v>
      </c>
      <c r="P9" s="8">
        <v>0.05</v>
      </c>
      <c r="Q9" s="4">
        <v>2</v>
      </c>
      <c r="R9" s="10">
        <f t="shared" si="2"/>
        <v>2</v>
      </c>
      <c r="S9" s="10">
        <f>IFERROR(AA9+AB9+AC9,"")</f>
        <v>1.4192010629999998</v>
      </c>
      <c r="T9" s="10">
        <f t="shared" si="3"/>
        <v>0.58079893700000018</v>
      </c>
      <c r="U9" s="24">
        <f t="shared" si="4"/>
        <v>0.29039946850000009</v>
      </c>
      <c r="V9" s="10">
        <f>IFERROR(N9*VLOOKUP(G9,FILAMENTI_DB!$A:$J,10,FALSE),"")</f>
        <v>0.10300720000000001</v>
      </c>
      <c r="W9" s="10">
        <f>IFERROR((VLOOKUP(F9,STAMPANTI_DB!$A:$C,3,FALSE)/1000)*O9*SETTINGS!$C$6,"")</f>
        <v>1.2375000000000001E-2</v>
      </c>
      <c r="X9" s="10">
        <f>IFERROR(O9*VLOOKUP(F9,STAMPANTI_DB!$A:$I,9,FALSE),"")</f>
        <v>0.171875</v>
      </c>
      <c r="Y9" s="10">
        <f>IFERROR(P9*SETTINGS!$C$7,"")</f>
        <v>0.5</v>
      </c>
      <c r="Z9" s="10">
        <f>SETTINGS!$C$11</f>
        <v>0.5</v>
      </c>
      <c r="AA9" s="10">
        <f t="shared" si="5"/>
        <v>1.2872572</v>
      </c>
      <c r="AB9" s="10">
        <f>IFERROR(AA9*SETTINGS!$C$9,"")</f>
        <v>6.4362860000000008E-2</v>
      </c>
      <c r="AC9" s="10">
        <f>IFERROR((AA9+AB9)*SETTINGS!$C$10,"")</f>
        <v>6.7581003000000001E-2</v>
      </c>
      <c r="AD9" s="24" t="s">
        <v>75</v>
      </c>
    </row>
    <row r="10" spans="1:30" ht="16" customHeight="1" x14ac:dyDescent="0.2">
      <c r="A10" s="17">
        <v>46063</v>
      </c>
      <c r="B10" s="18" t="str">
        <f t="shared" si="6"/>
        <v>yyyy02dd-Karak_Knight-0006</v>
      </c>
      <c r="C10" s="7" t="s">
        <v>228</v>
      </c>
      <c r="D10" s="7" t="s">
        <v>219</v>
      </c>
      <c r="E10" s="7" t="s">
        <v>51</v>
      </c>
      <c r="F10" s="7" t="s">
        <v>123</v>
      </c>
      <c r="G10" s="7" t="s">
        <v>230</v>
      </c>
      <c r="H10" s="18" t="str">
        <f>IFERROR(VLOOKUP(G10,FILAMENTI_DB!$A:$C,3,FALSE),"")</f>
        <v>PLA</v>
      </c>
      <c r="I10" s="18" t="str">
        <f>IFERROR(VLOOKUP(G10,FILAMENTI_DB!$A:$E,4,FALSE),"")</f>
        <v>Plus</v>
      </c>
      <c r="J10" s="8">
        <v>12.44</v>
      </c>
      <c r="K10" s="6">
        <v>1</v>
      </c>
      <c r="L10" s="6">
        <v>0</v>
      </c>
      <c r="M10" s="16">
        <f t="shared" si="0"/>
        <v>1</v>
      </c>
      <c r="N10" s="20">
        <f t="shared" si="1"/>
        <v>12.44</v>
      </c>
      <c r="O10" s="8">
        <v>1.21</v>
      </c>
      <c r="P10" s="8">
        <v>0.05</v>
      </c>
      <c r="Q10" s="4">
        <v>2</v>
      </c>
      <c r="R10" s="10">
        <f t="shared" si="2"/>
        <v>2</v>
      </c>
      <c r="S10" s="10">
        <f t="shared" ref="S10:S12" si="7">IFERROR(AA10+AB10+AC10,"")</f>
        <v>1.796133024</v>
      </c>
      <c r="T10" s="10">
        <f t="shared" si="3"/>
        <v>0.20386697600000003</v>
      </c>
      <c r="U10" s="24">
        <f t="shared" si="4"/>
        <v>0.10193348800000002</v>
      </c>
      <c r="V10" s="10">
        <f>IFERROR(N10*VLOOKUP(G10,FILAMENTI_DB!$A:$J,10,FALSE),"")</f>
        <v>0.22379559999999998</v>
      </c>
      <c r="W10" s="10">
        <f>IFERROR((VLOOKUP(F10,STAMPANTI_DB!$A:$C,3,FALSE)/1000)*O10*SETTINGS!$C$6,"")</f>
        <v>2.7224999999999999E-2</v>
      </c>
      <c r="X10" s="10">
        <f>IFERROR(O10*VLOOKUP(F10,STAMPANTI_DB!$A:$I,9,FALSE),"")</f>
        <v>0.37812499999999999</v>
      </c>
      <c r="Y10" s="10">
        <f>IFERROR(P10*SETTINGS!$C$7,"")</f>
        <v>0.5</v>
      </c>
      <c r="Z10" s="10">
        <f>SETTINGS!$C$11</f>
        <v>0.5</v>
      </c>
      <c r="AA10" s="10">
        <f t="shared" si="5"/>
        <v>1.6291456</v>
      </c>
      <c r="AB10" s="10">
        <f>IFERROR(AA10*SETTINGS!$C$9,"")</f>
        <v>8.1457280000000007E-2</v>
      </c>
      <c r="AC10" s="10">
        <f>IFERROR((AA10+AB10)*SETTINGS!$C$10,"")</f>
        <v>8.5530144000000002E-2</v>
      </c>
      <c r="AD10" s="24" t="s">
        <v>75</v>
      </c>
    </row>
    <row r="11" spans="1:30" ht="16" customHeight="1" x14ac:dyDescent="0.2">
      <c r="A11" s="17">
        <v>46063</v>
      </c>
      <c r="B11" s="18" t="str">
        <f t="shared" si="6"/>
        <v>yyyy02dd-Karak_Scout-0007</v>
      </c>
      <c r="C11" s="7" t="s">
        <v>229</v>
      </c>
      <c r="D11" s="7" t="s">
        <v>219</v>
      </c>
      <c r="E11" s="7" t="s">
        <v>51</v>
      </c>
      <c r="F11" s="7" t="s">
        <v>123</v>
      </c>
      <c r="G11" s="7" t="s">
        <v>237</v>
      </c>
      <c r="H11" s="18" t="str">
        <f>IFERROR(VLOOKUP(G11,FILAMENTI_DB!$A:$C,3,FALSE),"")</f>
        <v>PLA</v>
      </c>
      <c r="I11" s="18" t="str">
        <f>IFERROR(VLOOKUP(G11,FILAMENTI_DB!$A:$E,4,FALSE),"")</f>
        <v>Plus</v>
      </c>
      <c r="J11" s="8">
        <v>8.43</v>
      </c>
      <c r="K11" s="6">
        <v>1</v>
      </c>
      <c r="L11" s="6">
        <v>0</v>
      </c>
      <c r="M11" s="16">
        <f t="shared" si="0"/>
        <v>1</v>
      </c>
      <c r="N11" s="20">
        <f t="shared" si="1"/>
        <v>8.43</v>
      </c>
      <c r="O11" s="8">
        <v>1</v>
      </c>
      <c r="P11" s="8">
        <v>0.05</v>
      </c>
      <c r="Q11" s="4">
        <v>2</v>
      </c>
      <c r="R11" s="10">
        <f t="shared" si="2"/>
        <v>2</v>
      </c>
      <c r="S11" s="10">
        <f t="shared" si="7"/>
        <v>1.5981439792500001</v>
      </c>
      <c r="T11" s="10">
        <f t="shared" si="3"/>
        <v>0.40185602074999993</v>
      </c>
      <c r="U11" s="24">
        <f t="shared" si="4"/>
        <v>0.20092801037499997</v>
      </c>
      <c r="V11" s="10">
        <f>IFERROR(N11*VLOOKUP(G11,FILAMENTI_DB!$A:$J,10,FALSE),"")</f>
        <v>0.11456369999999999</v>
      </c>
      <c r="W11" s="10">
        <f>IFERROR((VLOOKUP(F11,STAMPANTI_DB!$A:$C,3,FALSE)/1000)*O11*SETTINGS!$C$6,"")</f>
        <v>2.2499999999999999E-2</v>
      </c>
      <c r="X11" s="10">
        <f>IFERROR(O11*VLOOKUP(F11,STAMPANTI_DB!$A:$I,9,FALSE),"")</f>
        <v>0.3125</v>
      </c>
      <c r="Y11" s="10">
        <f>IFERROR(P11*SETTINGS!$C$7,"")</f>
        <v>0.5</v>
      </c>
      <c r="Z11" s="10">
        <f>SETTINGS!$C$11</f>
        <v>0.5</v>
      </c>
      <c r="AA11" s="10">
        <f t="shared" si="5"/>
        <v>1.4495637000000001</v>
      </c>
      <c r="AB11" s="10">
        <f>IFERROR(AA11*SETTINGS!$C$9,"")</f>
        <v>7.2478185000000014E-2</v>
      </c>
      <c r="AC11" s="10">
        <f>IFERROR((AA11+AB11)*SETTINGS!$C$10,"")</f>
        <v>7.6102094250000016E-2</v>
      </c>
      <c r="AD11" s="24" t="s">
        <v>75</v>
      </c>
    </row>
    <row r="12" spans="1:30" ht="16" customHeight="1" x14ac:dyDescent="0.2">
      <c r="A12" s="17">
        <v>46063</v>
      </c>
      <c r="B12" s="18" t="str">
        <f t="shared" si="6"/>
        <v>yyyy02dd-Portachiavi_Croce_+_-0008</v>
      </c>
      <c r="C12" s="7" t="s">
        <v>238</v>
      </c>
      <c r="D12" s="7" t="s">
        <v>239</v>
      </c>
      <c r="E12" s="7" t="s">
        <v>51</v>
      </c>
      <c r="F12" s="7" t="s">
        <v>123</v>
      </c>
      <c r="G12" s="7" t="s">
        <v>224</v>
      </c>
      <c r="H12" s="18" t="str">
        <f>IFERROR(VLOOKUP(G12,FILAMENTI_DB!$A:$C,3,FALSE),"")</f>
        <v>PLA</v>
      </c>
      <c r="I12" s="18" t="str">
        <f>IFERROR(VLOOKUP(G12,FILAMENTI_DB!$A:$E,4,FALSE),"")</f>
        <v>Plus</v>
      </c>
      <c r="J12" s="8">
        <v>4.22</v>
      </c>
      <c r="K12" s="6">
        <v>1</v>
      </c>
      <c r="L12" s="6">
        <v>0</v>
      </c>
      <c r="M12" s="16">
        <f t="shared" si="0"/>
        <v>1</v>
      </c>
      <c r="N12" s="20">
        <f t="shared" si="1"/>
        <v>4.22</v>
      </c>
      <c r="O12" s="8">
        <v>0.28000000000000003</v>
      </c>
      <c r="P12" s="8">
        <v>0.1</v>
      </c>
      <c r="Q12" s="4">
        <v>5</v>
      </c>
      <c r="R12" s="10">
        <f t="shared" si="2"/>
        <v>5</v>
      </c>
      <c r="S12" s="10">
        <f t="shared" si="7"/>
        <v>1.8295581780000001</v>
      </c>
      <c r="T12" s="10">
        <f t="shared" si="3"/>
        <v>3.1704418219999999</v>
      </c>
      <c r="U12" s="24">
        <f t="shared" si="4"/>
        <v>0.63408836439999994</v>
      </c>
      <c r="V12" s="10">
        <f>IFERROR(N12*VLOOKUP(G12,FILAMENTI_DB!$A:$J,10,FALSE),"")</f>
        <v>6.5663200000000005E-2</v>
      </c>
      <c r="W12" s="10">
        <f>IFERROR((VLOOKUP(F12,STAMPANTI_DB!$A:$C,3,FALSE)/1000)*O12*SETTINGS!$C$6,"")</f>
        <v>6.3E-3</v>
      </c>
      <c r="X12" s="10">
        <f>IFERROR(O12*VLOOKUP(F12,STAMPANTI_DB!$A:$I,9,FALSE),"")</f>
        <v>8.7500000000000008E-2</v>
      </c>
      <c r="Y12" s="10">
        <f>IFERROR(P12*SETTINGS!$C$7,"")</f>
        <v>1</v>
      </c>
      <c r="Z12" s="10">
        <f>SETTINGS!$C$11</f>
        <v>0.5</v>
      </c>
      <c r="AA12" s="10">
        <f t="shared" si="5"/>
        <v>1.6594632</v>
      </c>
      <c r="AB12" s="10">
        <f>IFERROR(AA12*SETTINGS!$C$9,"")</f>
        <v>8.2973160000000004E-2</v>
      </c>
      <c r="AC12" s="10">
        <f>IFERROR((AA12+AB12)*SETTINGS!$C$10,"")</f>
        <v>8.7121818000000018E-2</v>
      </c>
      <c r="AD12" s="24" t="s">
        <v>75</v>
      </c>
    </row>
    <row r="13" spans="1:30" ht="16" customHeight="1" x14ac:dyDescent="0.2">
      <c r="A13" s="17"/>
      <c r="B13" s="18"/>
      <c r="C13" s="7"/>
      <c r="D13" s="7"/>
      <c r="E13" s="7"/>
      <c r="F13" s="7"/>
      <c r="G13" s="7"/>
      <c r="H13" s="18" t="str">
        <f>IFERROR(VLOOKUP(G13,FILAMENTI_DB!$A:$C,3,FALSE),"")</f>
        <v/>
      </c>
      <c r="I13" s="18" t="str">
        <f>IFERROR(VLOOKUP(G13,FILAMENTI_DB!$A:$E,4,FALSE),"")</f>
        <v/>
      </c>
      <c r="J13" s="8"/>
      <c r="K13" s="6"/>
      <c r="L13" s="6"/>
      <c r="M13" s="16">
        <f t="shared" si="0"/>
        <v>0</v>
      </c>
      <c r="N13" s="20">
        <f t="shared" si="1"/>
        <v>0</v>
      </c>
      <c r="O13" s="8"/>
      <c r="P13" s="8"/>
      <c r="Q13" s="4"/>
      <c r="R13" s="10">
        <f t="shared" si="2"/>
        <v>0</v>
      </c>
      <c r="S13" s="10"/>
      <c r="T13" s="10">
        <f t="shared" si="3"/>
        <v>0</v>
      </c>
      <c r="U13" s="24" t="str">
        <f t="shared" si="4"/>
        <v/>
      </c>
      <c r="V13" s="10" t="str">
        <f>IFERROR(N13*VLOOKUP(G13,FILAMENTI_DB!$A:$J,10,FALSE),"")</f>
        <v/>
      </c>
      <c r="W13" s="10" t="str">
        <f>IFERROR((VLOOKUP(F13,STAMPANTI_DB!$A:$C,3,FALSE)/1000)*O13*SETTINGS!$C$6,"")</f>
        <v/>
      </c>
      <c r="X13" s="10" t="str">
        <f>IFERROR(O13*VLOOKUP(F13,STAMPANTI_DB!$A:$I,9,FALSE),"")</f>
        <v/>
      </c>
      <c r="Y13" s="10">
        <f>IFERROR(P13*SETTINGS!$C$7,"")</f>
        <v>0</v>
      </c>
      <c r="Z13" s="10">
        <f>SETTINGS!$C$11</f>
        <v>0.5</v>
      </c>
      <c r="AA13" s="10">
        <f t="shared" si="5"/>
        <v>0.5</v>
      </c>
      <c r="AB13" s="10">
        <f>IFERROR(AA13*SETTINGS!$C$9,"")</f>
        <v>2.5000000000000001E-2</v>
      </c>
      <c r="AC13" s="10">
        <f>IFERROR((AA13+AB13)*SETTINGS!$C$10,"")</f>
        <v>2.6250000000000002E-2</v>
      </c>
      <c r="AD13" s="24"/>
    </row>
    <row r="14" spans="1:30" ht="16" customHeight="1" x14ac:dyDescent="0.2">
      <c r="A14" s="17"/>
      <c r="B14" s="18"/>
      <c r="C14" s="7"/>
      <c r="D14" s="7"/>
      <c r="E14" s="7"/>
      <c r="F14" s="7"/>
      <c r="G14" s="7"/>
      <c r="H14" s="18" t="str">
        <f>IFERROR(VLOOKUP(G14,FILAMENTI_DB!$A:$C,3,FALSE),"")</f>
        <v/>
      </c>
      <c r="I14" s="18" t="str">
        <f>IFERROR(VLOOKUP(G14,FILAMENTI_DB!$A:$E,4,FALSE),"")</f>
        <v/>
      </c>
      <c r="J14" s="8"/>
      <c r="K14" s="6"/>
      <c r="L14" s="6"/>
      <c r="M14" s="16">
        <f t="shared" si="0"/>
        <v>0</v>
      </c>
      <c r="N14" s="20">
        <f t="shared" si="1"/>
        <v>0</v>
      </c>
      <c r="O14" s="8"/>
      <c r="P14" s="8"/>
      <c r="Q14" s="4"/>
      <c r="R14" s="10">
        <f t="shared" si="2"/>
        <v>0</v>
      </c>
      <c r="S14" s="10"/>
      <c r="T14" s="10">
        <f t="shared" si="3"/>
        <v>0</v>
      </c>
      <c r="U14" s="24" t="str">
        <f t="shared" si="4"/>
        <v/>
      </c>
      <c r="V14" s="10" t="str">
        <f>IFERROR(N14*VLOOKUP(G14,FILAMENTI_DB!$A:$J,10,FALSE),"")</f>
        <v/>
      </c>
      <c r="W14" s="10" t="str">
        <f>IFERROR((VLOOKUP(F14,STAMPANTI_DB!$A:$C,3,FALSE)/1000)*O14*SETTINGS!$C$6,"")</f>
        <v/>
      </c>
      <c r="X14" s="10" t="str">
        <f>IFERROR(O14*VLOOKUP(F14,STAMPANTI_DB!$A:$I,9,FALSE),"")</f>
        <v/>
      </c>
      <c r="Y14" s="10">
        <f>IFERROR(P14*SETTINGS!$C$7,"")</f>
        <v>0</v>
      </c>
      <c r="Z14" s="10">
        <f>SETTINGS!$C$11</f>
        <v>0.5</v>
      </c>
      <c r="AA14" s="10">
        <f t="shared" si="5"/>
        <v>0.5</v>
      </c>
      <c r="AB14" s="10">
        <f>IFERROR(AA14*SETTINGS!$C$9,"")</f>
        <v>2.5000000000000001E-2</v>
      </c>
      <c r="AC14" s="10">
        <f>IFERROR((AA14+AB14)*SETTINGS!$C$10,"")</f>
        <v>2.6250000000000002E-2</v>
      </c>
      <c r="AD14" s="24"/>
    </row>
    <row r="15" spans="1:30" ht="16" customHeight="1" x14ac:dyDescent="0.2">
      <c r="A15" s="17"/>
      <c r="B15" s="18"/>
      <c r="C15" s="7"/>
      <c r="D15" s="7"/>
      <c r="E15" s="7"/>
      <c r="F15" s="7"/>
      <c r="G15" s="7"/>
      <c r="H15" s="18" t="str">
        <f>IFERROR(VLOOKUP(G15,FILAMENTI_DB!$A:$C,3,FALSE),"")</f>
        <v/>
      </c>
      <c r="I15" s="18" t="str">
        <f>IFERROR(VLOOKUP(G15,FILAMENTI_DB!$A:$E,4,FALSE),"")</f>
        <v/>
      </c>
      <c r="J15" s="8"/>
      <c r="K15" s="6"/>
      <c r="L15" s="6"/>
      <c r="M15" s="16">
        <f t="shared" si="0"/>
        <v>0</v>
      </c>
      <c r="N15" s="20">
        <f t="shared" si="1"/>
        <v>0</v>
      </c>
      <c r="O15" s="8"/>
      <c r="P15" s="8"/>
      <c r="Q15" s="4"/>
      <c r="R15" s="10">
        <f t="shared" si="2"/>
        <v>0</v>
      </c>
      <c r="S15" s="10"/>
      <c r="T15" s="10">
        <f t="shared" si="3"/>
        <v>0</v>
      </c>
      <c r="U15" s="24" t="str">
        <f t="shared" si="4"/>
        <v/>
      </c>
      <c r="V15" s="10" t="str">
        <f>IFERROR(N15*VLOOKUP(G15,FILAMENTI_DB!$A:$J,10,FALSE),"")</f>
        <v/>
      </c>
      <c r="W15" s="10" t="str">
        <f>IFERROR((VLOOKUP(F15,STAMPANTI_DB!$A:$C,3,FALSE)/1000)*O15*SETTINGS!$C$6,"")</f>
        <v/>
      </c>
      <c r="X15" s="10" t="str">
        <f>IFERROR(O15*VLOOKUP(F15,STAMPANTI_DB!$A:$I,9,FALSE),"")</f>
        <v/>
      </c>
      <c r="Y15" s="10">
        <f>IFERROR(P15*SETTINGS!$C$7,"")</f>
        <v>0</v>
      </c>
      <c r="Z15" s="10">
        <f>SETTINGS!$C$11</f>
        <v>0.5</v>
      </c>
      <c r="AA15" s="10">
        <f t="shared" si="5"/>
        <v>0.5</v>
      </c>
      <c r="AB15" s="10">
        <f>IFERROR(AA15*SETTINGS!$C$9,"")</f>
        <v>2.5000000000000001E-2</v>
      </c>
      <c r="AC15" s="10">
        <f>IFERROR((AA15+AB15)*SETTINGS!$C$10,"")</f>
        <v>2.6250000000000002E-2</v>
      </c>
      <c r="AD15" s="24"/>
    </row>
    <row r="16" spans="1:30" ht="16" customHeight="1" x14ac:dyDescent="0.2">
      <c r="A16" s="17"/>
      <c r="B16" s="18"/>
      <c r="C16" s="7"/>
      <c r="D16" s="7"/>
      <c r="E16" s="7"/>
      <c r="F16" s="7"/>
      <c r="G16" s="7"/>
      <c r="H16" s="18" t="str">
        <f>IFERROR(VLOOKUP(G16,FILAMENTI_DB!$A:$C,3,FALSE),"")</f>
        <v/>
      </c>
      <c r="I16" s="18" t="str">
        <f>IFERROR(VLOOKUP(G16,FILAMENTI_DB!$A:$E,4,FALSE),"")</f>
        <v/>
      </c>
      <c r="J16" s="8"/>
      <c r="K16" s="6"/>
      <c r="L16" s="6"/>
      <c r="M16" s="16">
        <f t="shared" si="0"/>
        <v>0</v>
      </c>
      <c r="N16" s="20">
        <f t="shared" si="1"/>
        <v>0</v>
      </c>
      <c r="O16" s="8"/>
      <c r="P16" s="8"/>
      <c r="Q16" s="4"/>
      <c r="R16" s="10">
        <f t="shared" si="2"/>
        <v>0</v>
      </c>
      <c r="S16" s="10"/>
      <c r="T16" s="10">
        <f t="shared" si="3"/>
        <v>0</v>
      </c>
      <c r="U16" s="24" t="str">
        <f t="shared" si="4"/>
        <v/>
      </c>
      <c r="V16" s="10" t="str">
        <f>IFERROR(N16*VLOOKUP(G16,FILAMENTI_DB!$A:$J,10,FALSE),"")</f>
        <v/>
      </c>
      <c r="W16" s="10" t="str">
        <f>IFERROR((VLOOKUP(F16,STAMPANTI_DB!$A:$C,3,FALSE)/1000)*O16*SETTINGS!$C$6,"")</f>
        <v/>
      </c>
      <c r="X16" s="10" t="str">
        <f>IFERROR(O16*VLOOKUP(F16,STAMPANTI_DB!$A:$I,9,FALSE),"")</f>
        <v/>
      </c>
      <c r="Y16" s="10">
        <f>IFERROR(P16*SETTINGS!$C$7,"")</f>
        <v>0</v>
      </c>
      <c r="Z16" s="10">
        <f>SETTINGS!$C$11</f>
        <v>0.5</v>
      </c>
      <c r="AA16" s="10">
        <f t="shared" si="5"/>
        <v>0.5</v>
      </c>
      <c r="AB16" s="10">
        <f>IFERROR(AA16*SETTINGS!$C$9,"")</f>
        <v>2.5000000000000001E-2</v>
      </c>
      <c r="AC16" s="10">
        <f>IFERROR((AA16+AB16)*SETTINGS!$C$10,"")</f>
        <v>2.6250000000000002E-2</v>
      </c>
      <c r="AD16" s="24"/>
    </row>
    <row r="17" spans="1:30" ht="16" customHeight="1" x14ac:dyDescent="0.2">
      <c r="A17" s="17"/>
      <c r="B17" s="18"/>
      <c r="C17" s="7"/>
      <c r="D17" s="7"/>
      <c r="E17" s="7"/>
      <c r="F17" s="7"/>
      <c r="G17" s="7"/>
      <c r="H17" s="18" t="str">
        <f>IFERROR(VLOOKUP(G17,FILAMENTI_DB!$A:$C,3,FALSE),"")</f>
        <v/>
      </c>
      <c r="I17" s="18" t="str">
        <f>IFERROR(VLOOKUP(G17,FILAMENTI_DB!$A:$E,4,FALSE),"")</f>
        <v/>
      </c>
      <c r="J17" s="8"/>
      <c r="K17" s="6"/>
      <c r="L17" s="6"/>
      <c r="M17" s="16">
        <f t="shared" si="0"/>
        <v>0</v>
      </c>
      <c r="N17" s="20">
        <f t="shared" si="1"/>
        <v>0</v>
      </c>
      <c r="O17" s="8"/>
      <c r="P17" s="8"/>
      <c r="Q17" s="4"/>
      <c r="R17" s="10">
        <f t="shared" si="2"/>
        <v>0</v>
      </c>
      <c r="S17" s="10"/>
      <c r="T17" s="10">
        <f t="shared" si="3"/>
        <v>0</v>
      </c>
      <c r="U17" s="24" t="str">
        <f t="shared" si="4"/>
        <v/>
      </c>
      <c r="V17" s="10" t="str">
        <f>IFERROR(N17*VLOOKUP(G17,FILAMENTI_DB!$A:$J,10,FALSE),"")</f>
        <v/>
      </c>
      <c r="W17" s="10" t="str">
        <f>IFERROR((VLOOKUP(F17,STAMPANTI_DB!$A:$C,3,FALSE)/1000)*O17*SETTINGS!$C$6,"")</f>
        <v/>
      </c>
      <c r="X17" s="10" t="str">
        <f>IFERROR(O17*VLOOKUP(F17,STAMPANTI_DB!$A:$I,9,FALSE),"")</f>
        <v/>
      </c>
      <c r="Y17" s="10">
        <f>IFERROR(P17*SETTINGS!$C$7,"")</f>
        <v>0</v>
      </c>
      <c r="Z17" s="10">
        <f>SETTINGS!$C$11</f>
        <v>0.5</v>
      </c>
      <c r="AA17" s="10">
        <f t="shared" si="5"/>
        <v>0.5</v>
      </c>
      <c r="AB17" s="10">
        <f>IFERROR(AA17*SETTINGS!$C$9,"")</f>
        <v>2.5000000000000001E-2</v>
      </c>
      <c r="AC17" s="10">
        <f>IFERROR((AA17+AB17)*SETTINGS!$C$10,"")</f>
        <v>2.6250000000000002E-2</v>
      </c>
      <c r="AD17" s="24"/>
    </row>
    <row r="18" spans="1:30" ht="16" customHeight="1" x14ac:dyDescent="0.2">
      <c r="A18" s="17"/>
      <c r="B18" s="18"/>
      <c r="C18" s="7"/>
      <c r="D18" s="7"/>
      <c r="E18" s="7"/>
      <c r="F18" s="7"/>
      <c r="G18" s="7"/>
      <c r="H18" s="18" t="str">
        <f>IFERROR(VLOOKUP(G18,FILAMENTI_DB!$A:$C,3,FALSE),"")</f>
        <v/>
      </c>
      <c r="I18" s="18" t="str">
        <f>IFERROR(VLOOKUP(G18,FILAMENTI_DB!$A:$E,4,FALSE),"")</f>
        <v/>
      </c>
      <c r="J18" s="8"/>
      <c r="K18" s="6"/>
      <c r="L18" s="6"/>
      <c r="M18" s="16">
        <f t="shared" si="0"/>
        <v>0</v>
      </c>
      <c r="N18" s="20">
        <f t="shared" si="1"/>
        <v>0</v>
      </c>
      <c r="O18" s="8"/>
      <c r="P18" s="8"/>
      <c r="Q18" s="4"/>
      <c r="R18" s="10">
        <f t="shared" si="2"/>
        <v>0</v>
      </c>
      <c r="S18" s="10"/>
      <c r="T18" s="10">
        <f t="shared" si="3"/>
        <v>0</v>
      </c>
      <c r="U18" s="24" t="str">
        <f t="shared" si="4"/>
        <v/>
      </c>
      <c r="V18" s="10" t="str">
        <f>IFERROR(N18*VLOOKUP(G18,FILAMENTI_DB!$A:$J,10,FALSE),"")</f>
        <v/>
      </c>
      <c r="W18" s="10" t="str">
        <f>IFERROR((VLOOKUP(F18,STAMPANTI_DB!$A:$C,3,FALSE)/1000)*O18*SETTINGS!$C$6,"")</f>
        <v/>
      </c>
      <c r="X18" s="10" t="str">
        <f>IFERROR(O18*VLOOKUP(F18,STAMPANTI_DB!$A:$I,9,FALSE),"")</f>
        <v/>
      </c>
      <c r="Y18" s="10">
        <f>IFERROR(P18*SETTINGS!$C$7,"")</f>
        <v>0</v>
      </c>
      <c r="Z18" s="10">
        <f>SETTINGS!$C$11</f>
        <v>0.5</v>
      </c>
      <c r="AA18" s="10">
        <f t="shared" si="5"/>
        <v>0.5</v>
      </c>
      <c r="AB18" s="10">
        <f>IFERROR(AA18*SETTINGS!$C$9,"")</f>
        <v>2.5000000000000001E-2</v>
      </c>
      <c r="AC18" s="10">
        <f>IFERROR((AA18+AB18)*SETTINGS!$C$10,"")</f>
        <v>2.6250000000000002E-2</v>
      </c>
      <c r="AD18" s="24"/>
    </row>
    <row r="19" spans="1:30" ht="16" customHeight="1" x14ac:dyDescent="0.2">
      <c r="A19" s="17"/>
      <c r="B19" s="18"/>
      <c r="C19" s="7"/>
      <c r="D19" s="7"/>
      <c r="E19" s="7"/>
      <c r="F19" s="7"/>
      <c r="G19" s="7"/>
      <c r="H19" s="18" t="str">
        <f>IFERROR(VLOOKUP(G19,FILAMENTI_DB!$A:$C,3,FALSE),"")</f>
        <v/>
      </c>
      <c r="I19" s="18" t="str">
        <f>IFERROR(VLOOKUP(G19,FILAMENTI_DB!$A:$E,4,FALSE),"")</f>
        <v/>
      </c>
      <c r="J19" s="8"/>
      <c r="K19" s="6"/>
      <c r="L19" s="6"/>
      <c r="M19" s="16">
        <f t="shared" si="0"/>
        <v>0</v>
      </c>
      <c r="N19" s="20">
        <f t="shared" si="1"/>
        <v>0</v>
      </c>
      <c r="O19" s="8"/>
      <c r="P19" s="8"/>
      <c r="Q19" s="4"/>
      <c r="R19" s="10">
        <f t="shared" si="2"/>
        <v>0</v>
      </c>
      <c r="S19" s="10"/>
      <c r="T19" s="10">
        <f t="shared" si="3"/>
        <v>0</v>
      </c>
      <c r="U19" s="24" t="str">
        <f t="shared" si="4"/>
        <v/>
      </c>
      <c r="V19" s="10" t="str">
        <f>IFERROR(N19*VLOOKUP(G19,FILAMENTI_DB!$A:$J,10,FALSE),"")</f>
        <v/>
      </c>
      <c r="W19" s="10" t="str">
        <f>IFERROR((VLOOKUP(F19,STAMPANTI_DB!$A:$C,3,FALSE)/1000)*O19*SETTINGS!$C$6,"")</f>
        <v/>
      </c>
      <c r="X19" s="10" t="str">
        <f>IFERROR(O19*VLOOKUP(F19,STAMPANTI_DB!$A:$I,9,FALSE),"")</f>
        <v/>
      </c>
      <c r="Y19" s="10">
        <f>IFERROR(P19*SETTINGS!$C$7,"")</f>
        <v>0</v>
      </c>
      <c r="Z19" s="10">
        <f>SETTINGS!$C$11</f>
        <v>0.5</v>
      </c>
      <c r="AA19" s="10">
        <f t="shared" si="5"/>
        <v>0.5</v>
      </c>
      <c r="AB19" s="10">
        <f>IFERROR(AA19*SETTINGS!$C$9,"")</f>
        <v>2.5000000000000001E-2</v>
      </c>
      <c r="AC19" s="10">
        <f>IFERROR((AA19+AB19)*SETTINGS!$C$10,"")</f>
        <v>2.6250000000000002E-2</v>
      </c>
      <c r="AD19" s="24"/>
    </row>
    <row r="20" spans="1:30" ht="16" customHeight="1" x14ac:dyDescent="0.2">
      <c r="A20" s="17"/>
      <c r="B20" s="18"/>
      <c r="C20" s="7"/>
      <c r="D20" s="7"/>
      <c r="E20" s="7"/>
      <c r="F20" s="7"/>
      <c r="G20" s="7"/>
      <c r="H20" s="18" t="str">
        <f>IFERROR(VLOOKUP(G20,FILAMENTI_DB!$A:$C,3,FALSE),"")</f>
        <v/>
      </c>
      <c r="I20" s="18" t="str">
        <f>IFERROR(VLOOKUP(G20,FILAMENTI_DB!$A:$E,4,FALSE),"")</f>
        <v/>
      </c>
      <c r="J20" s="8"/>
      <c r="K20" s="6"/>
      <c r="L20" s="6"/>
      <c r="M20" s="16">
        <f t="shared" si="0"/>
        <v>0</v>
      </c>
      <c r="N20" s="20">
        <f t="shared" si="1"/>
        <v>0</v>
      </c>
      <c r="O20" s="8"/>
      <c r="P20" s="8"/>
      <c r="Q20" s="4"/>
      <c r="R20" s="10">
        <f t="shared" si="2"/>
        <v>0</v>
      </c>
      <c r="S20" s="10"/>
      <c r="T20" s="10">
        <f t="shared" si="3"/>
        <v>0</v>
      </c>
      <c r="U20" s="24" t="str">
        <f t="shared" si="4"/>
        <v/>
      </c>
      <c r="V20" s="10" t="str">
        <f>IFERROR(N20*VLOOKUP(G20,FILAMENTI_DB!$A:$J,10,FALSE),"")</f>
        <v/>
      </c>
      <c r="W20" s="10" t="str">
        <f>IFERROR((VLOOKUP(F20,STAMPANTI_DB!$A:$C,3,FALSE)/1000)*O20*SETTINGS!$C$6,"")</f>
        <v/>
      </c>
      <c r="X20" s="10" t="str">
        <f>IFERROR(O20*VLOOKUP(F20,STAMPANTI_DB!$A:$I,9,FALSE),"")</f>
        <v/>
      </c>
      <c r="Y20" s="10">
        <f>IFERROR(P20*SETTINGS!$C$7,"")</f>
        <v>0</v>
      </c>
      <c r="Z20" s="10">
        <f>SETTINGS!$C$11</f>
        <v>0.5</v>
      </c>
      <c r="AA20" s="10">
        <f t="shared" si="5"/>
        <v>0.5</v>
      </c>
      <c r="AB20" s="10">
        <f>IFERROR(AA20*SETTINGS!$C$9,"")</f>
        <v>2.5000000000000001E-2</v>
      </c>
      <c r="AC20" s="10">
        <f>IFERROR((AA20+AB20)*SETTINGS!$C$10,"")</f>
        <v>2.6250000000000002E-2</v>
      </c>
      <c r="AD20" s="24"/>
    </row>
    <row r="21" spans="1:30" ht="16" customHeight="1" x14ac:dyDescent="0.2">
      <c r="A21" s="17"/>
      <c r="B21" s="18"/>
      <c r="C21" s="7"/>
      <c r="D21" s="7"/>
      <c r="E21" s="7"/>
      <c r="F21" s="7"/>
      <c r="G21" s="7"/>
      <c r="H21" s="18" t="str">
        <f>IFERROR(VLOOKUP(G21,FILAMENTI_DB!$A:$C,3,FALSE),"")</f>
        <v/>
      </c>
      <c r="I21" s="18" t="str">
        <f>IFERROR(VLOOKUP(G21,FILAMENTI_DB!$A:$E,4,FALSE),"")</f>
        <v/>
      </c>
      <c r="J21" s="8"/>
      <c r="K21" s="6"/>
      <c r="L21" s="6"/>
      <c r="M21" s="16">
        <f t="shared" si="0"/>
        <v>0</v>
      </c>
      <c r="N21" s="20">
        <f t="shared" si="1"/>
        <v>0</v>
      </c>
      <c r="O21" s="8"/>
      <c r="P21" s="8"/>
      <c r="Q21" s="4"/>
      <c r="R21" s="10">
        <f t="shared" si="2"/>
        <v>0</v>
      </c>
      <c r="S21" s="10"/>
      <c r="T21" s="10">
        <f t="shared" si="3"/>
        <v>0</v>
      </c>
      <c r="U21" s="24" t="str">
        <f t="shared" si="4"/>
        <v/>
      </c>
      <c r="V21" s="10" t="str">
        <f>IFERROR(N21*VLOOKUP(G21,FILAMENTI_DB!$A:$J,10,FALSE),"")</f>
        <v/>
      </c>
      <c r="W21" s="10" t="str">
        <f>IFERROR((VLOOKUP(F21,STAMPANTI_DB!$A:$C,3,FALSE)/1000)*O21*SETTINGS!$C$6,"")</f>
        <v/>
      </c>
      <c r="X21" s="10" t="str">
        <f>IFERROR(O21*VLOOKUP(F21,STAMPANTI_DB!$A:$I,9,FALSE),"")</f>
        <v/>
      </c>
      <c r="Y21" s="10">
        <f>IFERROR(P21*SETTINGS!$C$7,"")</f>
        <v>0</v>
      </c>
      <c r="Z21" s="10">
        <f>SETTINGS!$C$11</f>
        <v>0.5</v>
      </c>
      <c r="AA21" s="10">
        <f t="shared" si="5"/>
        <v>0.5</v>
      </c>
      <c r="AB21" s="10">
        <f>IFERROR(AA21*SETTINGS!$C$9,"")</f>
        <v>2.5000000000000001E-2</v>
      </c>
      <c r="AC21" s="10">
        <f>IFERROR((AA21+AB21)*SETTINGS!$C$10,"")</f>
        <v>2.6250000000000002E-2</v>
      </c>
      <c r="AD21" s="24"/>
    </row>
    <row r="22" spans="1:30" ht="16" customHeight="1" x14ac:dyDescent="0.2">
      <c r="A22" s="17"/>
      <c r="B22" s="18"/>
      <c r="C22" s="7"/>
      <c r="D22" s="7"/>
      <c r="E22" s="7"/>
      <c r="F22" s="7"/>
      <c r="G22" s="7"/>
      <c r="H22" s="18" t="str">
        <f>IFERROR(VLOOKUP(G22,FILAMENTI_DB!$A:$C,3,FALSE),"")</f>
        <v/>
      </c>
      <c r="I22" s="18" t="str">
        <f>IFERROR(VLOOKUP(G22,FILAMENTI_DB!$A:$E,4,FALSE),"")</f>
        <v/>
      </c>
      <c r="J22" s="8"/>
      <c r="K22" s="6"/>
      <c r="L22" s="6"/>
      <c r="M22" s="16">
        <f t="shared" si="0"/>
        <v>0</v>
      </c>
      <c r="N22" s="20">
        <f t="shared" si="1"/>
        <v>0</v>
      </c>
      <c r="O22" s="8"/>
      <c r="P22" s="8"/>
      <c r="Q22" s="4"/>
      <c r="R22" s="10">
        <f t="shared" si="2"/>
        <v>0</v>
      </c>
      <c r="S22" s="10"/>
      <c r="T22" s="10">
        <f t="shared" si="3"/>
        <v>0</v>
      </c>
      <c r="U22" s="24" t="str">
        <f t="shared" si="4"/>
        <v/>
      </c>
      <c r="V22" s="10" t="str">
        <f>IFERROR(N22*VLOOKUP(G22,FILAMENTI_DB!$A:$J,10,FALSE),"")</f>
        <v/>
      </c>
      <c r="W22" s="10" t="str">
        <f>IFERROR((VLOOKUP(F22,STAMPANTI_DB!$A:$C,3,FALSE)/1000)*O22*SETTINGS!$C$6,"")</f>
        <v/>
      </c>
      <c r="X22" s="10" t="str">
        <f>IFERROR(O22*VLOOKUP(F22,STAMPANTI_DB!$A:$I,9,FALSE),"")</f>
        <v/>
      </c>
      <c r="Y22" s="10">
        <f>IFERROR(P22*SETTINGS!$C$7,"")</f>
        <v>0</v>
      </c>
      <c r="Z22" s="10">
        <f>SETTINGS!$C$11</f>
        <v>0.5</v>
      </c>
      <c r="AA22" s="10">
        <f t="shared" si="5"/>
        <v>0.5</v>
      </c>
      <c r="AB22" s="10">
        <f>IFERROR(AA22*SETTINGS!$C$9,"")</f>
        <v>2.5000000000000001E-2</v>
      </c>
      <c r="AC22" s="10">
        <f>IFERROR((AA22+AB22)*SETTINGS!$C$10,"")</f>
        <v>2.6250000000000002E-2</v>
      </c>
      <c r="AD22" s="24"/>
    </row>
    <row r="23" spans="1:30" ht="16" customHeight="1" x14ac:dyDescent="0.2">
      <c r="A23" s="17"/>
      <c r="B23" s="18"/>
      <c r="C23" s="7"/>
      <c r="D23" s="7"/>
      <c r="E23" s="7"/>
      <c r="F23" s="7"/>
      <c r="G23" s="7"/>
      <c r="H23" s="18" t="str">
        <f>IFERROR(VLOOKUP(G23,FILAMENTI_DB!$A:$C,3,FALSE),"")</f>
        <v/>
      </c>
      <c r="I23" s="18" t="str">
        <f>IFERROR(VLOOKUP(G23,FILAMENTI_DB!$A:$E,4,FALSE),"")</f>
        <v/>
      </c>
      <c r="J23" s="8"/>
      <c r="K23" s="6"/>
      <c r="L23" s="6"/>
      <c r="M23" s="16">
        <f t="shared" si="0"/>
        <v>0</v>
      </c>
      <c r="N23" s="20">
        <f t="shared" si="1"/>
        <v>0</v>
      </c>
      <c r="O23" s="8"/>
      <c r="P23" s="8"/>
      <c r="Q23" s="4"/>
      <c r="R23" s="10">
        <f t="shared" si="2"/>
        <v>0</v>
      </c>
      <c r="S23" s="10"/>
      <c r="T23" s="10">
        <f t="shared" si="3"/>
        <v>0</v>
      </c>
      <c r="U23" s="24" t="str">
        <f t="shared" si="4"/>
        <v/>
      </c>
      <c r="V23" s="10" t="str">
        <f>IFERROR(N23*VLOOKUP(G23,FILAMENTI_DB!$A:$J,10,FALSE),"")</f>
        <v/>
      </c>
      <c r="W23" s="10" t="str">
        <f>IFERROR((VLOOKUP(F23,STAMPANTI_DB!$A:$C,3,FALSE)/1000)*O23*SETTINGS!$C$6,"")</f>
        <v/>
      </c>
      <c r="X23" s="10" t="str">
        <f>IFERROR(O23*VLOOKUP(F23,STAMPANTI_DB!$A:$I,9,FALSE),"")</f>
        <v/>
      </c>
      <c r="Y23" s="10">
        <f>IFERROR(P23*SETTINGS!$C$7,"")</f>
        <v>0</v>
      </c>
      <c r="Z23" s="10">
        <f>SETTINGS!$C$11</f>
        <v>0.5</v>
      </c>
      <c r="AA23" s="10">
        <f t="shared" si="5"/>
        <v>0.5</v>
      </c>
      <c r="AB23" s="10">
        <f>IFERROR(AA23*SETTINGS!$C$9,"")</f>
        <v>2.5000000000000001E-2</v>
      </c>
      <c r="AC23" s="10">
        <f>IFERROR((AA23+AB23)*SETTINGS!$C$10,"")</f>
        <v>2.6250000000000002E-2</v>
      </c>
      <c r="AD23" s="24"/>
    </row>
    <row r="24" spans="1:30" ht="16" customHeight="1" x14ac:dyDescent="0.2">
      <c r="A24" s="17"/>
      <c r="B24" s="18"/>
      <c r="C24" s="7"/>
      <c r="D24" s="7"/>
      <c r="E24" s="7"/>
      <c r="F24" s="7"/>
      <c r="G24" s="7"/>
      <c r="H24" s="18" t="str">
        <f>IFERROR(VLOOKUP(G24,FILAMENTI_DB!$A:$C,3,FALSE),"")</f>
        <v/>
      </c>
      <c r="I24" s="18" t="str">
        <f>IFERROR(VLOOKUP(G24,FILAMENTI_DB!$A:$E,4,FALSE),"")</f>
        <v/>
      </c>
      <c r="J24" s="8"/>
      <c r="K24" s="6"/>
      <c r="L24" s="6"/>
      <c r="M24" s="16">
        <f t="shared" si="0"/>
        <v>0</v>
      </c>
      <c r="N24" s="20">
        <f t="shared" si="1"/>
        <v>0</v>
      </c>
      <c r="O24" s="8"/>
      <c r="P24" s="8"/>
      <c r="Q24" s="4"/>
      <c r="R24" s="10">
        <f t="shared" si="2"/>
        <v>0</v>
      </c>
      <c r="S24" s="10"/>
      <c r="T24" s="10">
        <f t="shared" si="3"/>
        <v>0</v>
      </c>
      <c r="U24" s="24" t="str">
        <f t="shared" si="4"/>
        <v/>
      </c>
      <c r="V24" s="10" t="str">
        <f>IFERROR(N24*VLOOKUP(G24,FILAMENTI_DB!$A:$J,10,FALSE),"")</f>
        <v/>
      </c>
      <c r="W24" s="10" t="str">
        <f>IFERROR((VLOOKUP(F24,STAMPANTI_DB!$A:$C,3,FALSE)/1000)*O24*SETTINGS!$C$6,"")</f>
        <v/>
      </c>
      <c r="X24" s="10" t="str">
        <f>IFERROR(O24*VLOOKUP(F24,STAMPANTI_DB!$A:$I,9,FALSE),"")</f>
        <v/>
      </c>
      <c r="Y24" s="10">
        <f>IFERROR(P24*SETTINGS!$C$7,"")</f>
        <v>0</v>
      </c>
      <c r="Z24" s="10">
        <f>SETTINGS!$C$11</f>
        <v>0.5</v>
      </c>
      <c r="AA24" s="10">
        <f t="shared" si="5"/>
        <v>0.5</v>
      </c>
      <c r="AB24" s="10">
        <f>IFERROR(AA24*SETTINGS!$C$9,"")</f>
        <v>2.5000000000000001E-2</v>
      </c>
      <c r="AC24" s="10">
        <f>IFERROR((AA24+AB24)*SETTINGS!$C$10,"")</f>
        <v>2.6250000000000002E-2</v>
      </c>
      <c r="AD24" s="24"/>
    </row>
    <row r="25" spans="1:30" ht="16" customHeight="1" x14ac:dyDescent="0.2">
      <c r="A25" s="17"/>
      <c r="B25" s="18"/>
      <c r="C25" s="7"/>
      <c r="D25" s="7"/>
      <c r="E25" s="7"/>
      <c r="F25" s="7"/>
      <c r="G25" s="7"/>
      <c r="H25" s="18" t="str">
        <f>IFERROR(VLOOKUP(G25,FILAMENTI_DB!$A:$C,3,FALSE),"")</f>
        <v/>
      </c>
      <c r="I25" s="18" t="str">
        <f>IFERROR(VLOOKUP(G25,FILAMENTI_DB!$A:$E,4,FALSE),"")</f>
        <v/>
      </c>
      <c r="J25" s="8"/>
      <c r="K25" s="6"/>
      <c r="L25" s="6"/>
      <c r="M25" s="16">
        <f t="shared" si="0"/>
        <v>0</v>
      </c>
      <c r="N25" s="20">
        <f t="shared" si="1"/>
        <v>0</v>
      </c>
      <c r="O25" s="8"/>
      <c r="P25" s="8"/>
      <c r="Q25" s="4"/>
      <c r="R25" s="10">
        <f t="shared" si="2"/>
        <v>0</v>
      </c>
      <c r="S25" s="10"/>
      <c r="T25" s="10">
        <f t="shared" si="3"/>
        <v>0</v>
      </c>
      <c r="U25" s="24" t="str">
        <f t="shared" si="4"/>
        <v/>
      </c>
      <c r="V25" s="10" t="str">
        <f>IFERROR(N25*VLOOKUP(G25,FILAMENTI_DB!$A:$J,10,FALSE),"")</f>
        <v/>
      </c>
      <c r="W25" s="10" t="str">
        <f>IFERROR((VLOOKUP(F25,STAMPANTI_DB!$A:$C,3,FALSE)/1000)*O25*SETTINGS!$C$6,"")</f>
        <v/>
      </c>
      <c r="X25" s="10" t="str">
        <f>IFERROR(O25*VLOOKUP(F25,STAMPANTI_DB!$A:$I,9,FALSE),"")</f>
        <v/>
      </c>
      <c r="Y25" s="10">
        <f>IFERROR(P25*SETTINGS!$C$7,"")</f>
        <v>0</v>
      </c>
      <c r="Z25" s="10">
        <f>SETTINGS!$C$11</f>
        <v>0.5</v>
      </c>
      <c r="AA25" s="10">
        <f t="shared" si="5"/>
        <v>0.5</v>
      </c>
      <c r="AB25" s="10">
        <f>IFERROR(AA25*SETTINGS!$C$9,"")</f>
        <v>2.5000000000000001E-2</v>
      </c>
      <c r="AC25" s="10">
        <f>IFERROR((AA25+AB25)*SETTINGS!$C$10,"")</f>
        <v>2.6250000000000002E-2</v>
      </c>
      <c r="AD25" s="24"/>
    </row>
    <row r="26" spans="1:30" ht="16" customHeight="1" x14ac:dyDescent="0.2">
      <c r="A26" s="17"/>
      <c r="B26" s="18"/>
      <c r="C26" s="7"/>
      <c r="D26" s="7"/>
      <c r="E26" s="7"/>
      <c r="F26" s="7"/>
      <c r="G26" s="7"/>
      <c r="H26" s="18" t="str">
        <f>IFERROR(VLOOKUP(G26,FILAMENTI_DB!$A:$C,3,FALSE),"")</f>
        <v/>
      </c>
      <c r="I26" s="18" t="str">
        <f>IFERROR(VLOOKUP(G26,FILAMENTI_DB!$A:$E,4,FALSE),"")</f>
        <v/>
      </c>
      <c r="J26" s="8"/>
      <c r="K26" s="6"/>
      <c r="L26" s="6"/>
      <c r="M26" s="16">
        <f t="shared" si="0"/>
        <v>0</v>
      </c>
      <c r="N26" s="20">
        <f t="shared" si="1"/>
        <v>0</v>
      </c>
      <c r="O26" s="8"/>
      <c r="P26" s="8"/>
      <c r="Q26" s="4"/>
      <c r="R26" s="10">
        <f t="shared" si="2"/>
        <v>0</v>
      </c>
      <c r="S26" s="10"/>
      <c r="T26" s="10">
        <f t="shared" si="3"/>
        <v>0</v>
      </c>
      <c r="U26" s="24" t="str">
        <f t="shared" si="4"/>
        <v/>
      </c>
      <c r="V26" s="10" t="str">
        <f>IFERROR(N26*VLOOKUP(G26,FILAMENTI_DB!$A:$J,10,FALSE),"")</f>
        <v/>
      </c>
      <c r="W26" s="10" t="str">
        <f>IFERROR((VLOOKUP(F26,STAMPANTI_DB!$A:$C,3,FALSE)/1000)*O26*SETTINGS!$C$6,"")</f>
        <v/>
      </c>
      <c r="X26" s="10" t="str">
        <f>IFERROR(O26*VLOOKUP(F26,STAMPANTI_DB!$A:$I,9,FALSE),"")</f>
        <v/>
      </c>
      <c r="Y26" s="10">
        <f>IFERROR(P26*SETTINGS!$C$7,"")</f>
        <v>0</v>
      </c>
      <c r="Z26" s="10">
        <f>SETTINGS!$C$11</f>
        <v>0.5</v>
      </c>
      <c r="AA26" s="10">
        <f t="shared" si="5"/>
        <v>0.5</v>
      </c>
      <c r="AB26" s="10">
        <f>IFERROR(AA26*SETTINGS!$C$9,"")</f>
        <v>2.5000000000000001E-2</v>
      </c>
      <c r="AC26" s="10">
        <f>IFERROR((AA26+AB26)*SETTINGS!$C$10,"")</f>
        <v>2.6250000000000002E-2</v>
      </c>
      <c r="AD26" s="24"/>
    </row>
    <row r="27" spans="1:30" ht="16" customHeight="1" x14ac:dyDescent="0.2">
      <c r="A27" s="17"/>
      <c r="B27" s="18"/>
      <c r="C27" s="7"/>
      <c r="D27" s="7"/>
      <c r="E27" s="7"/>
      <c r="F27" s="7"/>
      <c r="G27" s="7"/>
      <c r="H27" s="18" t="str">
        <f>IFERROR(VLOOKUP(G27,FILAMENTI_DB!$A:$C,3,FALSE),"")</f>
        <v/>
      </c>
      <c r="I27" s="18" t="str">
        <f>IFERROR(VLOOKUP(G27,FILAMENTI_DB!$A:$E,4,FALSE),"")</f>
        <v/>
      </c>
      <c r="J27" s="8"/>
      <c r="K27" s="6"/>
      <c r="L27" s="6"/>
      <c r="M27" s="16">
        <f t="shared" si="0"/>
        <v>0</v>
      </c>
      <c r="N27" s="20">
        <f t="shared" si="1"/>
        <v>0</v>
      </c>
      <c r="O27" s="8"/>
      <c r="P27" s="8"/>
      <c r="Q27" s="4"/>
      <c r="R27" s="10">
        <f t="shared" si="2"/>
        <v>0</v>
      </c>
      <c r="S27" s="10"/>
      <c r="T27" s="10">
        <f t="shared" si="3"/>
        <v>0</v>
      </c>
      <c r="U27" s="24" t="str">
        <f t="shared" si="4"/>
        <v/>
      </c>
      <c r="V27" s="10" t="str">
        <f>IFERROR(N27*VLOOKUP(G27,FILAMENTI_DB!$A:$J,10,FALSE),"")</f>
        <v/>
      </c>
      <c r="W27" s="10" t="str">
        <f>IFERROR((VLOOKUP(F27,STAMPANTI_DB!$A:$C,3,FALSE)/1000)*O27*SETTINGS!$C$6,"")</f>
        <v/>
      </c>
      <c r="X27" s="10" t="str">
        <f>IFERROR(O27*VLOOKUP(F27,STAMPANTI_DB!$A:$I,9,FALSE),"")</f>
        <v/>
      </c>
      <c r="Y27" s="10">
        <f>IFERROR(P27*SETTINGS!$C$7,"")</f>
        <v>0</v>
      </c>
      <c r="Z27" s="10">
        <f>SETTINGS!$C$11</f>
        <v>0.5</v>
      </c>
      <c r="AA27" s="10">
        <f t="shared" si="5"/>
        <v>0.5</v>
      </c>
      <c r="AB27" s="10">
        <f>IFERROR(AA27*SETTINGS!$C$9,"")</f>
        <v>2.5000000000000001E-2</v>
      </c>
      <c r="AC27" s="10">
        <f>IFERROR((AA27+AB27)*SETTINGS!$C$10,"")</f>
        <v>2.6250000000000002E-2</v>
      </c>
      <c r="AD27" s="24"/>
    </row>
    <row r="28" spans="1:30" ht="16" customHeight="1" x14ac:dyDescent="0.2">
      <c r="A28" s="17"/>
      <c r="B28" s="18"/>
      <c r="C28" s="7"/>
      <c r="D28" s="7"/>
      <c r="E28" s="7"/>
      <c r="F28" s="7"/>
      <c r="G28" s="7"/>
      <c r="H28" s="18" t="str">
        <f>IFERROR(VLOOKUP(G28,FILAMENTI_DB!$A:$C,3,FALSE),"")</f>
        <v/>
      </c>
      <c r="I28" s="18" t="str">
        <f>IFERROR(VLOOKUP(G28,FILAMENTI_DB!$A:$E,4,FALSE),"")</f>
        <v/>
      </c>
      <c r="J28" s="8"/>
      <c r="K28" s="6"/>
      <c r="L28" s="6"/>
      <c r="M28" s="16">
        <f t="shared" si="0"/>
        <v>0</v>
      </c>
      <c r="N28" s="20">
        <f t="shared" si="1"/>
        <v>0</v>
      </c>
      <c r="O28" s="8"/>
      <c r="P28" s="8"/>
      <c r="Q28" s="4"/>
      <c r="R28" s="10">
        <f t="shared" si="2"/>
        <v>0</v>
      </c>
      <c r="S28" s="10"/>
      <c r="T28" s="10">
        <f t="shared" si="3"/>
        <v>0</v>
      </c>
      <c r="U28" s="24" t="str">
        <f t="shared" si="4"/>
        <v/>
      </c>
      <c r="V28" s="10" t="str">
        <f>IFERROR(N28*VLOOKUP(G28,FILAMENTI_DB!$A:$J,10,FALSE),"")</f>
        <v/>
      </c>
      <c r="W28" s="10" t="str">
        <f>IFERROR((VLOOKUP(F28,STAMPANTI_DB!$A:$C,3,FALSE)/1000)*O28*SETTINGS!$C$6,"")</f>
        <v/>
      </c>
      <c r="X28" s="10" t="str">
        <f>IFERROR(O28*VLOOKUP(F28,STAMPANTI_DB!$A:$I,9,FALSE),"")</f>
        <v/>
      </c>
      <c r="Y28" s="10">
        <f>IFERROR(P28*SETTINGS!$C$7,"")</f>
        <v>0</v>
      </c>
      <c r="Z28" s="10">
        <f>SETTINGS!$C$11</f>
        <v>0.5</v>
      </c>
      <c r="AA28" s="10">
        <f t="shared" si="5"/>
        <v>0.5</v>
      </c>
      <c r="AB28" s="10">
        <f>IFERROR(AA28*SETTINGS!$C$9,"")</f>
        <v>2.5000000000000001E-2</v>
      </c>
      <c r="AC28" s="10">
        <f>IFERROR((AA28+AB28)*SETTINGS!$C$10,"")</f>
        <v>2.6250000000000002E-2</v>
      </c>
      <c r="AD28" s="24"/>
    </row>
    <row r="29" spans="1:30" ht="16" customHeight="1" x14ac:dyDescent="0.2">
      <c r="A29" s="17"/>
      <c r="B29" s="18"/>
      <c r="C29" s="7"/>
      <c r="D29" s="7"/>
      <c r="E29" s="7"/>
      <c r="F29" s="7"/>
      <c r="G29" s="7"/>
      <c r="H29" s="18" t="str">
        <f>IFERROR(VLOOKUP(G29,FILAMENTI_DB!$A:$C,3,FALSE),"")</f>
        <v/>
      </c>
      <c r="I29" s="18" t="str">
        <f>IFERROR(VLOOKUP(G29,FILAMENTI_DB!$A:$E,4,FALSE),"")</f>
        <v/>
      </c>
      <c r="J29" s="8"/>
      <c r="K29" s="6"/>
      <c r="L29" s="6"/>
      <c r="M29" s="16">
        <f t="shared" si="0"/>
        <v>0</v>
      </c>
      <c r="N29" s="20">
        <f t="shared" si="1"/>
        <v>0</v>
      </c>
      <c r="O29" s="8"/>
      <c r="P29" s="8"/>
      <c r="Q29" s="4"/>
      <c r="R29" s="10">
        <f t="shared" si="2"/>
        <v>0</v>
      </c>
      <c r="S29" s="10"/>
      <c r="T29" s="10">
        <f t="shared" si="3"/>
        <v>0</v>
      </c>
      <c r="U29" s="24" t="str">
        <f t="shared" si="4"/>
        <v/>
      </c>
      <c r="V29" s="10" t="str">
        <f>IFERROR(N29*VLOOKUP(G29,FILAMENTI_DB!$A:$J,10,FALSE),"")</f>
        <v/>
      </c>
      <c r="W29" s="10" t="str">
        <f>IFERROR((VLOOKUP(F29,STAMPANTI_DB!$A:$C,3,FALSE)/1000)*O29*SETTINGS!$C$6,"")</f>
        <v/>
      </c>
      <c r="X29" s="10" t="str">
        <f>IFERROR(O29*VLOOKUP(F29,STAMPANTI_DB!$A:$I,9,FALSE),"")</f>
        <v/>
      </c>
      <c r="Y29" s="10">
        <f>IFERROR(P29*SETTINGS!$C$7,"")</f>
        <v>0</v>
      </c>
      <c r="Z29" s="10">
        <f>SETTINGS!$C$11</f>
        <v>0.5</v>
      </c>
      <c r="AA29" s="10">
        <f t="shared" si="5"/>
        <v>0.5</v>
      </c>
      <c r="AB29" s="10">
        <f>IFERROR(AA29*SETTINGS!$C$9,"")</f>
        <v>2.5000000000000001E-2</v>
      </c>
      <c r="AC29" s="10">
        <f>IFERROR((AA29+AB29)*SETTINGS!$C$10,"")</f>
        <v>2.6250000000000002E-2</v>
      </c>
      <c r="AD29" s="24"/>
    </row>
    <row r="30" spans="1:30" ht="16" customHeight="1" x14ac:dyDescent="0.2">
      <c r="A30" s="17"/>
      <c r="B30" s="18"/>
      <c r="C30" s="7"/>
      <c r="D30" s="7"/>
      <c r="E30" s="7"/>
      <c r="F30" s="7"/>
      <c r="G30" s="7"/>
      <c r="H30" s="18" t="str">
        <f>IFERROR(VLOOKUP(G30,FILAMENTI_DB!$A:$C,3,FALSE),"")</f>
        <v/>
      </c>
      <c r="I30" s="18" t="str">
        <f>IFERROR(VLOOKUP(G30,FILAMENTI_DB!$A:$E,4,FALSE),"")</f>
        <v/>
      </c>
      <c r="J30" s="8"/>
      <c r="K30" s="6"/>
      <c r="L30" s="6"/>
      <c r="M30" s="16">
        <f t="shared" si="0"/>
        <v>0</v>
      </c>
      <c r="N30" s="20">
        <f t="shared" si="1"/>
        <v>0</v>
      </c>
      <c r="O30" s="8"/>
      <c r="P30" s="8"/>
      <c r="Q30" s="4"/>
      <c r="R30" s="10">
        <f t="shared" si="2"/>
        <v>0</v>
      </c>
      <c r="S30" s="10"/>
      <c r="T30" s="10">
        <f t="shared" si="3"/>
        <v>0</v>
      </c>
      <c r="U30" s="24" t="str">
        <f t="shared" si="4"/>
        <v/>
      </c>
      <c r="V30" s="10" t="str">
        <f>IFERROR(N30*VLOOKUP(G30,FILAMENTI_DB!$A:$J,10,FALSE),"")</f>
        <v/>
      </c>
      <c r="W30" s="10" t="str">
        <f>IFERROR((VLOOKUP(F30,STAMPANTI_DB!$A:$C,3,FALSE)/1000)*O30*SETTINGS!$C$6,"")</f>
        <v/>
      </c>
      <c r="X30" s="10" t="str">
        <f>IFERROR(O30*VLOOKUP(F30,STAMPANTI_DB!$A:$I,9,FALSE),"")</f>
        <v/>
      </c>
      <c r="Y30" s="10">
        <f>IFERROR(P30*SETTINGS!$C$7,"")</f>
        <v>0</v>
      </c>
      <c r="Z30" s="10">
        <f>SETTINGS!$C$11</f>
        <v>0.5</v>
      </c>
      <c r="AA30" s="10">
        <f t="shared" si="5"/>
        <v>0.5</v>
      </c>
      <c r="AB30" s="10">
        <f>IFERROR(AA30*SETTINGS!$C$9,"")</f>
        <v>2.5000000000000001E-2</v>
      </c>
      <c r="AC30" s="10">
        <f>IFERROR((AA30+AB30)*SETTINGS!$C$10,"")</f>
        <v>2.6250000000000002E-2</v>
      </c>
      <c r="AD30" s="24"/>
    </row>
    <row r="31" spans="1:30" ht="16" customHeight="1" x14ac:dyDescent="0.2">
      <c r="A31" s="17"/>
      <c r="B31" s="18"/>
      <c r="C31" s="7"/>
      <c r="D31" s="7"/>
      <c r="E31" s="7"/>
      <c r="F31" s="7"/>
      <c r="G31" s="7"/>
      <c r="H31" s="18" t="str">
        <f>IFERROR(VLOOKUP(G31,FILAMENTI_DB!$A:$C,3,FALSE),"")</f>
        <v/>
      </c>
      <c r="I31" s="18" t="str">
        <f>IFERROR(VLOOKUP(G31,FILAMENTI_DB!$A:$E,4,FALSE),"")</f>
        <v/>
      </c>
      <c r="J31" s="8"/>
      <c r="K31" s="6"/>
      <c r="L31" s="6"/>
      <c r="M31" s="16">
        <f t="shared" si="0"/>
        <v>0</v>
      </c>
      <c r="N31" s="20">
        <f t="shared" si="1"/>
        <v>0</v>
      </c>
      <c r="O31" s="8"/>
      <c r="P31" s="8"/>
      <c r="Q31" s="4"/>
      <c r="R31" s="10">
        <f t="shared" si="2"/>
        <v>0</v>
      </c>
      <c r="S31" s="10"/>
      <c r="T31" s="10">
        <f t="shared" si="3"/>
        <v>0</v>
      </c>
      <c r="U31" s="24" t="str">
        <f t="shared" si="4"/>
        <v/>
      </c>
      <c r="V31" s="10" t="str">
        <f>IFERROR(N31*VLOOKUP(G31,FILAMENTI_DB!$A:$J,10,FALSE),"")</f>
        <v/>
      </c>
      <c r="W31" s="10" t="str">
        <f>IFERROR((VLOOKUP(F31,STAMPANTI_DB!$A:$C,3,FALSE)/1000)*O31*SETTINGS!$C$6,"")</f>
        <v/>
      </c>
      <c r="X31" s="10" t="str">
        <f>IFERROR(O31*VLOOKUP(F31,STAMPANTI_DB!$A:$I,9,FALSE),"")</f>
        <v/>
      </c>
      <c r="Y31" s="10">
        <f>IFERROR(P31*SETTINGS!$C$7,"")</f>
        <v>0</v>
      </c>
      <c r="Z31" s="10">
        <f>SETTINGS!$C$11</f>
        <v>0.5</v>
      </c>
      <c r="AA31" s="10">
        <f t="shared" si="5"/>
        <v>0.5</v>
      </c>
      <c r="AB31" s="10">
        <f>IFERROR(AA31*SETTINGS!$C$9,"")</f>
        <v>2.5000000000000001E-2</v>
      </c>
      <c r="AC31" s="10">
        <f>IFERROR((AA31+AB31)*SETTINGS!$C$10,"")</f>
        <v>2.6250000000000002E-2</v>
      </c>
      <c r="AD31" s="24"/>
    </row>
    <row r="32" spans="1:30" ht="16" customHeight="1" x14ac:dyDescent="0.2">
      <c r="A32" s="17"/>
      <c r="B32" s="18"/>
      <c r="C32" s="7"/>
      <c r="D32" s="7"/>
      <c r="E32" s="7"/>
      <c r="F32" s="7"/>
      <c r="G32" s="7"/>
      <c r="H32" s="18" t="str">
        <f>IFERROR(VLOOKUP(G32,FILAMENTI_DB!$A:$C,3,FALSE),"")</f>
        <v/>
      </c>
      <c r="I32" s="18" t="str">
        <f>IFERROR(VLOOKUP(G32,FILAMENTI_DB!$A:$E,4,FALSE),"")</f>
        <v/>
      </c>
      <c r="J32" s="8"/>
      <c r="K32" s="6"/>
      <c r="L32" s="6"/>
      <c r="M32" s="16">
        <f t="shared" si="0"/>
        <v>0</v>
      </c>
      <c r="N32" s="20">
        <f t="shared" si="1"/>
        <v>0</v>
      </c>
      <c r="O32" s="8"/>
      <c r="P32" s="8"/>
      <c r="Q32" s="4"/>
      <c r="R32" s="10">
        <f t="shared" si="2"/>
        <v>0</v>
      </c>
      <c r="S32" s="10"/>
      <c r="T32" s="10">
        <f t="shared" si="3"/>
        <v>0</v>
      </c>
      <c r="U32" s="24" t="str">
        <f t="shared" si="4"/>
        <v/>
      </c>
      <c r="V32" s="10" t="str">
        <f>IFERROR(N32*VLOOKUP(G32,FILAMENTI_DB!$A:$J,10,FALSE),"")</f>
        <v/>
      </c>
      <c r="W32" s="10" t="str">
        <f>IFERROR((VLOOKUP(F32,STAMPANTI_DB!$A:$C,3,FALSE)/1000)*O32*SETTINGS!$C$6,"")</f>
        <v/>
      </c>
      <c r="X32" s="10" t="str">
        <f>IFERROR(O32*VLOOKUP(F32,STAMPANTI_DB!$A:$I,9,FALSE),"")</f>
        <v/>
      </c>
      <c r="Y32" s="10">
        <f>IFERROR(P32*SETTINGS!$C$7,"")</f>
        <v>0</v>
      </c>
      <c r="Z32" s="10">
        <f>SETTINGS!$C$11</f>
        <v>0.5</v>
      </c>
      <c r="AA32" s="10">
        <f t="shared" si="5"/>
        <v>0.5</v>
      </c>
      <c r="AB32" s="10">
        <f>IFERROR(AA32*SETTINGS!$C$9,"")</f>
        <v>2.5000000000000001E-2</v>
      </c>
      <c r="AC32" s="10">
        <f>IFERROR((AA32+AB32)*SETTINGS!$C$10,"")</f>
        <v>2.6250000000000002E-2</v>
      </c>
      <c r="AD32" s="24"/>
    </row>
    <row r="33" spans="1:30" ht="16" customHeight="1" x14ac:dyDescent="0.2">
      <c r="A33" s="17"/>
      <c r="B33" s="18"/>
      <c r="C33" s="7"/>
      <c r="D33" s="7"/>
      <c r="E33" s="7"/>
      <c r="F33" s="7"/>
      <c r="G33" s="7"/>
      <c r="H33" s="18" t="str">
        <f>IFERROR(VLOOKUP(G33,FILAMENTI_DB!$A:$C,3,FALSE),"")</f>
        <v/>
      </c>
      <c r="I33" s="18" t="str">
        <f>IFERROR(VLOOKUP(G33,FILAMENTI_DB!$A:$E,4,FALSE),"")</f>
        <v/>
      </c>
      <c r="J33" s="8"/>
      <c r="K33" s="6"/>
      <c r="L33" s="6"/>
      <c r="M33" s="16">
        <f t="shared" si="0"/>
        <v>0</v>
      </c>
      <c r="N33" s="20">
        <f t="shared" si="1"/>
        <v>0</v>
      </c>
      <c r="O33" s="8"/>
      <c r="P33" s="8"/>
      <c r="Q33" s="4"/>
      <c r="R33" s="10">
        <f t="shared" si="2"/>
        <v>0</v>
      </c>
      <c r="S33" s="10"/>
      <c r="T33" s="10">
        <f t="shared" si="3"/>
        <v>0</v>
      </c>
      <c r="U33" s="24" t="str">
        <f t="shared" si="4"/>
        <v/>
      </c>
      <c r="V33" s="10" t="str">
        <f>IFERROR(N33*VLOOKUP(G33,FILAMENTI_DB!$A:$J,10,FALSE),"")</f>
        <v/>
      </c>
      <c r="W33" s="10" t="str">
        <f>IFERROR((VLOOKUP(F33,STAMPANTI_DB!$A:$C,3,FALSE)/1000)*O33*SETTINGS!$C$6,"")</f>
        <v/>
      </c>
      <c r="X33" s="10" t="str">
        <f>IFERROR(O33*VLOOKUP(F33,STAMPANTI_DB!$A:$I,9,FALSE),"")</f>
        <v/>
      </c>
      <c r="Y33" s="10">
        <f>IFERROR(P33*SETTINGS!$C$7,"")</f>
        <v>0</v>
      </c>
      <c r="Z33" s="10">
        <f>SETTINGS!$C$11</f>
        <v>0.5</v>
      </c>
      <c r="AA33" s="10">
        <f t="shared" si="5"/>
        <v>0.5</v>
      </c>
      <c r="AB33" s="10">
        <f>IFERROR(AA33*SETTINGS!$C$9,"")</f>
        <v>2.5000000000000001E-2</v>
      </c>
      <c r="AC33" s="10">
        <f>IFERROR((AA33+AB33)*SETTINGS!$C$10,"")</f>
        <v>2.6250000000000002E-2</v>
      </c>
      <c r="AD33" s="24"/>
    </row>
    <row r="34" spans="1:30" ht="16" customHeight="1" x14ac:dyDescent="0.2">
      <c r="A34" s="17"/>
      <c r="B34" s="18"/>
      <c r="C34" s="7"/>
      <c r="D34" s="7"/>
      <c r="E34" s="7"/>
      <c r="F34" s="7"/>
      <c r="G34" s="7"/>
      <c r="H34" s="18" t="str">
        <f>IFERROR(VLOOKUP(G34,FILAMENTI_DB!$A:$C,3,FALSE),"")</f>
        <v/>
      </c>
      <c r="I34" s="18" t="str">
        <f>IFERROR(VLOOKUP(G34,FILAMENTI_DB!$A:$E,4,FALSE),"")</f>
        <v/>
      </c>
      <c r="J34" s="8"/>
      <c r="K34" s="6"/>
      <c r="L34" s="6"/>
      <c r="M34" s="16">
        <f t="shared" si="0"/>
        <v>0</v>
      </c>
      <c r="N34" s="20">
        <f t="shared" si="1"/>
        <v>0</v>
      </c>
      <c r="O34" s="8"/>
      <c r="P34" s="8"/>
      <c r="Q34" s="4"/>
      <c r="R34" s="10">
        <f t="shared" si="2"/>
        <v>0</v>
      </c>
      <c r="S34" s="10"/>
      <c r="T34" s="10">
        <f t="shared" si="3"/>
        <v>0</v>
      </c>
      <c r="U34" s="24" t="str">
        <f t="shared" si="4"/>
        <v/>
      </c>
      <c r="V34" s="10" t="str">
        <f>IFERROR(N34*VLOOKUP(G34,FILAMENTI_DB!$A:$J,10,FALSE),"")</f>
        <v/>
      </c>
      <c r="W34" s="10" t="str">
        <f>IFERROR((VLOOKUP(F34,STAMPANTI_DB!$A:$C,3,FALSE)/1000)*O34*SETTINGS!$C$6,"")</f>
        <v/>
      </c>
      <c r="X34" s="10" t="str">
        <f>IFERROR(O34*VLOOKUP(F34,STAMPANTI_DB!$A:$I,9,FALSE),"")</f>
        <v/>
      </c>
      <c r="Y34" s="10">
        <f>IFERROR(P34*SETTINGS!$C$7,"")</f>
        <v>0</v>
      </c>
      <c r="Z34" s="10">
        <f>SETTINGS!$C$11</f>
        <v>0.5</v>
      </c>
      <c r="AA34" s="10">
        <f t="shared" si="5"/>
        <v>0.5</v>
      </c>
      <c r="AB34" s="10">
        <f>IFERROR(AA34*SETTINGS!$C$9,"")</f>
        <v>2.5000000000000001E-2</v>
      </c>
      <c r="AC34" s="10">
        <f>IFERROR((AA34+AB34)*SETTINGS!$C$10,"")</f>
        <v>2.6250000000000002E-2</v>
      </c>
      <c r="AD34" s="24"/>
    </row>
    <row r="35" spans="1:30" ht="16" customHeight="1" x14ac:dyDescent="0.2">
      <c r="A35" s="17"/>
      <c r="B35" s="18"/>
      <c r="C35" s="7"/>
      <c r="D35" s="7"/>
      <c r="E35" s="7"/>
      <c r="F35" s="7"/>
      <c r="G35" s="7"/>
      <c r="H35" s="18" t="str">
        <f>IFERROR(VLOOKUP(G35,FILAMENTI_DB!$A:$C,3,FALSE),"")</f>
        <v/>
      </c>
      <c r="I35" s="18" t="str">
        <f>IFERROR(VLOOKUP(G35,FILAMENTI_DB!$A:$E,4,FALSE),"")</f>
        <v/>
      </c>
      <c r="J35" s="8"/>
      <c r="K35" s="6"/>
      <c r="L35" s="6"/>
      <c r="M35" s="16">
        <f t="shared" si="0"/>
        <v>0</v>
      </c>
      <c r="N35" s="20">
        <f t="shared" si="1"/>
        <v>0</v>
      </c>
      <c r="O35" s="8"/>
      <c r="P35" s="8"/>
      <c r="Q35" s="4"/>
      <c r="R35" s="10">
        <f t="shared" si="2"/>
        <v>0</v>
      </c>
      <c r="S35" s="10"/>
      <c r="T35" s="10">
        <f t="shared" si="3"/>
        <v>0</v>
      </c>
      <c r="U35" s="24" t="str">
        <f t="shared" si="4"/>
        <v/>
      </c>
      <c r="V35" s="10" t="str">
        <f>IFERROR(N35*VLOOKUP(G35,FILAMENTI_DB!$A:$J,10,FALSE),"")</f>
        <v/>
      </c>
      <c r="W35" s="10" t="str">
        <f>IFERROR((VLOOKUP(F35,STAMPANTI_DB!$A:$C,3,FALSE)/1000)*O35*SETTINGS!$C$6,"")</f>
        <v/>
      </c>
      <c r="X35" s="10" t="str">
        <f>IFERROR(O35*VLOOKUP(F35,STAMPANTI_DB!$A:$I,9,FALSE),"")</f>
        <v/>
      </c>
      <c r="Y35" s="10">
        <f>IFERROR(P35*SETTINGS!$C$7,"")</f>
        <v>0</v>
      </c>
      <c r="Z35" s="10">
        <f>SETTINGS!$C$11</f>
        <v>0.5</v>
      </c>
      <c r="AA35" s="10">
        <f t="shared" si="5"/>
        <v>0.5</v>
      </c>
      <c r="AB35" s="10">
        <f>IFERROR(AA35*SETTINGS!$C$9,"")</f>
        <v>2.5000000000000001E-2</v>
      </c>
      <c r="AC35" s="10">
        <f>IFERROR((AA35+AB35)*SETTINGS!$C$10,"")</f>
        <v>2.6250000000000002E-2</v>
      </c>
      <c r="AD35" s="24"/>
    </row>
    <row r="36" spans="1:30" ht="16" customHeight="1" x14ac:dyDescent="0.2">
      <c r="A36" s="17"/>
      <c r="B36" s="18"/>
      <c r="C36" s="7"/>
      <c r="D36" s="7"/>
      <c r="E36" s="7"/>
      <c r="F36" s="7"/>
      <c r="G36" s="7"/>
      <c r="H36" s="18" t="str">
        <f>IFERROR(VLOOKUP(G36,FILAMENTI_DB!$A:$C,3,FALSE),"")</f>
        <v/>
      </c>
      <c r="I36" s="18" t="str">
        <f>IFERROR(VLOOKUP(G36,FILAMENTI_DB!$A:$E,4,FALSE),"")</f>
        <v/>
      </c>
      <c r="J36" s="8"/>
      <c r="K36" s="6"/>
      <c r="L36" s="6"/>
      <c r="M36" s="16">
        <f t="shared" si="0"/>
        <v>0</v>
      </c>
      <c r="N36" s="20">
        <f t="shared" si="1"/>
        <v>0</v>
      </c>
      <c r="O36" s="8"/>
      <c r="P36" s="8"/>
      <c r="Q36" s="4"/>
      <c r="R36" s="10">
        <f t="shared" si="2"/>
        <v>0</v>
      </c>
      <c r="S36" s="10"/>
      <c r="T36" s="10">
        <f t="shared" si="3"/>
        <v>0</v>
      </c>
      <c r="U36" s="24" t="str">
        <f t="shared" si="4"/>
        <v/>
      </c>
      <c r="V36" s="10" t="str">
        <f>IFERROR(N36*VLOOKUP(G36,FILAMENTI_DB!$A:$J,10,FALSE),"")</f>
        <v/>
      </c>
      <c r="W36" s="10" t="str">
        <f>IFERROR((VLOOKUP(F36,STAMPANTI_DB!$A:$C,3,FALSE)/1000)*O36*SETTINGS!$C$6,"")</f>
        <v/>
      </c>
      <c r="X36" s="10" t="str">
        <f>IFERROR(O36*VLOOKUP(F36,STAMPANTI_DB!$A:$I,9,FALSE),"")</f>
        <v/>
      </c>
      <c r="Y36" s="10">
        <f>IFERROR(P36*SETTINGS!$C$7,"")</f>
        <v>0</v>
      </c>
      <c r="Z36" s="10">
        <f>SETTINGS!$C$11</f>
        <v>0.5</v>
      </c>
      <c r="AA36" s="10">
        <f t="shared" si="5"/>
        <v>0.5</v>
      </c>
      <c r="AB36" s="10">
        <f>IFERROR(AA36*SETTINGS!$C$9,"")</f>
        <v>2.5000000000000001E-2</v>
      </c>
      <c r="AC36" s="10">
        <f>IFERROR((AA36+AB36)*SETTINGS!$C$10,"")</f>
        <v>2.6250000000000002E-2</v>
      </c>
      <c r="AD36" s="24"/>
    </row>
    <row r="37" spans="1:30" ht="16" customHeight="1" x14ac:dyDescent="0.2">
      <c r="A37" s="17"/>
      <c r="B37" s="18"/>
      <c r="C37" s="7"/>
      <c r="D37" s="7"/>
      <c r="E37" s="7"/>
      <c r="F37" s="7"/>
      <c r="G37" s="7"/>
      <c r="H37" s="18" t="str">
        <f>IFERROR(VLOOKUP(G37,FILAMENTI_DB!$A:$C,3,FALSE),"")</f>
        <v/>
      </c>
      <c r="I37" s="18" t="str">
        <f>IFERROR(VLOOKUP(G37,FILAMENTI_DB!$A:$E,4,FALSE),"")</f>
        <v/>
      </c>
      <c r="J37" s="8"/>
      <c r="K37" s="6"/>
      <c r="L37" s="6"/>
      <c r="M37" s="16">
        <f t="shared" si="0"/>
        <v>0</v>
      </c>
      <c r="N37" s="20">
        <f t="shared" si="1"/>
        <v>0</v>
      </c>
      <c r="O37" s="8"/>
      <c r="P37" s="8"/>
      <c r="Q37" s="4"/>
      <c r="R37" s="10">
        <f t="shared" si="2"/>
        <v>0</v>
      </c>
      <c r="S37" s="10"/>
      <c r="T37" s="10">
        <f t="shared" si="3"/>
        <v>0</v>
      </c>
      <c r="U37" s="24" t="str">
        <f t="shared" si="4"/>
        <v/>
      </c>
      <c r="V37" s="10" t="str">
        <f>IFERROR(N37*VLOOKUP(G37,FILAMENTI_DB!$A:$J,10,FALSE),"")</f>
        <v/>
      </c>
      <c r="W37" s="10" t="str">
        <f>IFERROR((VLOOKUP(F37,STAMPANTI_DB!$A:$C,3,FALSE)/1000)*O37*SETTINGS!$C$6,"")</f>
        <v/>
      </c>
      <c r="X37" s="10" t="str">
        <f>IFERROR(O37*VLOOKUP(F37,STAMPANTI_DB!$A:$I,9,FALSE),"")</f>
        <v/>
      </c>
      <c r="Y37" s="10">
        <f>IFERROR(P37*SETTINGS!$C$7,"")</f>
        <v>0</v>
      </c>
      <c r="Z37" s="10">
        <f>SETTINGS!$C$11</f>
        <v>0.5</v>
      </c>
      <c r="AA37" s="10">
        <f t="shared" si="5"/>
        <v>0.5</v>
      </c>
      <c r="AB37" s="10">
        <f>IFERROR(AA37*SETTINGS!$C$9,"")</f>
        <v>2.5000000000000001E-2</v>
      </c>
      <c r="AC37" s="10">
        <f>IFERROR((AA37+AB37)*SETTINGS!$C$10,"")</f>
        <v>2.6250000000000002E-2</v>
      </c>
      <c r="AD37" s="24"/>
    </row>
    <row r="38" spans="1:30" ht="16" customHeight="1" x14ac:dyDescent="0.2">
      <c r="A38" s="17"/>
      <c r="B38" s="18"/>
      <c r="C38" s="7"/>
      <c r="D38" s="7"/>
      <c r="E38" s="7"/>
      <c r="F38" s="7"/>
      <c r="G38" s="7"/>
      <c r="H38" s="18" t="str">
        <f>IFERROR(VLOOKUP(G38,FILAMENTI_DB!$A:$C,3,FALSE),"")</f>
        <v/>
      </c>
      <c r="I38" s="18" t="str">
        <f>IFERROR(VLOOKUP(G38,FILAMENTI_DB!$A:$E,4,FALSE),"")</f>
        <v/>
      </c>
      <c r="J38" s="8"/>
      <c r="K38" s="6"/>
      <c r="L38" s="6"/>
      <c r="M38" s="16">
        <f t="shared" si="0"/>
        <v>0</v>
      </c>
      <c r="N38" s="20">
        <f t="shared" si="1"/>
        <v>0</v>
      </c>
      <c r="O38" s="8"/>
      <c r="P38" s="8"/>
      <c r="Q38" s="4"/>
      <c r="R38" s="10">
        <f t="shared" si="2"/>
        <v>0</v>
      </c>
      <c r="S38" s="10"/>
      <c r="T38" s="10">
        <f t="shared" si="3"/>
        <v>0</v>
      </c>
      <c r="U38" s="24" t="str">
        <f t="shared" si="4"/>
        <v/>
      </c>
      <c r="V38" s="10" t="str">
        <f>IFERROR(N38*VLOOKUP(G38,FILAMENTI_DB!$A:$J,10,FALSE),"")</f>
        <v/>
      </c>
      <c r="W38" s="10" t="str">
        <f>IFERROR((VLOOKUP(F38,STAMPANTI_DB!$A:$C,3,FALSE)/1000)*O38*SETTINGS!$C$6,"")</f>
        <v/>
      </c>
      <c r="X38" s="10" t="str">
        <f>IFERROR(O38*VLOOKUP(F38,STAMPANTI_DB!$A:$I,9,FALSE),"")</f>
        <v/>
      </c>
      <c r="Y38" s="10">
        <f>IFERROR(P38*SETTINGS!$C$7,"")</f>
        <v>0</v>
      </c>
      <c r="Z38" s="10">
        <f>SETTINGS!$C$11</f>
        <v>0.5</v>
      </c>
      <c r="AA38" s="10">
        <f t="shared" si="5"/>
        <v>0.5</v>
      </c>
      <c r="AB38" s="10">
        <f>IFERROR(AA38*SETTINGS!$C$9,"")</f>
        <v>2.5000000000000001E-2</v>
      </c>
      <c r="AC38" s="10">
        <f>IFERROR((AA38+AB38)*SETTINGS!$C$10,"")</f>
        <v>2.6250000000000002E-2</v>
      </c>
      <c r="AD38" s="24"/>
    </row>
    <row r="39" spans="1:30" ht="16" customHeight="1" x14ac:dyDescent="0.2">
      <c r="A39" s="17"/>
      <c r="B39" s="18"/>
      <c r="C39" s="7"/>
      <c r="D39" s="7"/>
      <c r="E39" s="7"/>
      <c r="F39" s="7"/>
      <c r="G39" s="7"/>
      <c r="H39" s="18" t="str">
        <f>IFERROR(VLOOKUP(G39,FILAMENTI_DB!$A:$C,3,FALSE),"")</f>
        <v/>
      </c>
      <c r="I39" s="18" t="str">
        <f>IFERROR(VLOOKUP(G39,FILAMENTI_DB!$A:$E,4,FALSE),"")</f>
        <v/>
      </c>
      <c r="J39" s="8"/>
      <c r="K39" s="6"/>
      <c r="L39" s="6"/>
      <c r="M39" s="16">
        <f t="shared" si="0"/>
        <v>0</v>
      </c>
      <c r="N39" s="20">
        <f t="shared" si="1"/>
        <v>0</v>
      </c>
      <c r="O39" s="8"/>
      <c r="P39" s="8"/>
      <c r="Q39" s="4"/>
      <c r="R39" s="10">
        <f t="shared" si="2"/>
        <v>0</v>
      </c>
      <c r="S39" s="10"/>
      <c r="T39" s="10">
        <f t="shared" si="3"/>
        <v>0</v>
      </c>
      <c r="U39" s="24" t="str">
        <f t="shared" si="4"/>
        <v/>
      </c>
      <c r="V39" s="10" t="str">
        <f>IFERROR(N39*VLOOKUP(G39,FILAMENTI_DB!$A:$J,10,FALSE),"")</f>
        <v/>
      </c>
      <c r="W39" s="10" t="str">
        <f>IFERROR((VLOOKUP(F39,STAMPANTI_DB!$A:$C,3,FALSE)/1000)*O39*SETTINGS!$C$6,"")</f>
        <v/>
      </c>
      <c r="X39" s="10" t="str">
        <f>IFERROR(O39*VLOOKUP(F39,STAMPANTI_DB!$A:$I,9,FALSE),"")</f>
        <v/>
      </c>
      <c r="Y39" s="10">
        <f>IFERROR(P39*SETTINGS!$C$7,"")</f>
        <v>0</v>
      </c>
      <c r="Z39" s="10">
        <f>SETTINGS!$C$11</f>
        <v>0.5</v>
      </c>
      <c r="AA39" s="10">
        <f t="shared" si="5"/>
        <v>0.5</v>
      </c>
      <c r="AB39" s="10">
        <f>IFERROR(AA39*SETTINGS!$C$9,"")</f>
        <v>2.5000000000000001E-2</v>
      </c>
      <c r="AC39" s="10">
        <f>IFERROR((AA39+AB39)*SETTINGS!$C$10,"")</f>
        <v>2.6250000000000002E-2</v>
      </c>
      <c r="AD39" s="24"/>
    </row>
    <row r="40" spans="1:30" ht="16" customHeight="1" x14ac:dyDescent="0.2">
      <c r="A40" s="17"/>
      <c r="B40" s="18"/>
      <c r="C40" s="7"/>
      <c r="D40" s="7"/>
      <c r="E40" s="7"/>
      <c r="F40" s="7"/>
      <c r="G40" s="7"/>
      <c r="H40" s="18" t="str">
        <f>IFERROR(VLOOKUP(G40,FILAMENTI_DB!$A:$C,3,FALSE),"")</f>
        <v/>
      </c>
      <c r="I40" s="18" t="str">
        <f>IFERROR(VLOOKUP(G40,FILAMENTI_DB!$A:$E,4,FALSE),"")</f>
        <v/>
      </c>
      <c r="J40" s="8"/>
      <c r="K40" s="6"/>
      <c r="L40" s="6"/>
      <c r="M40" s="16">
        <f t="shared" si="0"/>
        <v>0</v>
      </c>
      <c r="N40" s="20">
        <f t="shared" si="1"/>
        <v>0</v>
      </c>
      <c r="O40" s="8"/>
      <c r="P40" s="8"/>
      <c r="Q40" s="4"/>
      <c r="R40" s="10">
        <f t="shared" si="2"/>
        <v>0</v>
      </c>
      <c r="S40" s="10"/>
      <c r="T40" s="10">
        <f t="shared" si="3"/>
        <v>0</v>
      </c>
      <c r="U40" s="24" t="str">
        <f t="shared" si="4"/>
        <v/>
      </c>
      <c r="V40" s="10" t="str">
        <f>IFERROR(N40*VLOOKUP(G40,FILAMENTI_DB!$A:$J,10,FALSE),"")</f>
        <v/>
      </c>
      <c r="W40" s="10" t="str">
        <f>IFERROR((VLOOKUP(F40,STAMPANTI_DB!$A:$C,3,FALSE)/1000)*O40*SETTINGS!$C$6,"")</f>
        <v/>
      </c>
      <c r="X40" s="10" t="str">
        <f>IFERROR(O40*VLOOKUP(F40,STAMPANTI_DB!$A:$I,9,FALSE),"")</f>
        <v/>
      </c>
      <c r="Y40" s="10">
        <f>IFERROR(P40*SETTINGS!$C$7,"")</f>
        <v>0</v>
      </c>
      <c r="Z40" s="10">
        <f>SETTINGS!$C$11</f>
        <v>0.5</v>
      </c>
      <c r="AA40" s="10">
        <f t="shared" si="5"/>
        <v>0.5</v>
      </c>
      <c r="AB40" s="10">
        <f>IFERROR(AA40*SETTINGS!$C$9,"")</f>
        <v>2.5000000000000001E-2</v>
      </c>
      <c r="AC40" s="10">
        <f>IFERROR((AA40+AB40)*SETTINGS!$C$10,"")</f>
        <v>2.6250000000000002E-2</v>
      </c>
      <c r="AD40" s="24"/>
    </row>
    <row r="41" spans="1:30" ht="16" customHeight="1" x14ac:dyDescent="0.2">
      <c r="A41" s="17"/>
      <c r="B41" s="18"/>
      <c r="C41" s="7"/>
      <c r="D41" s="7"/>
      <c r="E41" s="7"/>
      <c r="F41" s="7"/>
      <c r="G41" s="7"/>
      <c r="H41" s="18" t="str">
        <f>IFERROR(VLOOKUP(G41,FILAMENTI_DB!$A:$C,3,FALSE),"")</f>
        <v/>
      </c>
      <c r="I41" s="18" t="str">
        <f>IFERROR(VLOOKUP(G41,FILAMENTI_DB!$A:$E,4,FALSE),"")</f>
        <v/>
      </c>
      <c r="J41" s="8"/>
      <c r="K41" s="6"/>
      <c r="L41" s="6"/>
      <c r="M41" s="16">
        <f t="shared" si="0"/>
        <v>0</v>
      </c>
      <c r="N41" s="20">
        <f t="shared" si="1"/>
        <v>0</v>
      </c>
      <c r="O41" s="8"/>
      <c r="P41" s="8"/>
      <c r="Q41" s="4"/>
      <c r="R41" s="10">
        <f t="shared" si="2"/>
        <v>0</v>
      </c>
      <c r="S41" s="10"/>
      <c r="T41" s="10">
        <f t="shared" si="3"/>
        <v>0</v>
      </c>
      <c r="U41" s="24" t="str">
        <f t="shared" si="4"/>
        <v/>
      </c>
      <c r="V41" s="10" t="str">
        <f>IFERROR(N41*VLOOKUP(G41,FILAMENTI_DB!$A:$J,10,FALSE),"")</f>
        <v/>
      </c>
      <c r="W41" s="10" t="str">
        <f>IFERROR((VLOOKUP(F41,STAMPANTI_DB!$A:$C,3,FALSE)/1000)*O41*SETTINGS!$C$6,"")</f>
        <v/>
      </c>
      <c r="X41" s="10" t="str">
        <f>IFERROR(O41*VLOOKUP(F41,STAMPANTI_DB!$A:$I,9,FALSE),"")</f>
        <v/>
      </c>
      <c r="Y41" s="10">
        <f>IFERROR(P41*SETTINGS!$C$7,"")</f>
        <v>0</v>
      </c>
      <c r="Z41" s="10">
        <f>SETTINGS!$C$11</f>
        <v>0.5</v>
      </c>
      <c r="AA41" s="10">
        <f t="shared" si="5"/>
        <v>0.5</v>
      </c>
      <c r="AB41" s="10">
        <f>IFERROR(AA41*SETTINGS!$C$9,"")</f>
        <v>2.5000000000000001E-2</v>
      </c>
      <c r="AC41" s="10">
        <f>IFERROR((AA41+AB41)*SETTINGS!$C$10,"")</f>
        <v>2.6250000000000002E-2</v>
      </c>
      <c r="AD41" s="24"/>
    </row>
    <row r="42" spans="1:30" ht="16" customHeight="1" x14ac:dyDescent="0.2">
      <c r="A42" s="17"/>
      <c r="B42" s="18"/>
      <c r="C42" s="7"/>
      <c r="D42" s="7"/>
      <c r="E42" s="7"/>
      <c r="F42" s="7"/>
      <c r="G42" s="7"/>
      <c r="H42" s="18" t="str">
        <f>IFERROR(VLOOKUP(G42,FILAMENTI_DB!$A:$C,3,FALSE),"")</f>
        <v/>
      </c>
      <c r="I42" s="18" t="str">
        <f>IFERROR(VLOOKUP(G42,FILAMENTI_DB!$A:$E,4,FALSE),"")</f>
        <v/>
      </c>
      <c r="J42" s="8"/>
      <c r="K42" s="6"/>
      <c r="L42" s="6"/>
      <c r="M42" s="16">
        <f t="shared" si="0"/>
        <v>0</v>
      </c>
      <c r="N42" s="20">
        <f t="shared" si="1"/>
        <v>0</v>
      </c>
      <c r="O42" s="8"/>
      <c r="P42" s="8"/>
      <c r="Q42" s="4"/>
      <c r="R42" s="10">
        <f t="shared" si="2"/>
        <v>0</v>
      </c>
      <c r="S42" s="10"/>
      <c r="T42" s="10">
        <f t="shared" si="3"/>
        <v>0</v>
      </c>
      <c r="U42" s="24" t="str">
        <f t="shared" si="4"/>
        <v/>
      </c>
      <c r="V42" s="10" t="str">
        <f>IFERROR(N42*VLOOKUP(G42,FILAMENTI_DB!$A:$J,10,FALSE),"")</f>
        <v/>
      </c>
      <c r="W42" s="10" t="str">
        <f>IFERROR((VLOOKUP(F42,STAMPANTI_DB!$A:$C,3,FALSE)/1000)*O42*SETTINGS!$C$6,"")</f>
        <v/>
      </c>
      <c r="X42" s="10" t="str">
        <f>IFERROR(O42*VLOOKUP(F42,STAMPANTI_DB!$A:$I,9,FALSE),"")</f>
        <v/>
      </c>
      <c r="Y42" s="10">
        <f>IFERROR(P42*SETTINGS!$C$7,"")</f>
        <v>0</v>
      </c>
      <c r="Z42" s="10">
        <f>SETTINGS!$C$11</f>
        <v>0.5</v>
      </c>
      <c r="AA42" s="10">
        <f t="shared" si="5"/>
        <v>0.5</v>
      </c>
      <c r="AB42" s="10">
        <f>IFERROR(AA42*SETTINGS!$C$9,"")</f>
        <v>2.5000000000000001E-2</v>
      </c>
      <c r="AC42" s="10">
        <f>IFERROR((AA42+AB42)*SETTINGS!$C$10,"")</f>
        <v>2.6250000000000002E-2</v>
      </c>
      <c r="AD42" s="24"/>
    </row>
    <row r="43" spans="1:30" ht="16" customHeight="1" x14ac:dyDescent="0.2">
      <c r="A43" s="17"/>
      <c r="B43" s="18"/>
      <c r="C43" s="7"/>
      <c r="D43" s="7"/>
      <c r="E43" s="7"/>
      <c r="F43" s="7"/>
      <c r="G43" s="7"/>
      <c r="H43" s="18" t="str">
        <f>IFERROR(VLOOKUP(G43,FILAMENTI_DB!$A:$C,3,FALSE),"")</f>
        <v/>
      </c>
      <c r="I43" s="18" t="str">
        <f>IFERROR(VLOOKUP(G43,FILAMENTI_DB!$A:$E,4,FALSE),"")</f>
        <v/>
      </c>
      <c r="J43" s="8"/>
      <c r="K43" s="6"/>
      <c r="L43" s="6"/>
      <c r="M43" s="16">
        <f t="shared" si="0"/>
        <v>0</v>
      </c>
      <c r="N43" s="20">
        <f t="shared" si="1"/>
        <v>0</v>
      </c>
      <c r="O43" s="8"/>
      <c r="P43" s="8"/>
      <c r="Q43" s="4"/>
      <c r="R43" s="10">
        <f t="shared" si="2"/>
        <v>0</v>
      </c>
      <c r="S43" s="10"/>
      <c r="T43" s="10">
        <f t="shared" si="3"/>
        <v>0</v>
      </c>
      <c r="U43" s="24" t="str">
        <f t="shared" si="4"/>
        <v/>
      </c>
      <c r="V43" s="10" t="str">
        <f>IFERROR(N43*VLOOKUP(G43,FILAMENTI_DB!$A:$J,10,FALSE),"")</f>
        <v/>
      </c>
      <c r="W43" s="10" t="str">
        <f>IFERROR((VLOOKUP(F43,STAMPANTI_DB!$A:$C,3,FALSE)/1000)*O43*SETTINGS!$C$6,"")</f>
        <v/>
      </c>
      <c r="X43" s="10" t="str">
        <f>IFERROR(O43*VLOOKUP(F43,STAMPANTI_DB!$A:$I,9,FALSE),"")</f>
        <v/>
      </c>
      <c r="Y43" s="10">
        <f>IFERROR(P43*SETTINGS!$C$7,"")</f>
        <v>0</v>
      </c>
      <c r="Z43" s="10">
        <f>SETTINGS!$C$11</f>
        <v>0.5</v>
      </c>
      <c r="AA43" s="10">
        <f t="shared" si="5"/>
        <v>0.5</v>
      </c>
      <c r="AB43" s="10">
        <f>IFERROR(AA43*SETTINGS!$C$9,"")</f>
        <v>2.5000000000000001E-2</v>
      </c>
      <c r="AC43" s="10">
        <f>IFERROR((AA43+AB43)*SETTINGS!$C$10,"")</f>
        <v>2.6250000000000002E-2</v>
      </c>
      <c r="AD43" s="24"/>
    </row>
    <row r="44" spans="1:30" ht="16" customHeight="1" x14ac:dyDescent="0.2">
      <c r="A44" s="17"/>
      <c r="B44" s="18"/>
      <c r="C44" s="7"/>
      <c r="D44" s="7"/>
      <c r="E44" s="7"/>
      <c r="F44" s="7"/>
      <c r="G44" s="7"/>
      <c r="H44" s="18" t="str">
        <f>IFERROR(VLOOKUP(G44,FILAMENTI_DB!$A:$C,3,FALSE),"")</f>
        <v/>
      </c>
      <c r="I44" s="18" t="str">
        <f>IFERROR(VLOOKUP(G44,FILAMENTI_DB!$A:$E,4,FALSE),"")</f>
        <v/>
      </c>
      <c r="J44" s="8"/>
      <c r="K44" s="6"/>
      <c r="L44" s="6"/>
      <c r="M44" s="16">
        <f t="shared" si="0"/>
        <v>0</v>
      </c>
      <c r="N44" s="20">
        <f t="shared" si="1"/>
        <v>0</v>
      </c>
      <c r="O44" s="8"/>
      <c r="P44" s="8"/>
      <c r="Q44" s="4"/>
      <c r="R44" s="10">
        <f t="shared" si="2"/>
        <v>0</v>
      </c>
      <c r="S44" s="10"/>
      <c r="T44" s="10">
        <f t="shared" si="3"/>
        <v>0</v>
      </c>
      <c r="U44" s="24" t="str">
        <f t="shared" si="4"/>
        <v/>
      </c>
      <c r="V44" s="10" t="str">
        <f>IFERROR(N44*VLOOKUP(G44,FILAMENTI_DB!$A:$J,10,FALSE),"")</f>
        <v/>
      </c>
      <c r="W44" s="10" t="str">
        <f>IFERROR((VLOOKUP(F44,STAMPANTI_DB!$A:$C,3,FALSE)/1000)*O44*SETTINGS!$C$6,"")</f>
        <v/>
      </c>
      <c r="X44" s="10" t="str">
        <f>IFERROR(O44*VLOOKUP(F44,STAMPANTI_DB!$A:$I,9,FALSE),"")</f>
        <v/>
      </c>
      <c r="Y44" s="10">
        <f>IFERROR(P44*SETTINGS!$C$7,"")</f>
        <v>0</v>
      </c>
      <c r="Z44" s="10">
        <f>SETTINGS!$C$11</f>
        <v>0.5</v>
      </c>
      <c r="AA44" s="10">
        <f t="shared" si="5"/>
        <v>0.5</v>
      </c>
      <c r="AB44" s="10">
        <f>IFERROR(AA44*SETTINGS!$C$9,"")</f>
        <v>2.5000000000000001E-2</v>
      </c>
      <c r="AC44" s="10">
        <f>IFERROR((AA44+AB44)*SETTINGS!$C$10,"")</f>
        <v>2.6250000000000002E-2</v>
      </c>
      <c r="AD44" s="24"/>
    </row>
    <row r="45" spans="1:30" ht="16" customHeight="1" x14ac:dyDescent="0.2">
      <c r="A45" s="17"/>
      <c r="B45" s="18"/>
      <c r="C45" s="7"/>
      <c r="D45" s="7"/>
      <c r="E45" s="7"/>
      <c r="F45" s="7"/>
      <c r="G45" s="7"/>
      <c r="H45" s="18" t="str">
        <f>IFERROR(VLOOKUP(G45,FILAMENTI_DB!$A:$C,3,FALSE),"")</f>
        <v/>
      </c>
      <c r="I45" s="18" t="str">
        <f>IFERROR(VLOOKUP(G45,FILAMENTI_DB!$A:$E,4,FALSE),"")</f>
        <v/>
      </c>
      <c r="J45" s="8"/>
      <c r="K45" s="6"/>
      <c r="L45" s="6"/>
      <c r="M45" s="16">
        <f t="shared" si="0"/>
        <v>0</v>
      </c>
      <c r="N45" s="20">
        <f t="shared" si="1"/>
        <v>0</v>
      </c>
      <c r="O45" s="8"/>
      <c r="P45" s="8"/>
      <c r="Q45" s="4"/>
      <c r="R45" s="10">
        <f t="shared" si="2"/>
        <v>0</v>
      </c>
      <c r="S45" s="10"/>
      <c r="T45" s="10">
        <f t="shared" si="3"/>
        <v>0</v>
      </c>
      <c r="U45" s="24" t="str">
        <f t="shared" si="4"/>
        <v/>
      </c>
      <c r="V45" s="10" t="str">
        <f>IFERROR(N45*VLOOKUP(G45,FILAMENTI_DB!$A:$J,10,FALSE),"")</f>
        <v/>
      </c>
      <c r="W45" s="10" t="str">
        <f>IFERROR((VLOOKUP(F45,STAMPANTI_DB!$A:$C,3,FALSE)/1000)*O45*SETTINGS!$C$6,"")</f>
        <v/>
      </c>
      <c r="X45" s="10" t="str">
        <f>IFERROR(O45*VLOOKUP(F45,STAMPANTI_DB!$A:$I,9,FALSE),"")</f>
        <v/>
      </c>
      <c r="Y45" s="10">
        <f>IFERROR(P45*SETTINGS!$C$7,"")</f>
        <v>0</v>
      </c>
      <c r="Z45" s="10">
        <f>SETTINGS!$C$11</f>
        <v>0.5</v>
      </c>
      <c r="AA45" s="10">
        <f t="shared" si="5"/>
        <v>0.5</v>
      </c>
      <c r="AB45" s="10">
        <f>IFERROR(AA45*SETTINGS!$C$9,"")</f>
        <v>2.5000000000000001E-2</v>
      </c>
      <c r="AC45" s="10">
        <f>IFERROR((AA45+AB45)*SETTINGS!$C$10,"")</f>
        <v>2.6250000000000002E-2</v>
      </c>
      <c r="AD45" s="24"/>
    </row>
    <row r="46" spans="1:30" ht="16" customHeight="1" x14ac:dyDescent="0.2">
      <c r="A46" s="17"/>
      <c r="B46" s="18"/>
      <c r="C46" s="7"/>
      <c r="D46" s="7"/>
      <c r="E46" s="7"/>
      <c r="F46" s="7"/>
      <c r="G46" s="7"/>
      <c r="H46" s="18" t="str">
        <f>IFERROR(VLOOKUP(G46,FILAMENTI_DB!$A:$C,3,FALSE),"")</f>
        <v/>
      </c>
      <c r="I46" s="18" t="str">
        <f>IFERROR(VLOOKUP(G46,FILAMENTI_DB!$A:$E,4,FALSE),"")</f>
        <v/>
      </c>
      <c r="J46" s="8"/>
      <c r="K46" s="6"/>
      <c r="L46" s="6"/>
      <c r="M46" s="16">
        <f t="shared" si="0"/>
        <v>0</v>
      </c>
      <c r="N46" s="20">
        <f t="shared" si="1"/>
        <v>0</v>
      </c>
      <c r="O46" s="8"/>
      <c r="P46" s="8"/>
      <c r="Q46" s="4"/>
      <c r="R46" s="10">
        <f t="shared" si="2"/>
        <v>0</v>
      </c>
      <c r="S46" s="10"/>
      <c r="T46" s="10">
        <f t="shared" si="3"/>
        <v>0</v>
      </c>
      <c r="U46" s="24" t="str">
        <f t="shared" si="4"/>
        <v/>
      </c>
      <c r="V46" s="10" t="str">
        <f>IFERROR(N46*VLOOKUP(G46,FILAMENTI_DB!$A:$J,10,FALSE),"")</f>
        <v/>
      </c>
      <c r="W46" s="10" t="str">
        <f>IFERROR((VLOOKUP(F46,STAMPANTI_DB!$A:$C,3,FALSE)/1000)*O46*SETTINGS!$C$6,"")</f>
        <v/>
      </c>
      <c r="X46" s="10" t="str">
        <f>IFERROR(O46*VLOOKUP(F46,STAMPANTI_DB!$A:$I,9,FALSE),"")</f>
        <v/>
      </c>
      <c r="Y46" s="10">
        <f>IFERROR(P46*SETTINGS!$C$7,"")</f>
        <v>0</v>
      </c>
      <c r="Z46" s="10">
        <f>SETTINGS!$C$11</f>
        <v>0.5</v>
      </c>
      <c r="AA46" s="10">
        <f t="shared" si="5"/>
        <v>0.5</v>
      </c>
      <c r="AB46" s="10">
        <f>IFERROR(AA46*SETTINGS!$C$9,"")</f>
        <v>2.5000000000000001E-2</v>
      </c>
      <c r="AC46" s="10">
        <f>IFERROR((AA46+AB46)*SETTINGS!$C$10,"")</f>
        <v>2.6250000000000002E-2</v>
      </c>
      <c r="AD46" s="24"/>
    </row>
    <row r="47" spans="1:30" ht="16" customHeight="1" x14ac:dyDescent="0.2">
      <c r="A47" s="17"/>
      <c r="B47" s="18"/>
      <c r="C47" s="7"/>
      <c r="D47" s="7"/>
      <c r="E47" s="7"/>
      <c r="F47" s="7"/>
      <c r="G47" s="7"/>
      <c r="H47" s="18" t="str">
        <f>IFERROR(VLOOKUP(G47,FILAMENTI_DB!$A:$C,3,FALSE),"")</f>
        <v/>
      </c>
      <c r="I47" s="18" t="str">
        <f>IFERROR(VLOOKUP(G47,FILAMENTI_DB!$A:$E,4,FALSE),"")</f>
        <v/>
      </c>
      <c r="J47" s="8"/>
      <c r="K47" s="6"/>
      <c r="L47" s="6"/>
      <c r="M47" s="16">
        <f t="shared" si="0"/>
        <v>0</v>
      </c>
      <c r="N47" s="20">
        <f t="shared" si="1"/>
        <v>0</v>
      </c>
      <c r="O47" s="8"/>
      <c r="P47" s="8"/>
      <c r="Q47" s="4"/>
      <c r="R47" s="10">
        <f t="shared" si="2"/>
        <v>0</v>
      </c>
      <c r="S47" s="10"/>
      <c r="T47" s="10">
        <f t="shared" si="3"/>
        <v>0</v>
      </c>
      <c r="U47" s="24" t="str">
        <f t="shared" si="4"/>
        <v/>
      </c>
      <c r="V47" s="10" t="str">
        <f>IFERROR(N47*VLOOKUP(G47,FILAMENTI_DB!$A:$J,10,FALSE),"")</f>
        <v/>
      </c>
      <c r="W47" s="10" t="str">
        <f>IFERROR((VLOOKUP(F47,STAMPANTI_DB!$A:$C,3,FALSE)/1000)*O47*SETTINGS!$C$6,"")</f>
        <v/>
      </c>
      <c r="X47" s="10" t="str">
        <f>IFERROR(O47*VLOOKUP(F47,STAMPANTI_DB!$A:$I,9,FALSE),"")</f>
        <v/>
      </c>
      <c r="Y47" s="10">
        <f>IFERROR(P47*SETTINGS!$C$7,"")</f>
        <v>0</v>
      </c>
      <c r="Z47" s="10">
        <f>SETTINGS!$C$11</f>
        <v>0.5</v>
      </c>
      <c r="AA47" s="10">
        <f t="shared" si="5"/>
        <v>0.5</v>
      </c>
      <c r="AB47" s="10">
        <f>IFERROR(AA47*SETTINGS!$C$9,"")</f>
        <v>2.5000000000000001E-2</v>
      </c>
      <c r="AC47" s="10">
        <f>IFERROR((AA47+AB47)*SETTINGS!$C$10,"")</f>
        <v>2.6250000000000002E-2</v>
      </c>
      <c r="AD47" s="24"/>
    </row>
    <row r="48" spans="1:30" ht="16" customHeight="1" x14ac:dyDescent="0.2">
      <c r="A48" s="17"/>
      <c r="B48" s="18"/>
      <c r="C48" s="7"/>
      <c r="D48" s="7"/>
      <c r="E48" s="7"/>
      <c r="F48" s="7"/>
      <c r="G48" s="7"/>
      <c r="H48" s="18" t="str">
        <f>IFERROR(VLOOKUP(G48,FILAMENTI_DB!$A:$C,3,FALSE),"")</f>
        <v/>
      </c>
      <c r="I48" s="18" t="str">
        <f>IFERROR(VLOOKUP(G48,FILAMENTI_DB!$A:$E,4,FALSE),"")</f>
        <v/>
      </c>
      <c r="J48" s="8"/>
      <c r="K48" s="6"/>
      <c r="L48" s="6"/>
      <c r="M48" s="16">
        <f t="shared" si="0"/>
        <v>0</v>
      </c>
      <c r="N48" s="20">
        <f t="shared" si="1"/>
        <v>0</v>
      </c>
      <c r="O48" s="8"/>
      <c r="P48" s="8"/>
      <c r="Q48" s="4"/>
      <c r="R48" s="10">
        <f t="shared" si="2"/>
        <v>0</v>
      </c>
      <c r="S48" s="10"/>
      <c r="T48" s="10">
        <f t="shared" si="3"/>
        <v>0</v>
      </c>
      <c r="U48" s="24" t="str">
        <f t="shared" si="4"/>
        <v/>
      </c>
      <c r="V48" s="10" t="str">
        <f>IFERROR(N48*VLOOKUP(G48,FILAMENTI_DB!$A:$J,10,FALSE),"")</f>
        <v/>
      </c>
      <c r="W48" s="10" t="str">
        <f>IFERROR((VLOOKUP(F48,STAMPANTI_DB!$A:$C,3,FALSE)/1000)*O48*SETTINGS!$C$6,"")</f>
        <v/>
      </c>
      <c r="X48" s="10" t="str">
        <f>IFERROR(O48*VLOOKUP(F48,STAMPANTI_DB!$A:$I,9,FALSE),"")</f>
        <v/>
      </c>
      <c r="Y48" s="10">
        <f>IFERROR(P48*SETTINGS!$C$7,"")</f>
        <v>0</v>
      </c>
      <c r="Z48" s="10">
        <f>SETTINGS!$C$11</f>
        <v>0.5</v>
      </c>
      <c r="AA48" s="10">
        <f t="shared" si="5"/>
        <v>0.5</v>
      </c>
      <c r="AB48" s="10">
        <f>IFERROR(AA48*SETTINGS!$C$9,"")</f>
        <v>2.5000000000000001E-2</v>
      </c>
      <c r="AC48" s="10">
        <f>IFERROR((AA48+AB48)*SETTINGS!$C$10,"")</f>
        <v>2.6250000000000002E-2</v>
      </c>
      <c r="AD48" s="24"/>
    </row>
    <row r="49" spans="1:30" ht="16" customHeight="1" x14ac:dyDescent="0.2">
      <c r="A49" s="17"/>
      <c r="B49" s="18"/>
      <c r="C49" s="7"/>
      <c r="D49" s="7"/>
      <c r="E49" s="7"/>
      <c r="F49" s="7"/>
      <c r="G49" s="7"/>
      <c r="H49" s="18" t="str">
        <f>IFERROR(VLOOKUP(G49,FILAMENTI_DB!$A:$C,3,FALSE),"")</f>
        <v/>
      </c>
      <c r="I49" s="18" t="str">
        <f>IFERROR(VLOOKUP(G49,FILAMENTI_DB!$A:$E,4,FALSE),"")</f>
        <v/>
      </c>
      <c r="J49" s="8"/>
      <c r="K49" s="6"/>
      <c r="L49" s="6"/>
      <c r="M49" s="16">
        <f t="shared" si="0"/>
        <v>0</v>
      </c>
      <c r="N49" s="20">
        <f t="shared" si="1"/>
        <v>0</v>
      </c>
      <c r="O49" s="8"/>
      <c r="P49" s="8"/>
      <c r="Q49" s="4"/>
      <c r="R49" s="10">
        <f t="shared" si="2"/>
        <v>0</v>
      </c>
      <c r="S49" s="10"/>
      <c r="T49" s="10">
        <f t="shared" si="3"/>
        <v>0</v>
      </c>
      <c r="U49" s="24" t="str">
        <f t="shared" si="4"/>
        <v/>
      </c>
      <c r="V49" s="10" t="str">
        <f>IFERROR(N49*VLOOKUP(G49,FILAMENTI_DB!$A:$J,10,FALSE),"")</f>
        <v/>
      </c>
      <c r="W49" s="10" t="str">
        <f>IFERROR((VLOOKUP(F49,STAMPANTI_DB!$A:$C,3,FALSE)/1000)*O49*SETTINGS!$C$6,"")</f>
        <v/>
      </c>
      <c r="X49" s="10" t="str">
        <f>IFERROR(O49*VLOOKUP(F49,STAMPANTI_DB!$A:$I,9,FALSE),"")</f>
        <v/>
      </c>
      <c r="Y49" s="10">
        <f>IFERROR(P49*SETTINGS!$C$7,"")</f>
        <v>0</v>
      </c>
      <c r="Z49" s="10">
        <f>SETTINGS!$C$11</f>
        <v>0.5</v>
      </c>
      <c r="AA49" s="10">
        <f t="shared" si="5"/>
        <v>0.5</v>
      </c>
      <c r="AB49" s="10">
        <f>IFERROR(AA49*SETTINGS!$C$9,"")</f>
        <v>2.5000000000000001E-2</v>
      </c>
      <c r="AC49" s="10">
        <f>IFERROR((AA49+AB49)*SETTINGS!$C$10,"")</f>
        <v>2.6250000000000002E-2</v>
      </c>
      <c r="AD49" s="24"/>
    </row>
    <row r="50" spans="1:30" ht="16" customHeight="1" x14ac:dyDescent="0.2">
      <c r="A50" s="17"/>
      <c r="B50" s="18"/>
      <c r="C50" s="7"/>
      <c r="D50" s="7"/>
      <c r="E50" s="7"/>
      <c r="F50" s="7"/>
      <c r="G50" s="7"/>
      <c r="H50" s="18" t="str">
        <f>IFERROR(VLOOKUP(G50,FILAMENTI_DB!$A:$C,3,FALSE),"")</f>
        <v/>
      </c>
      <c r="I50" s="18" t="str">
        <f>IFERROR(VLOOKUP(G50,FILAMENTI_DB!$A:$E,4,FALSE),"")</f>
        <v/>
      </c>
      <c r="J50" s="8"/>
      <c r="K50" s="6"/>
      <c r="L50" s="6"/>
      <c r="M50" s="16">
        <f t="shared" si="0"/>
        <v>0</v>
      </c>
      <c r="N50" s="20">
        <f t="shared" si="1"/>
        <v>0</v>
      </c>
      <c r="O50" s="8"/>
      <c r="P50" s="8"/>
      <c r="Q50" s="4"/>
      <c r="R50" s="10">
        <f t="shared" si="2"/>
        <v>0</v>
      </c>
      <c r="S50" s="10"/>
      <c r="T50" s="10">
        <f t="shared" si="3"/>
        <v>0</v>
      </c>
      <c r="U50" s="24" t="str">
        <f t="shared" si="4"/>
        <v/>
      </c>
      <c r="V50" s="10" t="str">
        <f>IFERROR(N50*VLOOKUP(G50,FILAMENTI_DB!$A:$J,10,FALSE),"")</f>
        <v/>
      </c>
      <c r="W50" s="10" t="str">
        <f>IFERROR((VLOOKUP(F50,STAMPANTI_DB!$A:$C,3,FALSE)/1000)*O50*SETTINGS!$C$6,"")</f>
        <v/>
      </c>
      <c r="X50" s="10" t="str">
        <f>IFERROR(O50*VLOOKUP(F50,STAMPANTI_DB!$A:$I,9,FALSE),"")</f>
        <v/>
      </c>
      <c r="Y50" s="10">
        <f>IFERROR(P50*SETTINGS!$C$7,"")</f>
        <v>0</v>
      </c>
      <c r="Z50" s="10">
        <f>SETTINGS!$C$11</f>
        <v>0.5</v>
      </c>
      <c r="AA50" s="10">
        <f t="shared" si="5"/>
        <v>0.5</v>
      </c>
      <c r="AB50" s="10">
        <f>IFERROR(AA50*SETTINGS!$C$9,"")</f>
        <v>2.5000000000000001E-2</v>
      </c>
      <c r="AC50" s="10">
        <f>IFERROR((AA50+AB50)*SETTINGS!$C$10,"")</f>
        <v>2.6250000000000002E-2</v>
      </c>
      <c r="AD50" s="24"/>
    </row>
    <row r="51" spans="1:30" ht="16" customHeight="1" x14ac:dyDescent="0.2">
      <c r="A51" s="17"/>
      <c r="B51" s="18"/>
      <c r="C51" s="7"/>
      <c r="D51" s="7"/>
      <c r="E51" s="7"/>
      <c r="F51" s="7"/>
      <c r="G51" s="7"/>
      <c r="H51" s="18" t="str">
        <f>IFERROR(VLOOKUP(G51,FILAMENTI_DB!$A:$C,3,FALSE),"")</f>
        <v/>
      </c>
      <c r="I51" s="18" t="str">
        <f>IFERROR(VLOOKUP(G51,FILAMENTI_DB!$A:$E,4,FALSE),"")</f>
        <v/>
      </c>
      <c r="J51" s="8"/>
      <c r="K51" s="6"/>
      <c r="L51" s="6"/>
      <c r="M51" s="16">
        <f t="shared" si="0"/>
        <v>0</v>
      </c>
      <c r="N51" s="20">
        <f t="shared" si="1"/>
        <v>0</v>
      </c>
      <c r="O51" s="8"/>
      <c r="P51" s="8"/>
      <c r="Q51" s="4"/>
      <c r="R51" s="10">
        <f t="shared" si="2"/>
        <v>0</v>
      </c>
      <c r="S51" s="10"/>
      <c r="T51" s="10">
        <f t="shared" si="3"/>
        <v>0</v>
      </c>
      <c r="U51" s="24" t="str">
        <f t="shared" si="4"/>
        <v/>
      </c>
      <c r="V51" s="10" t="str">
        <f>IFERROR(N51*VLOOKUP(G51,FILAMENTI_DB!$A:$J,10,FALSE),"")</f>
        <v/>
      </c>
      <c r="W51" s="10" t="str">
        <f>IFERROR((VLOOKUP(F51,STAMPANTI_DB!$A:$C,3,FALSE)/1000)*O51*SETTINGS!$C$6,"")</f>
        <v/>
      </c>
      <c r="X51" s="10" t="str">
        <f>IFERROR(O51*VLOOKUP(F51,STAMPANTI_DB!$A:$I,9,FALSE),"")</f>
        <v/>
      </c>
      <c r="Y51" s="10">
        <f>IFERROR(P51*SETTINGS!$C$7,"")</f>
        <v>0</v>
      </c>
      <c r="Z51" s="10">
        <f>SETTINGS!$C$11</f>
        <v>0.5</v>
      </c>
      <c r="AA51" s="10">
        <f t="shared" si="5"/>
        <v>0.5</v>
      </c>
      <c r="AB51" s="10">
        <f>IFERROR(AA51*SETTINGS!$C$9,"")</f>
        <v>2.5000000000000001E-2</v>
      </c>
      <c r="AC51" s="10">
        <f>IFERROR((AA51+AB51)*SETTINGS!$C$10,"")</f>
        <v>2.6250000000000002E-2</v>
      </c>
      <c r="AD51" s="24"/>
    </row>
    <row r="52" spans="1:30" ht="16" customHeight="1" x14ac:dyDescent="0.2">
      <c r="A52" s="17"/>
      <c r="B52" s="18"/>
      <c r="C52" s="7"/>
      <c r="D52" s="7"/>
      <c r="E52" s="7"/>
      <c r="F52" s="7"/>
      <c r="G52" s="7"/>
      <c r="H52" s="18" t="str">
        <f>IFERROR(VLOOKUP(G52,FILAMENTI_DB!$A:$C,3,FALSE),"")</f>
        <v/>
      </c>
      <c r="I52" s="18" t="str">
        <f>IFERROR(VLOOKUP(G52,FILAMENTI_DB!$A:$E,4,FALSE),"")</f>
        <v/>
      </c>
      <c r="J52" s="8"/>
      <c r="K52" s="6"/>
      <c r="L52" s="6"/>
      <c r="M52" s="16">
        <f t="shared" si="0"/>
        <v>0</v>
      </c>
      <c r="N52" s="20">
        <f t="shared" si="1"/>
        <v>0</v>
      </c>
      <c r="O52" s="8"/>
      <c r="P52" s="8"/>
      <c r="Q52" s="4"/>
      <c r="R52" s="10">
        <f t="shared" si="2"/>
        <v>0</v>
      </c>
      <c r="S52" s="10"/>
      <c r="T52" s="10">
        <f t="shared" si="3"/>
        <v>0</v>
      </c>
      <c r="U52" s="24" t="str">
        <f t="shared" si="4"/>
        <v/>
      </c>
      <c r="V52" s="10" t="str">
        <f>IFERROR(N52*VLOOKUP(G52,FILAMENTI_DB!$A:$J,10,FALSE),"")</f>
        <v/>
      </c>
      <c r="W52" s="10" t="str">
        <f>IFERROR((VLOOKUP(F52,STAMPANTI_DB!$A:$C,3,FALSE)/1000)*O52*SETTINGS!$C$6,"")</f>
        <v/>
      </c>
      <c r="X52" s="10" t="str">
        <f>IFERROR(O52*VLOOKUP(F52,STAMPANTI_DB!$A:$I,9,FALSE),"")</f>
        <v/>
      </c>
      <c r="Y52" s="10">
        <f>IFERROR(P52*SETTINGS!$C$7,"")</f>
        <v>0</v>
      </c>
      <c r="Z52" s="10">
        <f>SETTINGS!$C$11</f>
        <v>0.5</v>
      </c>
      <c r="AA52" s="10">
        <f t="shared" si="5"/>
        <v>0.5</v>
      </c>
      <c r="AB52" s="10">
        <f>IFERROR(AA52*SETTINGS!$C$9,"")</f>
        <v>2.5000000000000001E-2</v>
      </c>
      <c r="AC52" s="10">
        <f>IFERROR((AA52+AB52)*SETTINGS!$C$10,"")</f>
        <v>2.6250000000000002E-2</v>
      </c>
      <c r="AD52" s="24"/>
    </row>
    <row r="53" spans="1:30" ht="16" customHeight="1" x14ac:dyDescent="0.2">
      <c r="A53" s="17"/>
      <c r="B53" s="18"/>
      <c r="C53" s="7"/>
      <c r="D53" s="7"/>
      <c r="E53" s="7"/>
      <c r="F53" s="7"/>
      <c r="G53" s="7"/>
      <c r="H53" s="18" t="str">
        <f>IFERROR(VLOOKUP(G53,FILAMENTI_DB!$A:$C,3,FALSE),"")</f>
        <v/>
      </c>
      <c r="I53" s="18" t="str">
        <f>IFERROR(VLOOKUP(G53,FILAMENTI_DB!$A:$E,4,FALSE),"")</f>
        <v/>
      </c>
      <c r="J53" s="8"/>
      <c r="K53" s="6"/>
      <c r="L53" s="6"/>
      <c r="M53" s="16">
        <f t="shared" si="0"/>
        <v>0</v>
      </c>
      <c r="N53" s="20">
        <f t="shared" si="1"/>
        <v>0</v>
      </c>
      <c r="O53" s="8"/>
      <c r="P53" s="8"/>
      <c r="Q53" s="4"/>
      <c r="R53" s="10">
        <f t="shared" si="2"/>
        <v>0</v>
      </c>
      <c r="S53" s="10"/>
      <c r="T53" s="10">
        <f t="shared" si="3"/>
        <v>0</v>
      </c>
      <c r="U53" s="24" t="str">
        <f t="shared" si="4"/>
        <v/>
      </c>
      <c r="V53" s="10" t="str">
        <f>IFERROR(N53*VLOOKUP(G53,FILAMENTI_DB!$A:$J,10,FALSE),"")</f>
        <v/>
      </c>
      <c r="W53" s="10" t="str">
        <f>IFERROR((VLOOKUP(F53,STAMPANTI_DB!$A:$C,3,FALSE)/1000)*O53*SETTINGS!$C$6,"")</f>
        <v/>
      </c>
      <c r="X53" s="10" t="str">
        <f>IFERROR(O53*VLOOKUP(F53,STAMPANTI_DB!$A:$I,9,FALSE),"")</f>
        <v/>
      </c>
      <c r="Y53" s="10">
        <f>IFERROR(P53*SETTINGS!$C$7,"")</f>
        <v>0</v>
      </c>
      <c r="Z53" s="10">
        <f>SETTINGS!$C$11</f>
        <v>0.5</v>
      </c>
      <c r="AA53" s="10">
        <f t="shared" si="5"/>
        <v>0.5</v>
      </c>
      <c r="AB53" s="10">
        <f>IFERROR(AA53*SETTINGS!$C$9,"")</f>
        <v>2.5000000000000001E-2</v>
      </c>
      <c r="AC53" s="10">
        <f>IFERROR((AA53+AB53)*SETTINGS!$C$10,"")</f>
        <v>2.6250000000000002E-2</v>
      </c>
      <c r="AD53" s="24"/>
    </row>
    <row r="54" spans="1:30" ht="16" customHeight="1" x14ac:dyDescent="0.2">
      <c r="A54" s="17"/>
      <c r="B54" s="18"/>
      <c r="C54" s="7"/>
      <c r="D54" s="7"/>
      <c r="E54" s="7"/>
      <c r="F54" s="7"/>
      <c r="G54" s="7"/>
      <c r="H54" s="18" t="str">
        <f>IFERROR(VLOOKUP(G54,FILAMENTI_DB!$A:$C,3,FALSE),"")</f>
        <v/>
      </c>
      <c r="I54" s="18" t="str">
        <f>IFERROR(VLOOKUP(G54,FILAMENTI_DB!$A:$E,4,FALSE),"")</f>
        <v/>
      </c>
      <c r="J54" s="8"/>
      <c r="K54" s="6"/>
      <c r="L54" s="6"/>
      <c r="M54" s="16">
        <f t="shared" si="0"/>
        <v>0</v>
      </c>
      <c r="N54" s="20">
        <f t="shared" si="1"/>
        <v>0</v>
      </c>
      <c r="O54" s="8"/>
      <c r="P54" s="8"/>
      <c r="Q54" s="4"/>
      <c r="R54" s="10">
        <f t="shared" si="2"/>
        <v>0</v>
      </c>
      <c r="S54" s="10"/>
      <c r="T54" s="10">
        <f t="shared" si="3"/>
        <v>0</v>
      </c>
      <c r="U54" s="24" t="str">
        <f t="shared" si="4"/>
        <v/>
      </c>
      <c r="V54" s="10" t="str">
        <f>IFERROR(N54*VLOOKUP(G54,FILAMENTI_DB!$A:$J,10,FALSE),"")</f>
        <v/>
      </c>
      <c r="W54" s="10" t="str">
        <f>IFERROR((VLOOKUP(F54,STAMPANTI_DB!$A:$C,3,FALSE)/1000)*O54*SETTINGS!$C$6,"")</f>
        <v/>
      </c>
      <c r="X54" s="10" t="str">
        <f>IFERROR(O54*VLOOKUP(F54,STAMPANTI_DB!$A:$I,9,FALSE),"")</f>
        <v/>
      </c>
      <c r="Y54" s="10">
        <f>IFERROR(P54*SETTINGS!$C$7,"")</f>
        <v>0</v>
      </c>
      <c r="Z54" s="10">
        <f>SETTINGS!$C$11</f>
        <v>0.5</v>
      </c>
      <c r="AA54" s="10">
        <f t="shared" si="5"/>
        <v>0.5</v>
      </c>
      <c r="AB54" s="10">
        <f>IFERROR(AA54*SETTINGS!$C$9,"")</f>
        <v>2.5000000000000001E-2</v>
      </c>
      <c r="AC54" s="10">
        <f>IFERROR((AA54+AB54)*SETTINGS!$C$10,"")</f>
        <v>2.6250000000000002E-2</v>
      </c>
      <c r="AD54" s="24"/>
    </row>
    <row r="55" spans="1:30" ht="16" customHeight="1" x14ac:dyDescent="0.2">
      <c r="A55" s="17"/>
      <c r="B55" s="18"/>
      <c r="C55" s="7"/>
      <c r="D55" s="7"/>
      <c r="E55" s="7"/>
      <c r="F55" s="7"/>
      <c r="G55" s="7"/>
      <c r="H55" s="18" t="str">
        <f>IFERROR(VLOOKUP(G55,FILAMENTI_DB!$A:$C,3,FALSE),"")</f>
        <v/>
      </c>
      <c r="I55" s="18" t="str">
        <f>IFERROR(VLOOKUP(G55,FILAMENTI_DB!$A:$E,4,FALSE),"")</f>
        <v/>
      </c>
      <c r="J55" s="8"/>
      <c r="K55" s="6"/>
      <c r="L55" s="6"/>
      <c r="M55" s="16">
        <f t="shared" si="0"/>
        <v>0</v>
      </c>
      <c r="N55" s="20">
        <f t="shared" si="1"/>
        <v>0</v>
      </c>
      <c r="O55" s="8"/>
      <c r="P55" s="8"/>
      <c r="Q55" s="4"/>
      <c r="R55" s="10">
        <f t="shared" si="2"/>
        <v>0</v>
      </c>
      <c r="S55" s="10"/>
      <c r="T55" s="10">
        <f t="shared" si="3"/>
        <v>0</v>
      </c>
      <c r="U55" s="24" t="str">
        <f t="shared" si="4"/>
        <v/>
      </c>
      <c r="V55" s="10" t="str">
        <f>IFERROR(N55*VLOOKUP(G55,FILAMENTI_DB!$A:$J,10,FALSE),"")</f>
        <v/>
      </c>
      <c r="W55" s="10" t="str">
        <f>IFERROR((VLOOKUP(F55,STAMPANTI_DB!$A:$C,3,FALSE)/1000)*O55*SETTINGS!$C$6,"")</f>
        <v/>
      </c>
      <c r="X55" s="10" t="str">
        <f>IFERROR(O55*VLOOKUP(F55,STAMPANTI_DB!$A:$I,9,FALSE),"")</f>
        <v/>
      </c>
      <c r="Y55" s="10">
        <f>IFERROR(P55*SETTINGS!$C$7,"")</f>
        <v>0</v>
      </c>
      <c r="Z55" s="10">
        <f>SETTINGS!$C$11</f>
        <v>0.5</v>
      </c>
      <c r="AA55" s="10">
        <f t="shared" si="5"/>
        <v>0.5</v>
      </c>
      <c r="AB55" s="10">
        <f>IFERROR(AA55*SETTINGS!$C$9,"")</f>
        <v>2.5000000000000001E-2</v>
      </c>
      <c r="AC55" s="10">
        <f>IFERROR((AA55+AB55)*SETTINGS!$C$10,"")</f>
        <v>2.6250000000000002E-2</v>
      </c>
      <c r="AD55" s="24"/>
    </row>
    <row r="56" spans="1:30" ht="16" customHeight="1" x14ac:dyDescent="0.2">
      <c r="A56" s="17"/>
      <c r="B56" s="18"/>
      <c r="C56" s="7"/>
      <c r="D56" s="7"/>
      <c r="E56" s="7"/>
      <c r="F56" s="7"/>
      <c r="G56" s="7"/>
      <c r="H56" s="18" t="str">
        <f>IFERROR(VLOOKUP(G56,FILAMENTI_DB!$A:$C,3,FALSE),"")</f>
        <v/>
      </c>
      <c r="I56" s="18" t="str">
        <f>IFERROR(VLOOKUP(G56,FILAMENTI_DB!$A:$E,4,FALSE),"")</f>
        <v/>
      </c>
      <c r="J56" s="8"/>
      <c r="K56" s="6"/>
      <c r="L56" s="6"/>
      <c r="M56" s="16">
        <f t="shared" si="0"/>
        <v>0</v>
      </c>
      <c r="N56" s="20">
        <f t="shared" si="1"/>
        <v>0</v>
      </c>
      <c r="O56" s="8"/>
      <c r="P56" s="8"/>
      <c r="Q56" s="4"/>
      <c r="R56" s="10">
        <f t="shared" si="2"/>
        <v>0</v>
      </c>
      <c r="S56" s="10"/>
      <c r="T56" s="10">
        <f t="shared" si="3"/>
        <v>0</v>
      </c>
      <c r="U56" s="24" t="str">
        <f t="shared" si="4"/>
        <v/>
      </c>
      <c r="V56" s="10" t="str">
        <f>IFERROR(N56*VLOOKUP(G56,FILAMENTI_DB!$A:$J,10,FALSE),"")</f>
        <v/>
      </c>
      <c r="W56" s="10" t="str">
        <f>IFERROR((VLOOKUP(F56,STAMPANTI_DB!$A:$C,3,FALSE)/1000)*O56*SETTINGS!$C$6,"")</f>
        <v/>
      </c>
      <c r="X56" s="10" t="str">
        <f>IFERROR(O56*VLOOKUP(F56,STAMPANTI_DB!$A:$I,9,FALSE),"")</f>
        <v/>
      </c>
      <c r="Y56" s="10">
        <f>IFERROR(P56*SETTINGS!$C$7,"")</f>
        <v>0</v>
      </c>
      <c r="Z56" s="10">
        <f>SETTINGS!$C$11</f>
        <v>0.5</v>
      </c>
      <c r="AA56" s="10">
        <f t="shared" si="5"/>
        <v>0.5</v>
      </c>
      <c r="AB56" s="10">
        <f>IFERROR(AA56*SETTINGS!$C$9,"")</f>
        <v>2.5000000000000001E-2</v>
      </c>
      <c r="AC56" s="10">
        <f>IFERROR((AA56+AB56)*SETTINGS!$C$10,"")</f>
        <v>2.6250000000000002E-2</v>
      </c>
      <c r="AD56" s="24"/>
    </row>
    <row r="57" spans="1:30" ht="16" customHeight="1" x14ac:dyDescent="0.2">
      <c r="A57" s="17"/>
      <c r="B57" s="18"/>
      <c r="C57" s="7"/>
      <c r="D57" s="7"/>
      <c r="E57" s="7"/>
      <c r="F57" s="7"/>
      <c r="G57" s="7"/>
      <c r="H57" s="18" t="str">
        <f>IFERROR(VLOOKUP(G57,FILAMENTI_DB!$A:$C,3,FALSE),"")</f>
        <v/>
      </c>
      <c r="I57" s="18" t="str">
        <f>IFERROR(VLOOKUP(G57,FILAMENTI_DB!$A:$E,4,FALSE),"")</f>
        <v/>
      </c>
      <c r="J57" s="8"/>
      <c r="K57" s="6"/>
      <c r="L57" s="6"/>
      <c r="M57" s="16">
        <f t="shared" si="0"/>
        <v>0</v>
      </c>
      <c r="N57" s="20">
        <f t="shared" si="1"/>
        <v>0</v>
      </c>
      <c r="O57" s="8"/>
      <c r="P57" s="8"/>
      <c r="Q57" s="4"/>
      <c r="R57" s="10">
        <f t="shared" si="2"/>
        <v>0</v>
      </c>
      <c r="S57" s="10"/>
      <c r="T57" s="10">
        <f t="shared" si="3"/>
        <v>0</v>
      </c>
      <c r="U57" s="24" t="str">
        <f t="shared" si="4"/>
        <v/>
      </c>
      <c r="V57" s="10" t="str">
        <f>IFERROR(N57*VLOOKUP(G57,FILAMENTI_DB!$A:$J,10,FALSE),"")</f>
        <v/>
      </c>
      <c r="W57" s="10" t="str">
        <f>IFERROR((VLOOKUP(F57,STAMPANTI_DB!$A:$C,3,FALSE)/1000)*O57*SETTINGS!$C$6,"")</f>
        <v/>
      </c>
      <c r="X57" s="10" t="str">
        <f>IFERROR(O57*VLOOKUP(F57,STAMPANTI_DB!$A:$I,9,FALSE),"")</f>
        <v/>
      </c>
      <c r="Y57" s="10">
        <f>IFERROR(P57*SETTINGS!$C$7,"")</f>
        <v>0</v>
      </c>
      <c r="Z57" s="10">
        <f>SETTINGS!$C$11</f>
        <v>0.5</v>
      </c>
      <c r="AA57" s="10">
        <f t="shared" si="5"/>
        <v>0.5</v>
      </c>
      <c r="AB57" s="10">
        <f>IFERROR(AA57*SETTINGS!$C$9,"")</f>
        <v>2.5000000000000001E-2</v>
      </c>
      <c r="AC57" s="10">
        <f>IFERROR((AA57+AB57)*SETTINGS!$C$10,"")</f>
        <v>2.6250000000000002E-2</v>
      </c>
      <c r="AD57" s="24"/>
    </row>
    <row r="58" spans="1:30" ht="16" customHeight="1" x14ac:dyDescent="0.2">
      <c r="A58" s="17"/>
      <c r="B58" s="18"/>
      <c r="C58" s="7"/>
      <c r="D58" s="7"/>
      <c r="E58" s="7"/>
      <c r="F58" s="7"/>
      <c r="G58" s="7"/>
      <c r="H58" s="18" t="str">
        <f>IFERROR(VLOOKUP(G58,FILAMENTI_DB!$A:$C,3,FALSE),"")</f>
        <v/>
      </c>
      <c r="I58" s="18" t="str">
        <f>IFERROR(VLOOKUP(G58,FILAMENTI_DB!$A:$E,4,FALSE),"")</f>
        <v/>
      </c>
      <c r="J58" s="8"/>
      <c r="K58" s="6"/>
      <c r="L58" s="6"/>
      <c r="M58" s="16">
        <f t="shared" si="0"/>
        <v>0</v>
      </c>
      <c r="N58" s="20">
        <f t="shared" si="1"/>
        <v>0</v>
      </c>
      <c r="O58" s="8"/>
      <c r="P58" s="8"/>
      <c r="Q58" s="4"/>
      <c r="R58" s="10">
        <f t="shared" si="2"/>
        <v>0</v>
      </c>
      <c r="S58" s="10"/>
      <c r="T58" s="10">
        <f t="shared" si="3"/>
        <v>0</v>
      </c>
      <c r="U58" s="24" t="str">
        <f t="shared" si="4"/>
        <v/>
      </c>
      <c r="V58" s="10" t="str">
        <f>IFERROR(N58*VLOOKUP(G58,FILAMENTI_DB!$A:$J,10,FALSE),"")</f>
        <v/>
      </c>
      <c r="W58" s="10" t="str">
        <f>IFERROR((VLOOKUP(F58,STAMPANTI_DB!$A:$C,3,FALSE)/1000)*O58*SETTINGS!$C$6,"")</f>
        <v/>
      </c>
      <c r="X58" s="10" t="str">
        <f>IFERROR(O58*VLOOKUP(F58,STAMPANTI_DB!$A:$I,9,FALSE),"")</f>
        <v/>
      </c>
      <c r="Y58" s="10">
        <f>IFERROR(P58*SETTINGS!$C$7,"")</f>
        <v>0</v>
      </c>
      <c r="Z58" s="10">
        <f>SETTINGS!$C$11</f>
        <v>0.5</v>
      </c>
      <c r="AA58" s="10">
        <f t="shared" si="5"/>
        <v>0.5</v>
      </c>
      <c r="AB58" s="10">
        <f>IFERROR(AA58*SETTINGS!$C$9,"")</f>
        <v>2.5000000000000001E-2</v>
      </c>
      <c r="AC58" s="10">
        <f>IFERROR((AA58+AB58)*SETTINGS!$C$10,"")</f>
        <v>2.6250000000000002E-2</v>
      </c>
      <c r="AD58" s="24"/>
    </row>
    <row r="59" spans="1:30" ht="16" customHeight="1" x14ac:dyDescent="0.2">
      <c r="A59" s="17"/>
      <c r="B59" s="18"/>
      <c r="C59" s="7"/>
      <c r="D59" s="7"/>
      <c r="E59" s="7"/>
      <c r="F59" s="7"/>
      <c r="G59" s="7"/>
      <c r="H59" s="18" t="str">
        <f>IFERROR(VLOOKUP(G59,FILAMENTI_DB!$A:$C,3,FALSE),"")</f>
        <v/>
      </c>
      <c r="I59" s="18" t="str">
        <f>IFERROR(VLOOKUP(G59,FILAMENTI_DB!$A:$E,4,FALSE),"")</f>
        <v/>
      </c>
      <c r="J59" s="8"/>
      <c r="K59" s="6"/>
      <c r="L59" s="6"/>
      <c r="M59" s="16">
        <f t="shared" si="0"/>
        <v>0</v>
      </c>
      <c r="N59" s="20">
        <f t="shared" si="1"/>
        <v>0</v>
      </c>
      <c r="O59" s="8"/>
      <c r="P59" s="8"/>
      <c r="Q59" s="4"/>
      <c r="R59" s="10">
        <f t="shared" si="2"/>
        <v>0</v>
      </c>
      <c r="S59" s="10"/>
      <c r="T59" s="10">
        <f t="shared" si="3"/>
        <v>0</v>
      </c>
      <c r="U59" s="24" t="str">
        <f t="shared" si="4"/>
        <v/>
      </c>
      <c r="V59" s="10" t="str">
        <f>IFERROR(N59*VLOOKUP(G59,FILAMENTI_DB!$A:$J,10,FALSE),"")</f>
        <v/>
      </c>
      <c r="W59" s="10" t="str">
        <f>IFERROR((VLOOKUP(F59,STAMPANTI_DB!$A:$C,3,FALSE)/1000)*O59*SETTINGS!$C$6,"")</f>
        <v/>
      </c>
      <c r="X59" s="10" t="str">
        <f>IFERROR(O59*VLOOKUP(F59,STAMPANTI_DB!$A:$I,9,FALSE),"")</f>
        <v/>
      </c>
      <c r="Y59" s="10">
        <f>IFERROR(P59*SETTINGS!$C$7,"")</f>
        <v>0</v>
      </c>
      <c r="Z59" s="10">
        <f>SETTINGS!$C$11</f>
        <v>0.5</v>
      </c>
      <c r="AA59" s="10">
        <f t="shared" si="5"/>
        <v>0.5</v>
      </c>
      <c r="AB59" s="10">
        <f>IFERROR(AA59*SETTINGS!$C$9,"")</f>
        <v>2.5000000000000001E-2</v>
      </c>
      <c r="AC59" s="10">
        <f>IFERROR((AA59+AB59)*SETTINGS!$C$10,"")</f>
        <v>2.6250000000000002E-2</v>
      </c>
      <c r="AD59" s="24"/>
    </row>
    <row r="60" spans="1:30" ht="16" customHeight="1" x14ac:dyDescent="0.2">
      <c r="A60" s="17"/>
      <c r="B60" s="18"/>
      <c r="C60" s="7"/>
      <c r="D60" s="7"/>
      <c r="E60" s="7"/>
      <c r="F60" s="7"/>
      <c r="G60" s="7"/>
      <c r="H60" s="18" t="str">
        <f>IFERROR(VLOOKUP(G60,FILAMENTI_DB!$A:$C,3,FALSE),"")</f>
        <v/>
      </c>
      <c r="I60" s="18" t="str">
        <f>IFERROR(VLOOKUP(G60,FILAMENTI_DB!$A:$E,4,FALSE),"")</f>
        <v/>
      </c>
      <c r="J60" s="8"/>
      <c r="K60" s="6"/>
      <c r="L60" s="6"/>
      <c r="M60" s="16">
        <f t="shared" si="0"/>
        <v>0</v>
      </c>
      <c r="N60" s="20">
        <f t="shared" si="1"/>
        <v>0</v>
      </c>
      <c r="O60" s="8"/>
      <c r="P60" s="8"/>
      <c r="Q60" s="4"/>
      <c r="R60" s="10">
        <f t="shared" si="2"/>
        <v>0</v>
      </c>
      <c r="S60" s="10"/>
      <c r="T60" s="10">
        <f t="shared" si="3"/>
        <v>0</v>
      </c>
      <c r="U60" s="24" t="str">
        <f t="shared" si="4"/>
        <v/>
      </c>
      <c r="V60" s="10" t="str">
        <f>IFERROR(N60*VLOOKUP(G60,FILAMENTI_DB!$A:$J,10,FALSE),"")</f>
        <v/>
      </c>
      <c r="W60" s="10" t="str">
        <f>IFERROR((VLOOKUP(F60,STAMPANTI_DB!$A:$C,3,FALSE)/1000)*O60*SETTINGS!$C$6,"")</f>
        <v/>
      </c>
      <c r="X60" s="10" t="str">
        <f>IFERROR(O60*VLOOKUP(F60,STAMPANTI_DB!$A:$I,9,FALSE),"")</f>
        <v/>
      </c>
      <c r="Y60" s="10">
        <f>IFERROR(P60*SETTINGS!$C$7,"")</f>
        <v>0</v>
      </c>
      <c r="Z60" s="10">
        <f>SETTINGS!$C$11</f>
        <v>0.5</v>
      </c>
      <c r="AA60" s="10">
        <f t="shared" si="5"/>
        <v>0.5</v>
      </c>
      <c r="AB60" s="10">
        <f>IFERROR(AA60*SETTINGS!$C$9,"")</f>
        <v>2.5000000000000001E-2</v>
      </c>
      <c r="AC60" s="10">
        <f>IFERROR((AA60+AB60)*SETTINGS!$C$10,"")</f>
        <v>2.6250000000000002E-2</v>
      </c>
      <c r="AD60" s="24"/>
    </row>
    <row r="61" spans="1:30" ht="16" customHeight="1" x14ac:dyDescent="0.2">
      <c r="A61" s="17"/>
      <c r="B61" s="18"/>
      <c r="C61" s="7"/>
      <c r="D61" s="7"/>
      <c r="E61" s="7"/>
      <c r="F61" s="7"/>
      <c r="G61" s="7"/>
      <c r="H61" s="18" t="str">
        <f>IFERROR(VLOOKUP(G61,FILAMENTI_DB!$A:$C,3,FALSE),"")</f>
        <v/>
      </c>
      <c r="I61" s="18" t="str">
        <f>IFERROR(VLOOKUP(G61,FILAMENTI_DB!$A:$E,4,FALSE),"")</f>
        <v/>
      </c>
      <c r="J61" s="8"/>
      <c r="K61" s="6"/>
      <c r="L61" s="6"/>
      <c r="M61" s="16">
        <f t="shared" si="0"/>
        <v>0</v>
      </c>
      <c r="N61" s="20">
        <f t="shared" si="1"/>
        <v>0</v>
      </c>
      <c r="O61" s="8"/>
      <c r="P61" s="8"/>
      <c r="Q61" s="4"/>
      <c r="R61" s="10">
        <f t="shared" si="2"/>
        <v>0</v>
      </c>
      <c r="S61" s="10"/>
      <c r="T61" s="10">
        <f t="shared" si="3"/>
        <v>0</v>
      </c>
      <c r="U61" s="24" t="str">
        <f t="shared" si="4"/>
        <v/>
      </c>
      <c r="V61" s="10" t="str">
        <f>IFERROR(N61*VLOOKUP(G61,FILAMENTI_DB!$A:$J,10,FALSE),"")</f>
        <v/>
      </c>
      <c r="W61" s="10" t="str">
        <f>IFERROR((VLOOKUP(F61,STAMPANTI_DB!$A:$C,3,FALSE)/1000)*O61*SETTINGS!$C$6,"")</f>
        <v/>
      </c>
      <c r="X61" s="10" t="str">
        <f>IFERROR(O61*VLOOKUP(F61,STAMPANTI_DB!$A:$I,9,FALSE),"")</f>
        <v/>
      </c>
      <c r="Y61" s="10">
        <f>IFERROR(P61*SETTINGS!$C$7,"")</f>
        <v>0</v>
      </c>
      <c r="Z61" s="10">
        <f>SETTINGS!$C$11</f>
        <v>0.5</v>
      </c>
      <c r="AA61" s="10">
        <f t="shared" si="5"/>
        <v>0.5</v>
      </c>
      <c r="AB61" s="10">
        <f>IFERROR(AA61*SETTINGS!$C$9,"")</f>
        <v>2.5000000000000001E-2</v>
      </c>
      <c r="AC61" s="10">
        <f>IFERROR((AA61+AB61)*SETTINGS!$C$10,"")</f>
        <v>2.6250000000000002E-2</v>
      </c>
      <c r="AD61" s="24"/>
    </row>
    <row r="62" spans="1:30" ht="16" customHeight="1" x14ac:dyDescent="0.2">
      <c r="A62" s="17"/>
      <c r="B62" s="18"/>
      <c r="C62" s="7"/>
      <c r="D62" s="7"/>
      <c r="E62" s="7"/>
      <c r="F62" s="7"/>
      <c r="G62" s="7"/>
      <c r="H62" s="18" t="str">
        <f>IFERROR(VLOOKUP(G62,FILAMENTI_DB!$A:$C,3,FALSE),"")</f>
        <v/>
      </c>
      <c r="I62" s="18" t="str">
        <f>IFERROR(VLOOKUP(G62,FILAMENTI_DB!$A:$E,4,FALSE),"")</f>
        <v/>
      </c>
      <c r="J62" s="8"/>
      <c r="K62" s="6"/>
      <c r="L62" s="6"/>
      <c r="M62" s="16">
        <f t="shared" si="0"/>
        <v>0</v>
      </c>
      <c r="N62" s="20">
        <f t="shared" si="1"/>
        <v>0</v>
      </c>
      <c r="O62" s="8"/>
      <c r="P62" s="8"/>
      <c r="Q62" s="4"/>
      <c r="R62" s="10">
        <f t="shared" si="2"/>
        <v>0</v>
      </c>
      <c r="S62" s="10"/>
      <c r="T62" s="10">
        <f t="shared" si="3"/>
        <v>0</v>
      </c>
      <c r="U62" s="24" t="str">
        <f t="shared" si="4"/>
        <v/>
      </c>
      <c r="V62" s="10" t="str">
        <f>IFERROR(N62*VLOOKUP(G62,FILAMENTI_DB!$A:$J,10,FALSE),"")</f>
        <v/>
      </c>
      <c r="W62" s="10" t="str">
        <f>IFERROR((VLOOKUP(F62,STAMPANTI_DB!$A:$C,3,FALSE)/1000)*O62*SETTINGS!$C$6,"")</f>
        <v/>
      </c>
      <c r="X62" s="10" t="str">
        <f>IFERROR(O62*VLOOKUP(F62,STAMPANTI_DB!$A:$I,9,FALSE),"")</f>
        <v/>
      </c>
      <c r="Y62" s="10">
        <f>IFERROR(P62*SETTINGS!$C$7,"")</f>
        <v>0</v>
      </c>
      <c r="Z62" s="10">
        <f>SETTINGS!$C$11</f>
        <v>0.5</v>
      </c>
      <c r="AA62" s="10">
        <f t="shared" si="5"/>
        <v>0.5</v>
      </c>
      <c r="AB62" s="10">
        <f>IFERROR(AA62*SETTINGS!$C$9,"")</f>
        <v>2.5000000000000001E-2</v>
      </c>
      <c r="AC62" s="10">
        <f>IFERROR((AA62+AB62)*SETTINGS!$C$10,"")</f>
        <v>2.6250000000000002E-2</v>
      </c>
      <c r="AD62" s="24"/>
    </row>
    <row r="63" spans="1:30" ht="16" customHeight="1" x14ac:dyDescent="0.2">
      <c r="A63" s="17"/>
      <c r="B63" s="18"/>
      <c r="C63" s="7"/>
      <c r="D63" s="7"/>
      <c r="E63" s="7"/>
      <c r="F63" s="7"/>
      <c r="G63" s="7"/>
      <c r="H63" s="18" t="str">
        <f>IFERROR(VLOOKUP(G63,FILAMENTI_DB!$A:$C,3,FALSE),"")</f>
        <v/>
      </c>
      <c r="I63" s="18" t="str">
        <f>IFERROR(VLOOKUP(G63,FILAMENTI_DB!$A:$E,4,FALSE),"")</f>
        <v/>
      </c>
      <c r="J63" s="8"/>
      <c r="K63" s="6"/>
      <c r="L63" s="6"/>
      <c r="M63" s="16">
        <f t="shared" si="0"/>
        <v>0</v>
      </c>
      <c r="N63" s="20">
        <f t="shared" si="1"/>
        <v>0</v>
      </c>
      <c r="O63" s="8"/>
      <c r="P63" s="8"/>
      <c r="Q63" s="4"/>
      <c r="R63" s="10">
        <f t="shared" si="2"/>
        <v>0</v>
      </c>
      <c r="S63" s="10"/>
      <c r="T63" s="10">
        <f t="shared" si="3"/>
        <v>0</v>
      </c>
      <c r="U63" s="24" t="str">
        <f t="shared" si="4"/>
        <v/>
      </c>
      <c r="V63" s="10" t="str">
        <f>IFERROR(N63*VLOOKUP(G63,FILAMENTI_DB!$A:$J,10,FALSE),"")</f>
        <v/>
      </c>
      <c r="W63" s="10" t="str">
        <f>IFERROR((VLOOKUP(F63,STAMPANTI_DB!$A:$C,3,FALSE)/1000)*O63*SETTINGS!$C$6,"")</f>
        <v/>
      </c>
      <c r="X63" s="10" t="str">
        <f>IFERROR(O63*VLOOKUP(F63,STAMPANTI_DB!$A:$I,9,FALSE),"")</f>
        <v/>
      </c>
      <c r="Y63" s="10">
        <f>IFERROR(P63*SETTINGS!$C$7,"")</f>
        <v>0</v>
      </c>
      <c r="Z63" s="10">
        <f>SETTINGS!$C$11</f>
        <v>0.5</v>
      </c>
      <c r="AA63" s="10">
        <f t="shared" si="5"/>
        <v>0.5</v>
      </c>
      <c r="AB63" s="10">
        <f>IFERROR(AA63*SETTINGS!$C$9,"")</f>
        <v>2.5000000000000001E-2</v>
      </c>
      <c r="AC63" s="10">
        <f>IFERROR((AA63+AB63)*SETTINGS!$C$10,"")</f>
        <v>2.6250000000000002E-2</v>
      </c>
      <c r="AD63" s="24"/>
    </row>
    <row r="64" spans="1:30" ht="16" customHeight="1" x14ac:dyDescent="0.2">
      <c r="A64" s="17"/>
      <c r="B64" s="18"/>
      <c r="C64" s="7"/>
      <c r="D64" s="7"/>
      <c r="E64" s="7"/>
      <c r="F64" s="7"/>
      <c r="G64" s="7"/>
      <c r="H64" s="18" t="str">
        <f>IFERROR(VLOOKUP(G64,FILAMENTI_DB!$A:$C,3,FALSE),"")</f>
        <v/>
      </c>
      <c r="I64" s="18" t="str">
        <f>IFERROR(VLOOKUP(G64,FILAMENTI_DB!$A:$E,4,FALSE),"")</f>
        <v/>
      </c>
      <c r="J64" s="8"/>
      <c r="K64" s="6"/>
      <c r="L64" s="6"/>
      <c r="M64" s="16">
        <f t="shared" si="0"/>
        <v>0</v>
      </c>
      <c r="N64" s="20">
        <f t="shared" si="1"/>
        <v>0</v>
      </c>
      <c r="O64" s="8"/>
      <c r="P64" s="8"/>
      <c r="Q64" s="4"/>
      <c r="R64" s="10">
        <f t="shared" si="2"/>
        <v>0</v>
      </c>
      <c r="S64" s="10"/>
      <c r="T64" s="10">
        <f t="shared" si="3"/>
        <v>0</v>
      </c>
      <c r="U64" s="24" t="str">
        <f t="shared" si="4"/>
        <v/>
      </c>
      <c r="V64" s="10" t="str">
        <f>IFERROR(N64*VLOOKUP(G64,FILAMENTI_DB!$A:$J,10,FALSE),"")</f>
        <v/>
      </c>
      <c r="W64" s="10" t="str">
        <f>IFERROR((VLOOKUP(F64,STAMPANTI_DB!$A:$C,3,FALSE)/1000)*O64*SETTINGS!$C$6,"")</f>
        <v/>
      </c>
      <c r="X64" s="10" t="str">
        <f>IFERROR(O64*VLOOKUP(F64,STAMPANTI_DB!$A:$I,9,FALSE),"")</f>
        <v/>
      </c>
      <c r="Y64" s="10">
        <f>IFERROR(P64*SETTINGS!$C$7,"")</f>
        <v>0</v>
      </c>
      <c r="Z64" s="10">
        <f>SETTINGS!$C$11</f>
        <v>0.5</v>
      </c>
      <c r="AA64" s="10">
        <f t="shared" si="5"/>
        <v>0.5</v>
      </c>
      <c r="AB64" s="10">
        <f>IFERROR(AA64*SETTINGS!$C$9,"")</f>
        <v>2.5000000000000001E-2</v>
      </c>
      <c r="AC64" s="10">
        <f>IFERROR((AA64+AB64)*SETTINGS!$C$10,"")</f>
        <v>2.6250000000000002E-2</v>
      </c>
      <c r="AD64" s="24"/>
    </row>
    <row r="65" spans="1:30" ht="16" customHeight="1" x14ac:dyDescent="0.2">
      <c r="A65" s="17"/>
      <c r="B65" s="18"/>
      <c r="C65" s="7"/>
      <c r="D65" s="7"/>
      <c r="E65" s="7"/>
      <c r="F65" s="7"/>
      <c r="G65" s="7"/>
      <c r="H65" s="18" t="str">
        <f>IFERROR(VLOOKUP(G65,FILAMENTI_DB!$A:$C,3,FALSE),"")</f>
        <v/>
      </c>
      <c r="I65" s="18" t="str">
        <f>IFERROR(VLOOKUP(G65,FILAMENTI_DB!$A:$E,4,FALSE),"")</f>
        <v/>
      </c>
      <c r="J65" s="8"/>
      <c r="K65" s="6"/>
      <c r="L65" s="6"/>
      <c r="M65" s="16">
        <f t="shared" si="0"/>
        <v>0</v>
      </c>
      <c r="N65" s="20">
        <f t="shared" si="1"/>
        <v>0</v>
      </c>
      <c r="O65" s="8"/>
      <c r="P65" s="8"/>
      <c r="Q65" s="4"/>
      <c r="R65" s="10">
        <f t="shared" si="2"/>
        <v>0</v>
      </c>
      <c r="S65" s="10"/>
      <c r="T65" s="10">
        <f t="shared" si="3"/>
        <v>0</v>
      </c>
      <c r="U65" s="24" t="str">
        <f t="shared" si="4"/>
        <v/>
      </c>
      <c r="V65" s="10" t="str">
        <f>IFERROR(N65*VLOOKUP(G65,FILAMENTI_DB!$A:$J,10,FALSE),"")</f>
        <v/>
      </c>
      <c r="W65" s="10" t="str">
        <f>IFERROR((VLOOKUP(F65,STAMPANTI_DB!$A:$C,3,FALSE)/1000)*O65*SETTINGS!$C$6,"")</f>
        <v/>
      </c>
      <c r="X65" s="10" t="str">
        <f>IFERROR(O65*VLOOKUP(F65,STAMPANTI_DB!$A:$I,9,FALSE),"")</f>
        <v/>
      </c>
      <c r="Y65" s="10">
        <f>IFERROR(P65*SETTINGS!$C$7,"")</f>
        <v>0</v>
      </c>
      <c r="Z65" s="10">
        <f>SETTINGS!$C$11</f>
        <v>0.5</v>
      </c>
      <c r="AA65" s="10">
        <f t="shared" si="5"/>
        <v>0.5</v>
      </c>
      <c r="AB65" s="10">
        <f>IFERROR(AA65*SETTINGS!$C$9,"")</f>
        <v>2.5000000000000001E-2</v>
      </c>
      <c r="AC65" s="10">
        <f>IFERROR((AA65+AB65)*SETTINGS!$C$10,"")</f>
        <v>2.6250000000000002E-2</v>
      </c>
      <c r="AD65" s="24"/>
    </row>
    <row r="66" spans="1:30" ht="16" customHeight="1" x14ac:dyDescent="0.2">
      <c r="A66" s="17"/>
      <c r="B66" s="18"/>
      <c r="C66" s="7"/>
      <c r="D66" s="7"/>
      <c r="E66" s="7"/>
      <c r="F66" s="7"/>
      <c r="G66" s="7"/>
      <c r="H66" s="18" t="str">
        <f>IFERROR(VLOOKUP(G66,FILAMENTI_DB!$A:$C,3,FALSE),"")</f>
        <v/>
      </c>
      <c r="I66" s="18" t="str">
        <f>IFERROR(VLOOKUP(G66,FILAMENTI_DB!$A:$E,4,FALSE),"")</f>
        <v/>
      </c>
      <c r="J66" s="8"/>
      <c r="K66" s="6"/>
      <c r="L66" s="6"/>
      <c r="M66" s="16">
        <f t="shared" si="0"/>
        <v>0</v>
      </c>
      <c r="N66" s="20">
        <f t="shared" si="1"/>
        <v>0</v>
      </c>
      <c r="O66" s="8"/>
      <c r="P66" s="8"/>
      <c r="Q66" s="4"/>
      <c r="R66" s="10">
        <f t="shared" si="2"/>
        <v>0</v>
      </c>
      <c r="S66" s="10"/>
      <c r="T66" s="10">
        <f t="shared" si="3"/>
        <v>0</v>
      </c>
      <c r="U66" s="24" t="str">
        <f t="shared" si="4"/>
        <v/>
      </c>
      <c r="V66" s="10" t="str">
        <f>IFERROR(N66*VLOOKUP(G66,FILAMENTI_DB!$A:$J,10,FALSE),"")</f>
        <v/>
      </c>
      <c r="W66" s="10" t="str">
        <f>IFERROR((VLOOKUP(F66,STAMPANTI_DB!$A:$C,3,FALSE)/1000)*O66*SETTINGS!$C$6,"")</f>
        <v/>
      </c>
      <c r="X66" s="10" t="str">
        <f>IFERROR(O66*VLOOKUP(F66,STAMPANTI_DB!$A:$I,9,FALSE),"")</f>
        <v/>
      </c>
      <c r="Y66" s="10">
        <f>IFERROR(P66*SETTINGS!$C$7,"")</f>
        <v>0</v>
      </c>
      <c r="Z66" s="10">
        <f>SETTINGS!$C$11</f>
        <v>0.5</v>
      </c>
      <c r="AA66" s="10">
        <f t="shared" si="5"/>
        <v>0.5</v>
      </c>
      <c r="AB66" s="10">
        <f>IFERROR(AA66*SETTINGS!$C$9,"")</f>
        <v>2.5000000000000001E-2</v>
      </c>
      <c r="AC66" s="10">
        <f>IFERROR((AA66+AB66)*SETTINGS!$C$10,"")</f>
        <v>2.6250000000000002E-2</v>
      </c>
      <c r="AD66" s="24"/>
    </row>
    <row r="67" spans="1:30" ht="16" customHeight="1" x14ac:dyDescent="0.2">
      <c r="A67" s="17"/>
      <c r="B67" s="18"/>
      <c r="C67" s="7"/>
      <c r="D67" s="7"/>
      <c r="E67" s="7"/>
      <c r="F67" s="7"/>
      <c r="G67" s="7"/>
      <c r="H67" s="18" t="str">
        <f>IFERROR(VLOOKUP(G67,FILAMENTI_DB!$A:$C,3,FALSE),"")</f>
        <v/>
      </c>
      <c r="I67" s="18" t="str">
        <f>IFERROR(VLOOKUP(G67,FILAMENTI_DB!$A:$E,4,FALSE),"")</f>
        <v/>
      </c>
      <c r="J67" s="8"/>
      <c r="K67" s="6"/>
      <c r="L67" s="6"/>
      <c r="M67" s="16">
        <f t="shared" si="0"/>
        <v>0</v>
      </c>
      <c r="N67" s="20">
        <f t="shared" si="1"/>
        <v>0</v>
      </c>
      <c r="O67" s="8"/>
      <c r="P67" s="8"/>
      <c r="Q67" s="4"/>
      <c r="R67" s="10">
        <f t="shared" si="2"/>
        <v>0</v>
      </c>
      <c r="S67" s="10"/>
      <c r="T67" s="10">
        <f t="shared" si="3"/>
        <v>0</v>
      </c>
      <c r="U67" s="24" t="str">
        <f t="shared" si="4"/>
        <v/>
      </c>
      <c r="V67" s="10" t="str">
        <f>IFERROR(N67*VLOOKUP(G67,FILAMENTI_DB!$A:$J,10,FALSE),"")</f>
        <v/>
      </c>
      <c r="W67" s="10" t="str">
        <f>IFERROR((VLOOKUP(F67,STAMPANTI_DB!$A:$C,3,FALSE)/1000)*O67*SETTINGS!$C$6,"")</f>
        <v/>
      </c>
      <c r="X67" s="10" t="str">
        <f>IFERROR(O67*VLOOKUP(F67,STAMPANTI_DB!$A:$I,9,FALSE),"")</f>
        <v/>
      </c>
      <c r="Y67" s="10">
        <f>IFERROR(P67*SETTINGS!$C$7,"")</f>
        <v>0</v>
      </c>
      <c r="Z67" s="10">
        <f>SETTINGS!$C$11</f>
        <v>0.5</v>
      </c>
      <c r="AA67" s="10">
        <f t="shared" si="5"/>
        <v>0.5</v>
      </c>
      <c r="AB67" s="10">
        <f>IFERROR(AA67*SETTINGS!$C$9,"")</f>
        <v>2.5000000000000001E-2</v>
      </c>
      <c r="AC67" s="10">
        <f>IFERROR((AA67+AB67)*SETTINGS!$C$10,"")</f>
        <v>2.6250000000000002E-2</v>
      </c>
      <c r="AD67" s="24"/>
    </row>
    <row r="68" spans="1:30" ht="16" customHeight="1" x14ac:dyDescent="0.2">
      <c r="A68" s="17"/>
      <c r="B68" s="18"/>
      <c r="C68" s="7"/>
      <c r="D68" s="7"/>
      <c r="E68" s="7"/>
      <c r="F68" s="7"/>
      <c r="G68" s="7"/>
      <c r="H68" s="18" t="str">
        <f>IFERROR(VLOOKUP(G68,FILAMENTI_DB!$A:$C,3,FALSE),"")</f>
        <v/>
      </c>
      <c r="I68" s="18" t="str">
        <f>IFERROR(VLOOKUP(G68,FILAMENTI_DB!$A:$E,4,FALSE),"")</f>
        <v/>
      </c>
      <c r="J68" s="8"/>
      <c r="K68" s="6"/>
      <c r="L68" s="6"/>
      <c r="M68" s="16">
        <f t="shared" si="0"/>
        <v>0</v>
      </c>
      <c r="N68" s="20">
        <f t="shared" si="1"/>
        <v>0</v>
      </c>
      <c r="O68" s="8"/>
      <c r="P68" s="8"/>
      <c r="Q68" s="4"/>
      <c r="R68" s="10">
        <f t="shared" si="2"/>
        <v>0</v>
      </c>
      <c r="S68" s="10"/>
      <c r="T68" s="10">
        <f t="shared" si="3"/>
        <v>0</v>
      </c>
      <c r="U68" s="24" t="str">
        <f t="shared" si="4"/>
        <v/>
      </c>
      <c r="V68" s="10" t="str">
        <f>IFERROR(N68*VLOOKUP(G68,FILAMENTI_DB!$A:$J,10,FALSE),"")</f>
        <v/>
      </c>
      <c r="W68" s="10" t="str">
        <f>IFERROR((VLOOKUP(F68,STAMPANTI_DB!$A:$C,3,FALSE)/1000)*O68*SETTINGS!$C$6,"")</f>
        <v/>
      </c>
      <c r="X68" s="10" t="str">
        <f>IFERROR(O68*VLOOKUP(F68,STAMPANTI_DB!$A:$I,9,FALSE),"")</f>
        <v/>
      </c>
      <c r="Y68" s="10">
        <f>IFERROR(P68*SETTINGS!$C$7,"")</f>
        <v>0</v>
      </c>
      <c r="Z68" s="10">
        <f>SETTINGS!$C$11</f>
        <v>0.5</v>
      </c>
      <c r="AA68" s="10">
        <f t="shared" si="5"/>
        <v>0.5</v>
      </c>
      <c r="AB68" s="10">
        <f>IFERROR(AA68*SETTINGS!$C$9,"")</f>
        <v>2.5000000000000001E-2</v>
      </c>
      <c r="AC68" s="10">
        <f>IFERROR((AA68+AB68)*SETTINGS!$C$10,"")</f>
        <v>2.6250000000000002E-2</v>
      </c>
      <c r="AD68" s="24"/>
    </row>
    <row r="69" spans="1:30" ht="16" customHeight="1" x14ac:dyDescent="0.2">
      <c r="A69" s="17"/>
      <c r="B69" s="18"/>
      <c r="C69" s="7"/>
      <c r="D69" s="7"/>
      <c r="E69" s="7"/>
      <c r="F69" s="7"/>
      <c r="G69" s="7"/>
      <c r="H69" s="18" t="str">
        <f>IFERROR(VLOOKUP(G69,FILAMENTI_DB!$A:$C,3,FALSE),"")</f>
        <v/>
      </c>
      <c r="I69" s="18" t="str">
        <f>IFERROR(VLOOKUP(G69,FILAMENTI_DB!$A:$E,4,FALSE),"")</f>
        <v/>
      </c>
      <c r="J69" s="8"/>
      <c r="K69" s="6"/>
      <c r="L69" s="6"/>
      <c r="M69" s="16">
        <f t="shared" ref="M69:M132" si="8">IFERROR(K69+L69,"")</f>
        <v>0</v>
      </c>
      <c r="N69" s="20">
        <f t="shared" ref="N69:N132" si="9">IFERROR(J69*M69,"")</f>
        <v>0</v>
      </c>
      <c r="O69" s="8"/>
      <c r="P69" s="8"/>
      <c r="Q69" s="4"/>
      <c r="R69" s="10">
        <f t="shared" ref="R69:R132" si="10">IFERROR(Q69*K69,"")</f>
        <v>0</v>
      </c>
      <c r="S69" s="10"/>
      <c r="T69" s="10">
        <f t="shared" ref="T69:T132" si="11">IFERROR(R69-S69,"")</f>
        <v>0</v>
      </c>
      <c r="U69" s="24" t="str">
        <f t="shared" ref="U69:U132" si="12">IFERROR(T69/R69,"")</f>
        <v/>
      </c>
      <c r="V69" s="10" t="str">
        <f>IFERROR(N69*VLOOKUP(G69,FILAMENTI_DB!$A:$J,10,FALSE),"")</f>
        <v/>
      </c>
      <c r="W69" s="10" t="str">
        <f>IFERROR((VLOOKUP(F69,STAMPANTI_DB!$A:$C,3,FALSE)/1000)*O69*SETTINGS!$C$6,"")</f>
        <v/>
      </c>
      <c r="X69" s="10" t="str">
        <f>IFERROR(O69*VLOOKUP(F69,STAMPANTI_DB!$A:$I,9,FALSE),"")</f>
        <v/>
      </c>
      <c r="Y69" s="10">
        <f>IFERROR(P69*SETTINGS!$C$7,"")</f>
        <v>0</v>
      </c>
      <c r="Z69" s="10">
        <f>SETTINGS!$C$11</f>
        <v>0.5</v>
      </c>
      <c r="AA69" s="10">
        <f t="shared" ref="AA69:AA132" si="13">IFERROR(SUM(V69:Z69),"")</f>
        <v>0.5</v>
      </c>
      <c r="AB69" s="10">
        <f>IFERROR(AA69*SETTINGS!$C$9,"")</f>
        <v>2.5000000000000001E-2</v>
      </c>
      <c r="AC69" s="10">
        <f>IFERROR((AA69+AB69)*SETTINGS!$C$10,"")</f>
        <v>2.6250000000000002E-2</v>
      </c>
      <c r="AD69" s="24"/>
    </row>
    <row r="70" spans="1:30" ht="16" customHeight="1" x14ac:dyDescent="0.2">
      <c r="A70" s="17"/>
      <c r="B70" s="18"/>
      <c r="C70" s="7"/>
      <c r="D70" s="7"/>
      <c r="E70" s="7"/>
      <c r="F70" s="7"/>
      <c r="G70" s="7"/>
      <c r="H70" s="18" t="str">
        <f>IFERROR(VLOOKUP(G70,FILAMENTI_DB!$A:$C,3,FALSE),"")</f>
        <v/>
      </c>
      <c r="I70" s="18" t="str">
        <f>IFERROR(VLOOKUP(G70,FILAMENTI_DB!$A:$E,4,FALSE),"")</f>
        <v/>
      </c>
      <c r="J70" s="8"/>
      <c r="K70" s="6"/>
      <c r="L70" s="6"/>
      <c r="M70" s="16">
        <f t="shared" si="8"/>
        <v>0</v>
      </c>
      <c r="N70" s="20">
        <f t="shared" si="9"/>
        <v>0</v>
      </c>
      <c r="O70" s="8"/>
      <c r="P70" s="8"/>
      <c r="Q70" s="4"/>
      <c r="R70" s="10">
        <f t="shared" si="10"/>
        <v>0</v>
      </c>
      <c r="S70" s="10"/>
      <c r="T70" s="10">
        <f t="shared" si="11"/>
        <v>0</v>
      </c>
      <c r="U70" s="24" t="str">
        <f t="shared" si="12"/>
        <v/>
      </c>
      <c r="V70" s="10" t="str">
        <f>IFERROR(N70*VLOOKUP(G70,FILAMENTI_DB!$A:$J,10,FALSE),"")</f>
        <v/>
      </c>
      <c r="W70" s="10" t="str">
        <f>IFERROR((VLOOKUP(F70,STAMPANTI_DB!$A:$C,3,FALSE)/1000)*O70*SETTINGS!$C$6,"")</f>
        <v/>
      </c>
      <c r="X70" s="10" t="str">
        <f>IFERROR(O70*VLOOKUP(F70,STAMPANTI_DB!$A:$I,9,FALSE),"")</f>
        <v/>
      </c>
      <c r="Y70" s="10">
        <f>IFERROR(P70*SETTINGS!$C$7,"")</f>
        <v>0</v>
      </c>
      <c r="Z70" s="10">
        <f>SETTINGS!$C$11</f>
        <v>0.5</v>
      </c>
      <c r="AA70" s="10">
        <f t="shared" si="13"/>
        <v>0.5</v>
      </c>
      <c r="AB70" s="10">
        <f>IFERROR(AA70*SETTINGS!$C$9,"")</f>
        <v>2.5000000000000001E-2</v>
      </c>
      <c r="AC70" s="10">
        <f>IFERROR((AA70+AB70)*SETTINGS!$C$10,"")</f>
        <v>2.6250000000000002E-2</v>
      </c>
      <c r="AD70" s="24"/>
    </row>
    <row r="71" spans="1:30" ht="16" customHeight="1" x14ac:dyDescent="0.2">
      <c r="A71" s="17"/>
      <c r="B71" s="18"/>
      <c r="C71" s="7"/>
      <c r="D71" s="7"/>
      <c r="E71" s="7"/>
      <c r="F71" s="7"/>
      <c r="G71" s="7"/>
      <c r="H71" s="18" t="str">
        <f>IFERROR(VLOOKUP(G71,FILAMENTI_DB!$A:$C,3,FALSE),"")</f>
        <v/>
      </c>
      <c r="I71" s="18" t="str">
        <f>IFERROR(VLOOKUP(G71,FILAMENTI_DB!$A:$E,4,FALSE),"")</f>
        <v/>
      </c>
      <c r="J71" s="8"/>
      <c r="K71" s="6"/>
      <c r="L71" s="6"/>
      <c r="M71" s="16">
        <f t="shared" si="8"/>
        <v>0</v>
      </c>
      <c r="N71" s="20">
        <f t="shared" si="9"/>
        <v>0</v>
      </c>
      <c r="O71" s="8"/>
      <c r="P71" s="8"/>
      <c r="Q71" s="4"/>
      <c r="R71" s="10">
        <f t="shared" si="10"/>
        <v>0</v>
      </c>
      <c r="S71" s="10"/>
      <c r="T71" s="10">
        <f t="shared" si="11"/>
        <v>0</v>
      </c>
      <c r="U71" s="24" t="str">
        <f t="shared" si="12"/>
        <v/>
      </c>
      <c r="V71" s="10" t="str">
        <f>IFERROR(N71*VLOOKUP(G71,FILAMENTI_DB!$A:$J,10,FALSE),"")</f>
        <v/>
      </c>
      <c r="W71" s="10" t="str">
        <f>IFERROR((VLOOKUP(F71,STAMPANTI_DB!$A:$C,3,FALSE)/1000)*O71*SETTINGS!$C$6,"")</f>
        <v/>
      </c>
      <c r="X71" s="10" t="str">
        <f>IFERROR(O71*VLOOKUP(F71,STAMPANTI_DB!$A:$I,9,FALSE),"")</f>
        <v/>
      </c>
      <c r="Y71" s="10">
        <f>IFERROR(P71*SETTINGS!$C$7,"")</f>
        <v>0</v>
      </c>
      <c r="Z71" s="10">
        <f>SETTINGS!$C$11</f>
        <v>0.5</v>
      </c>
      <c r="AA71" s="10">
        <f t="shared" si="13"/>
        <v>0.5</v>
      </c>
      <c r="AB71" s="10">
        <f>IFERROR(AA71*SETTINGS!$C$9,"")</f>
        <v>2.5000000000000001E-2</v>
      </c>
      <c r="AC71" s="10">
        <f>IFERROR((AA71+AB71)*SETTINGS!$C$10,"")</f>
        <v>2.6250000000000002E-2</v>
      </c>
      <c r="AD71" s="24"/>
    </row>
    <row r="72" spans="1:30" ht="16" customHeight="1" x14ac:dyDescent="0.2">
      <c r="A72" s="17"/>
      <c r="B72" s="18"/>
      <c r="C72" s="7"/>
      <c r="D72" s="7"/>
      <c r="E72" s="7"/>
      <c r="F72" s="7"/>
      <c r="G72" s="7"/>
      <c r="H72" s="18" t="str">
        <f>IFERROR(VLOOKUP(G72,FILAMENTI_DB!$A:$C,3,FALSE),"")</f>
        <v/>
      </c>
      <c r="I72" s="18" t="str">
        <f>IFERROR(VLOOKUP(G72,FILAMENTI_DB!$A:$E,4,FALSE),"")</f>
        <v/>
      </c>
      <c r="J72" s="8"/>
      <c r="K72" s="6"/>
      <c r="L72" s="6"/>
      <c r="M72" s="16">
        <f t="shared" si="8"/>
        <v>0</v>
      </c>
      <c r="N72" s="20">
        <f t="shared" si="9"/>
        <v>0</v>
      </c>
      <c r="O72" s="8"/>
      <c r="P72" s="8"/>
      <c r="Q72" s="4"/>
      <c r="R72" s="10">
        <f t="shared" si="10"/>
        <v>0</v>
      </c>
      <c r="S72" s="10"/>
      <c r="T72" s="10">
        <f t="shared" si="11"/>
        <v>0</v>
      </c>
      <c r="U72" s="24" t="str">
        <f t="shared" si="12"/>
        <v/>
      </c>
      <c r="V72" s="10" t="str">
        <f>IFERROR(N72*VLOOKUP(G72,FILAMENTI_DB!$A:$J,10,FALSE),"")</f>
        <v/>
      </c>
      <c r="W72" s="10" t="str">
        <f>IFERROR((VLOOKUP(F72,STAMPANTI_DB!$A:$C,3,FALSE)/1000)*O72*SETTINGS!$C$6,"")</f>
        <v/>
      </c>
      <c r="X72" s="10" t="str">
        <f>IFERROR(O72*VLOOKUP(F72,STAMPANTI_DB!$A:$I,9,FALSE),"")</f>
        <v/>
      </c>
      <c r="Y72" s="10">
        <f>IFERROR(P72*SETTINGS!$C$7,"")</f>
        <v>0</v>
      </c>
      <c r="Z72" s="10">
        <f>SETTINGS!$C$11</f>
        <v>0.5</v>
      </c>
      <c r="AA72" s="10">
        <f t="shared" si="13"/>
        <v>0.5</v>
      </c>
      <c r="AB72" s="10">
        <f>IFERROR(AA72*SETTINGS!$C$9,"")</f>
        <v>2.5000000000000001E-2</v>
      </c>
      <c r="AC72" s="10">
        <f>IFERROR((AA72+AB72)*SETTINGS!$C$10,"")</f>
        <v>2.6250000000000002E-2</v>
      </c>
      <c r="AD72" s="24"/>
    </row>
    <row r="73" spans="1:30" ht="16" customHeight="1" x14ac:dyDescent="0.2">
      <c r="A73" s="17"/>
      <c r="B73" s="18"/>
      <c r="C73" s="7"/>
      <c r="D73" s="7"/>
      <c r="E73" s="7"/>
      <c r="F73" s="7"/>
      <c r="G73" s="7"/>
      <c r="H73" s="18" t="str">
        <f>IFERROR(VLOOKUP(G73,FILAMENTI_DB!$A:$C,3,FALSE),"")</f>
        <v/>
      </c>
      <c r="I73" s="18" t="str">
        <f>IFERROR(VLOOKUP(G73,FILAMENTI_DB!$A:$E,4,FALSE),"")</f>
        <v/>
      </c>
      <c r="J73" s="8"/>
      <c r="K73" s="6"/>
      <c r="L73" s="6"/>
      <c r="M73" s="16">
        <f t="shared" si="8"/>
        <v>0</v>
      </c>
      <c r="N73" s="20">
        <f t="shared" si="9"/>
        <v>0</v>
      </c>
      <c r="O73" s="8"/>
      <c r="P73" s="8"/>
      <c r="Q73" s="4"/>
      <c r="R73" s="10">
        <f t="shared" si="10"/>
        <v>0</v>
      </c>
      <c r="S73" s="10"/>
      <c r="T73" s="10">
        <f t="shared" si="11"/>
        <v>0</v>
      </c>
      <c r="U73" s="24" t="str">
        <f t="shared" si="12"/>
        <v/>
      </c>
      <c r="V73" s="10" t="str">
        <f>IFERROR(N73*VLOOKUP(G73,FILAMENTI_DB!$A:$J,10,FALSE),"")</f>
        <v/>
      </c>
      <c r="W73" s="10" t="str">
        <f>IFERROR((VLOOKUP(F73,STAMPANTI_DB!$A:$C,3,FALSE)/1000)*O73*SETTINGS!$C$6,"")</f>
        <v/>
      </c>
      <c r="X73" s="10" t="str">
        <f>IFERROR(O73*VLOOKUP(F73,STAMPANTI_DB!$A:$I,9,FALSE),"")</f>
        <v/>
      </c>
      <c r="Y73" s="10">
        <f>IFERROR(P73*SETTINGS!$C$7,"")</f>
        <v>0</v>
      </c>
      <c r="Z73" s="10">
        <f>SETTINGS!$C$11</f>
        <v>0.5</v>
      </c>
      <c r="AA73" s="10">
        <f t="shared" si="13"/>
        <v>0.5</v>
      </c>
      <c r="AB73" s="10">
        <f>IFERROR(AA73*SETTINGS!$C$9,"")</f>
        <v>2.5000000000000001E-2</v>
      </c>
      <c r="AC73" s="10">
        <f>IFERROR((AA73+AB73)*SETTINGS!$C$10,"")</f>
        <v>2.6250000000000002E-2</v>
      </c>
      <c r="AD73" s="24"/>
    </row>
    <row r="74" spans="1:30" ht="16" customHeight="1" x14ac:dyDescent="0.2">
      <c r="A74" s="17"/>
      <c r="B74" s="18"/>
      <c r="C74" s="7"/>
      <c r="D74" s="7"/>
      <c r="E74" s="7"/>
      <c r="F74" s="7"/>
      <c r="G74" s="7"/>
      <c r="H74" s="18" t="str">
        <f>IFERROR(VLOOKUP(G74,FILAMENTI_DB!$A:$C,3,FALSE),"")</f>
        <v/>
      </c>
      <c r="I74" s="18" t="str">
        <f>IFERROR(VLOOKUP(G74,FILAMENTI_DB!$A:$E,4,FALSE),"")</f>
        <v/>
      </c>
      <c r="J74" s="8"/>
      <c r="K74" s="6"/>
      <c r="L74" s="6"/>
      <c r="M74" s="16">
        <f t="shared" si="8"/>
        <v>0</v>
      </c>
      <c r="N74" s="20">
        <f t="shared" si="9"/>
        <v>0</v>
      </c>
      <c r="O74" s="8"/>
      <c r="P74" s="8"/>
      <c r="Q74" s="4"/>
      <c r="R74" s="10">
        <f t="shared" si="10"/>
        <v>0</v>
      </c>
      <c r="S74" s="10"/>
      <c r="T74" s="10">
        <f t="shared" si="11"/>
        <v>0</v>
      </c>
      <c r="U74" s="24" t="str">
        <f t="shared" si="12"/>
        <v/>
      </c>
      <c r="V74" s="10" t="str">
        <f>IFERROR(N74*VLOOKUP(G74,FILAMENTI_DB!$A:$J,10,FALSE),"")</f>
        <v/>
      </c>
      <c r="W74" s="10" t="str">
        <f>IFERROR((VLOOKUP(F74,STAMPANTI_DB!$A:$C,3,FALSE)/1000)*O74*SETTINGS!$C$6,"")</f>
        <v/>
      </c>
      <c r="X74" s="10" t="str">
        <f>IFERROR(O74*VLOOKUP(F74,STAMPANTI_DB!$A:$I,9,FALSE),"")</f>
        <v/>
      </c>
      <c r="Y74" s="10">
        <f>IFERROR(P74*SETTINGS!$C$7,"")</f>
        <v>0</v>
      </c>
      <c r="Z74" s="10">
        <f>SETTINGS!$C$11</f>
        <v>0.5</v>
      </c>
      <c r="AA74" s="10">
        <f t="shared" si="13"/>
        <v>0.5</v>
      </c>
      <c r="AB74" s="10">
        <f>IFERROR(AA74*SETTINGS!$C$9,"")</f>
        <v>2.5000000000000001E-2</v>
      </c>
      <c r="AC74" s="10">
        <f>IFERROR((AA74+AB74)*SETTINGS!$C$10,"")</f>
        <v>2.6250000000000002E-2</v>
      </c>
      <c r="AD74" s="24"/>
    </row>
    <row r="75" spans="1:30" ht="16" customHeight="1" x14ac:dyDescent="0.2">
      <c r="A75" s="17"/>
      <c r="B75" s="18"/>
      <c r="C75" s="7"/>
      <c r="D75" s="7"/>
      <c r="E75" s="7"/>
      <c r="F75" s="7"/>
      <c r="G75" s="7"/>
      <c r="H75" s="18" t="str">
        <f>IFERROR(VLOOKUP(G75,FILAMENTI_DB!$A:$C,3,FALSE),"")</f>
        <v/>
      </c>
      <c r="I75" s="18" t="str">
        <f>IFERROR(VLOOKUP(G75,FILAMENTI_DB!$A:$E,4,FALSE),"")</f>
        <v/>
      </c>
      <c r="J75" s="8"/>
      <c r="K75" s="6"/>
      <c r="L75" s="6"/>
      <c r="M75" s="16">
        <f t="shared" si="8"/>
        <v>0</v>
      </c>
      <c r="N75" s="20">
        <f t="shared" si="9"/>
        <v>0</v>
      </c>
      <c r="O75" s="8"/>
      <c r="P75" s="8"/>
      <c r="Q75" s="4"/>
      <c r="R75" s="10">
        <f t="shared" si="10"/>
        <v>0</v>
      </c>
      <c r="S75" s="10"/>
      <c r="T75" s="10">
        <f t="shared" si="11"/>
        <v>0</v>
      </c>
      <c r="U75" s="24" t="str">
        <f t="shared" si="12"/>
        <v/>
      </c>
      <c r="V75" s="10" t="str">
        <f>IFERROR(N75*VLOOKUP(G75,FILAMENTI_DB!$A:$J,10,FALSE),"")</f>
        <v/>
      </c>
      <c r="W75" s="10" t="str">
        <f>IFERROR((VLOOKUP(F75,STAMPANTI_DB!$A:$C,3,FALSE)/1000)*O75*SETTINGS!$C$6,"")</f>
        <v/>
      </c>
      <c r="X75" s="10" t="str">
        <f>IFERROR(O75*VLOOKUP(F75,STAMPANTI_DB!$A:$I,9,FALSE),"")</f>
        <v/>
      </c>
      <c r="Y75" s="10">
        <f>IFERROR(P75*SETTINGS!$C$7,"")</f>
        <v>0</v>
      </c>
      <c r="Z75" s="10">
        <f>SETTINGS!$C$11</f>
        <v>0.5</v>
      </c>
      <c r="AA75" s="10">
        <f t="shared" si="13"/>
        <v>0.5</v>
      </c>
      <c r="AB75" s="10">
        <f>IFERROR(AA75*SETTINGS!$C$9,"")</f>
        <v>2.5000000000000001E-2</v>
      </c>
      <c r="AC75" s="10">
        <f>IFERROR((AA75+AB75)*SETTINGS!$C$10,"")</f>
        <v>2.6250000000000002E-2</v>
      </c>
      <c r="AD75" s="24"/>
    </row>
    <row r="76" spans="1:30" ht="16" customHeight="1" x14ac:dyDescent="0.2">
      <c r="A76" s="17"/>
      <c r="B76" s="18"/>
      <c r="C76" s="7"/>
      <c r="D76" s="7"/>
      <c r="E76" s="7"/>
      <c r="F76" s="7"/>
      <c r="G76" s="7"/>
      <c r="H76" s="18" t="str">
        <f>IFERROR(VLOOKUP(G76,FILAMENTI_DB!$A:$C,3,FALSE),"")</f>
        <v/>
      </c>
      <c r="I76" s="18" t="str">
        <f>IFERROR(VLOOKUP(G76,FILAMENTI_DB!$A:$E,4,FALSE),"")</f>
        <v/>
      </c>
      <c r="J76" s="8"/>
      <c r="K76" s="6"/>
      <c r="L76" s="6"/>
      <c r="M76" s="16">
        <f t="shared" si="8"/>
        <v>0</v>
      </c>
      <c r="N76" s="20">
        <f t="shared" si="9"/>
        <v>0</v>
      </c>
      <c r="O76" s="8"/>
      <c r="P76" s="8"/>
      <c r="Q76" s="4"/>
      <c r="R76" s="10">
        <f t="shared" si="10"/>
        <v>0</v>
      </c>
      <c r="S76" s="10"/>
      <c r="T76" s="10">
        <f t="shared" si="11"/>
        <v>0</v>
      </c>
      <c r="U76" s="24" t="str">
        <f t="shared" si="12"/>
        <v/>
      </c>
      <c r="V76" s="10" t="str">
        <f>IFERROR(N76*VLOOKUP(G76,FILAMENTI_DB!$A:$J,10,FALSE),"")</f>
        <v/>
      </c>
      <c r="W76" s="10" t="str">
        <f>IFERROR((VLOOKUP(F76,STAMPANTI_DB!$A:$C,3,FALSE)/1000)*O76*SETTINGS!$C$6,"")</f>
        <v/>
      </c>
      <c r="X76" s="10" t="str">
        <f>IFERROR(O76*VLOOKUP(F76,STAMPANTI_DB!$A:$I,9,FALSE),"")</f>
        <v/>
      </c>
      <c r="Y76" s="10">
        <f>IFERROR(P76*SETTINGS!$C$7,"")</f>
        <v>0</v>
      </c>
      <c r="Z76" s="10">
        <f>SETTINGS!$C$11</f>
        <v>0.5</v>
      </c>
      <c r="AA76" s="10">
        <f t="shared" si="13"/>
        <v>0.5</v>
      </c>
      <c r="AB76" s="10">
        <f>IFERROR(AA76*SETTINGS!$C$9,"")</f>
        <v>2.5000000000000001E-2</v>
      </c>
      <c r="AC76" s="10">
        <f>IFERROR((AA76+AB76)*SETTINGS!$C$10,"")</f>
        <v>2.6250000000000002E-2</v>
      </c>
      <c r="AD76" s="24"/>
    </row>
    <row r="77" spans="1:30" ht="16" customHeight="1" x14ac:dyDescent="0.2">
      <c r="A77" s="17"/>
      <c r="B77" s="18"/>
      <c r="C77" s="7"/>
      <c r="D77" s="7"/>
      <c r="E77" s="7"/>
      <c r="F77" s="7"/>
      <c r="G77" s="7"/>
      <c r="H77" s="18" t="str">
        <f>IFERROR(VLOOKUP(G77,FILAMENTI_DB!$A:$C,3,FALSE),"")</f>
        <v/>
      </c>
      <c r="I77" s="18" t="str">
        <f>IFERROR(VLOOKUP(G77,FILAMENTI_DB!$A:$E,4,FALSE),"")</f>
        <v/>
      </c>
      <c r="J77" s="8"/>
      <c r="K77" s="6"/>
      <c r="L77" s="6"/>
      <c r="M77" s="16">
        <f t="shared" si="8"/>
        <v>0</v>
      </c>
      <c r="N77" s="20">
        <f t="shared" si="9"/>
        <v>0</v>
      </c>
      <c r="O77" s="8"/>
      <c r="P77" s="8"/>
      <c r="Q77" s="4"/>
      <c r="R77" s="10">
        <f t="shared" si="10"/>
        <v>0</v>
      </c>
      <c r="S77" s="10"/>
      <c r="T77" s="10">
        <f t="shared" si="11"/>
        <v>0</v>
      </c>
      <c r="U77" s="24" t="str">
        <f t="shared" si="12"/>
        <v/>
      </c>
      <c r="V77" s="10" t="str">
        <f>IFERROR(N77*VLOOKUP(G77,FILAMENTI_DB!$A:$J,10,FALSE),"")</f>
        <v/>
      </c>
      <c r="W77" s="10" t="str">
        <f>IFERROR((VLOOKUP(F77,STAMPANTI_DB!$A:$C,3,FALSE)/1000)*O77*SETTINGS!$C$6,"")</f>
        <v/>
      </c>
      <c r="X77" s="10" t="str">
        <f>IFERROR(O77*VLOOKUP(F77,STAMPANTI_DB!$A:$I,9,FALSE),"")</f>
        <v/>
      </c>
      <c r="Y77" s="10">
        <f>IFERROR(P77*SETTINGS!$C$7,"")</f>
        <v>0</v>
      </c>
      <c r="Z77" s="10">
        <f>SETTINGS!$C$11</f>
        <v>0.5</v>
      </c>
      <c r="AA77" s="10">
        <f t="shared" si="13"/>
        <v>0.5</v>
      </c>
      <c r="AB77" s="10">
        <f>IFERROR(AA77*SETTINGS!$C$9,"")</f>
        <v>2.5000000000000001E-2</v>
      </c>
      <c r="AC77" s="10">
        <f>IFERROR((AA77+AB77)*SETTINGS!$C$10,"")</f>
        <v>2.6250000000000002E-2</v>
      </c>
      <c r="AD77" s="24"/>
    </row>
    <row r="78" spans="1:30" ht="16" customHeight="1" x14ac:dyDescent="0.2">
      <c r="A78" s="17"/>
      <c r="B78" s="18"/>
      <c r="C78" s="7"/>
      <c r="D78" s="7"/>
      <c r="E78" s="7"/>
      <c r="F78" s="7"/>
      <c r="G78" s="7"/>
      <c r="H78" s="18" t="str">
        <f>IFERROR(VLOOKUP(G78,FILAMENTI_DB!$A:$C,3,FALSE),"")</f>
        <v/>
      </c>
      <c r="I78" s="18" t="str">
        <f>IFERROR(VLOOKUP(G78,FILAMENTI_DB!$A:$E,4,FALSE),"")</f>
        <v/>
      </c>
      <c r="J78" s="8"/>
      <c r="K78" s="6"/>
      <c r="L78" s="6"/>
      <c r="M78" s="16">
        <f t="shared" si="8"/>
        <v>0</v>
      </c>
      <c r="N78" s="20">
        <f t="shared" si="9"/>
        <v>0</v>
      </c>
      <c r="O78" s="8"/>
      <c r="P78" s="8"/>
      <c r="Q78" s="4"/>
      <c r="R78" s="10">
        <f t="shared" si="10"/>
        <v>0</v>
      </c>
      <c r="S78" s="10"/>
      <c r="T78" s="10">
        <f t="shared" si="11"/>
        <v>0</v>
      </c>
      <c r="U78" s="24" t="str">
        <f t="shared" si="12"/>
        <v/>
      </c>
      <c r="V78" s="10" t="str">
        <f>IFERROR(N78*VLOOKUP(G78,FILAMENTI_DB!$A:$J,10,FALSE),"")</f>
        <v/>
      </c>
      <c r="W78" s="10" t="str">
        <f>IFERROR((VLOOKUP(F78,STAMPANTI_DB!$A:$C,3,FALSE)/1000)*O78*SETTINGS!$C$6,"")</f>
        <v/>
      </c>
      <c r="X78" s="10" t="str">
        <f>IFERROR(O78*VLOOKUP(F78,STAMPANTI_DB!$A:$I,9,FALSE),"")</f>
        <v/>
      </c>
      <c r="Y78" s="10">
        <f>IFERROR(P78*SETTINGS!$C$7,"")</f>
        <v>0</v>
      </c>
      <c r="Z78" s="10">
        <f>SETTINGS!$C$11</f>
        <v>0.5</v>
      </c>
      <c r="AA78" s="10">
        <f t="shared" si="13"/>
        <v>0.5</v>
      </c>
      <c r="AB78" s="10">
        <f>IFERROR(AA78*SETTINGS!$C$9,"")</f>
        <v>2.5000000000000001E-2</v>
      </c>
      <c r="AC78" s="10">
        <f>IFERROR((AA78+AB78)*SETTINGS!$C$10,"")</f>
        <v>2.6250000000000002E-2</v>
      </c>
      <c r="AD78" s="24"/>
    </row>
    <row r="79" spans="1:30" ht="16" customHeight="1" x14ac:dyDescent="0.2">
      <c r="A79" s="17"/>
      <c r="B79" s="18"/>
      <c r="C79" s="7"/>
      <c r="D79" s="7"/>
      <c r="E79" s="7"/>
      <c r="F79" s="7"/>
      <c r="G79" s="7"/>
      <c r="H79" s="18" t="str">
        <f>IFERROR(VLOOKUP(G79,FILAMENTI_DB!$A:$C,3,FALSE),"")</f>
        <v/>
      </c>
      <c r="I79" s="18" t="str">
        <f>IFERROR(VLOOKUP(G79,FILAMENTI_DB!$A:$E,4,FALSE),"")</f>
        <v/>
      </c>
      <c r="J79" s="8"/>
      <c r="K79" s="6"/>
      <c r="L79" s="6"/>
      <c r="M79" s="16">
        <f t="shared" si="8"/>
        <v>0</v>
      </c>
      <c r="N79" s="20">
        <f t="shared" si="9"/>
        <v>0</v>
      </c>
      <c r="O79" s="8"/>
      <c r="P79" s="8"/>
      <c r="Q79" s="4"/>
      <c r="R79" s="10">
        <f t="shared" si="10"/>
        <v>0</v>
      </c>
      <c r="S79" s="10"/>
      <c r="T79" s="10">
        <f t="shared" si="11"/>
        <v>0</v>
      </c>
      <c r="U79" s="24" t="str">
        <f t="shared" si="12"/>
        <v/>
      </c>
      <c r="V79" s="10" t="str">
        <f>IFERROR(N79*VLOOKUP(G79,FILAMENTI_DB!$A:$J,10,FALSE),"")</f>
        <v/>
      </c>
      <c r="W79" s="10" t="str">
        <f>IFERROR((VLOOKUP(F79,STAMPANTI_DB!$A:$C,3,FALSE)/1000)*O79*SETTINGS!$C$6,"")</f>
        <v/>
      </c>
      <c r="X79" s="10" t="str">
        <f>IFERROR(O79*VLOOKUP(F79,STAMPANTI_DB!$A:$I,9,FALSE),"")</f>
        <v/>
      </c>
      <c r="Y79" s="10">
        <f>IFERROR(P79*SETTINGS!$C$7,"")</f>
        <v>0</v>
      </c>
      <c r="Z79" s="10">
        <f>SETTINGS!$C$11</f>
        <v>0.5</v>
      </c>
      <c r="AA79" s="10">
        <f t="shared" si="13"/>
        <v>0.5</v>
      </c>
      <c r="AB79" s="10">
        <f>IFERROR(AA79*SETTINGS!$C$9,"")</f>
        <v>2.5000000000000001E-2</v>
      </c>
      <c r="AC79" s="10">
        <f>IFERROR((AA79+AB79)*SETTINGS!$C$10,"")</f>
        <v>2.6250000000000002E-2</v>
      </c>
      <c r="AD79" s="24"/>
    </row>
    <row r="80" spans="1:30" ht="16" customHeight="1" x14ac:dyDescent="0.2">
      <c r="A80" s="17"/>
      <c r="B80" s="18"/>
      <c r="C80" s="7"/>
      <c r="D80" s="7"/>
      <c r="E80" s="7"/>
      <c r="F80" s="7"/>
      <c r="G80" s="7"/>
      <c r="H80" s="18" t="str">
        <f>IFERROR(VLOOKUP(G80,FILAMENTI_DB!$A:$C,3,FALSE),"")</f>
        <v/>
      </c>
      <c r="I80" s="18" t="str">
        <f>IFERROR(VLOOKUP(G80,FILAMENTI_DB!$A:$E,4,FALSE),"")</f>
        <v/>
      </c>
      <c r="J80" s="8"/>
      <c r="K80" s="6"/>
      <c r="L80" s="6"/>
      <c r="M80" s="16">
        <f t="shared" si="8"/>
        <v>0</v>
      </c>
      <c r="N80" s="20">
        <f t="shared" si="9"/>
        <v>0</v>
      </c>
      <c r="O80" s="8"/>
      <c r="P80" s="8"/>
      <c r="Q80" s="4"/>
      <c r="R80" s="10">
        <f t="shared" si="10"/>
        <v>0</v>
      </c>
      <c r="S80" s="10"/>
      <c r="T80" s="10">
        <f t="shared" si="11"/>
        <v>0</v>
      </c>
      <c r="U80" s="24" t="str">
        <f t="shared" si="12"/>
        <v/>
      </c>
      <c r="V80" s="10" t="str">
        <f>IFERROR(N80*VLOOKUP(G80,FILAMENTI_DB!$A:$J,10,FALSE),"")</f>
        <v/>
      </c>
      <c r="W80" s="10" t="str">
        <f>IFERROR((VLOOKUP(F80,STAMPANTI_DB!$A:$C,3,FALSE)/1000)*O80*SETTINGS!$C$6,"")</f>
        <v/>
      </c>
      <c r="X80" s="10" t="str">
        <f>IFERROR(O80*VLOOKUP(F80,STAMPANTI_DB!$A:$I,9,FALSE),"")</f>
        <v/>
      </c>
      <c r="Y80" s="10">
        <f>IFERROR(P80*SETTINGS!$C$7,"")</f>
        <v>0</v>
      </c>
      <c r="Z80" s="10">
        <f>SETTINGS!$C$11</f>
        <v>0.5</v>
      </c>
      <c r="AA80" s="10">
        <f t="shared" si="13"/>
        <v>0.5</v>
      </c>
      <c r="AB80" s="10">
        <f>IFERROR(AA80*SETTINGS!$C$9,"")</f>
        <v>2.5000000000000001E-2</v>
      </c>
      <c r="AC80" s="10">
        <f>IFERROR((AA80+AB80)*SETTINGS!$C$10,"")</f>
        <v>2.6250000000000002E-2</v>
      </c>
      <c r="AD80" s="24"/>
    </row>
    <row r="81" spans="1:30" ht="16" customHeight="1" x14ac:dyDescent="0.2">
      <c r="A81" s="17"/>
      <c r="B81" s="18"/>
      <c r="C81" s="7"/>
      <c r="D81" s="7"/>
      <c r="E81" s="7"/>
      <c r="F81" s="7"/>
      <c r="G81" s="7"/>
      <c r="H81" s="18" t="str">
        <f>IFERROR(VLOOKUP(G81,FILAMENTI_DB!$A:$C,3,FALSE),"")</f>
        <v/>
      </c>
      <c r="I81" s="18" t="str">
        <f>IFERROR(VLOOKUP(G81,FILAMENTI_DB!$A:$E,4,FALSE),"")</f>
        <v/>
      </c>
      <c r="J81" s="8"/>
      <c r="K81" s="6"/>
      <c r="L81" s="6"/>
      <c r="M81" s="16">
        <f t="shared" si="8"/>
        <v>0</v>
      </c>
      <c r="N81" s="20">
        <f t="shared" si="9"/>
        <v>0</v>
      </c>
      <c r="O81" s="8"/>
      <c r="P81" s="8"/>
      <c r="Q81" s="4"/>
      <c r="R81" s="10">
        <f t="shared" si="10"/>
        <v>0</v>
      </c>
      <c r="S81" s="10"/>
      <c r="T81" s="10">
        <f t="shared" si="11"/>
        <v>0</v>
      </c>
      <c r="U81" s="24" t="str">
        <f t="shared" si="12"/>
        <v/>
      </c>
      <c r="V81" s="10" t="str">
        <f>IFERROR(N81*VLOOKUP(G81,FILAMENTI_DB!$A:$J,10,FALSE),"")</f>
        <v/>
      </c>
      <c r="W81" s="10" t="str">
        <f>IFERROR((VLOOKUP(F81,STAMPANTI_DB!$A:$C,3,FALSE)/1000)*O81*SETTINGS!$C$6,"")</f>
        <v/>
      </c>
      <c r="X81" s="10" t="str">
        <f>IFERROR(O81*VLOOKUP(F81,STAMPANTI_DB!$A:$I,9,FALSE),"")</f>
        <v/>
      </c>
      <c r="Y81" s="10">
        <f>IFERROR(P81*SETTINGS!$C$7,"")</f>
        <v>0</v>
      </c>
      <c r="Z81" s="10">
        <f>SETTINGS!$C$11</f>
        <v>0.5</v>
      </c>
      <c r="AA81" s="10">
        <f t="shared" si="13"/>
        <v>0.5</v>
      </c>
      <c r="AB81" s="10">
        <f>IFERROR(AA81*SETTINGS!$C$9,"")</f>
        <v>2.5000000000000001E-2</v>
      </c>
      <c r="AC81" s="10">
        <f>IFERROR((AA81+AB81)*SETTINGS!$C$10,"")</f>
        <v>2.6250000000000002E-2</v>
      </c>
      <c r="AD81" s="24"/>
    </row>
    <row r="82" spans="1:30" ht="16" customHeight="1" x14ac:dyDescent="0.2">
      <c r="A82" s="17"/>
      <c r="B82" s="18"/>
      <c r="C82" s="7"/>
      <c r="D82" s="7"/>
      <c r="E82" s="7"/>
      <c r="F82" s="7"/>
      <c r="G82" s="7"/>
      <c r="H82" s="18" t="str">
        <f>IFERROR(VLOOKUP(G82,FILAMENTI_DB!$A:$C,3,FALSE),"")</f>
        <v/>
      </c>
      <c r="I82" s="18" t="str">
        <f>IFERROR(VLOOKUP(G82,FILAMENTI_DB!$A:$E,4,FALSE),"")</f>
        <v/>
      </c>
      <c r="J82" s="8"/>
      <c r="K82" s="6"/>
      <c r="L82" s="6"/>
      <c r="M82" s="16">
        <f t="shared" si="8"/>
        <v>0</v>
      </c>
      <c r="N82" s="20">
        <f t="shared" si="9"/>
        <v>0</v>
      </c>
      <c r="O82" s="8"/>
      <c r="P82" s="8"/>
      <c r="Q82" s="4"/>
      <c r="R82" s="10">
        <f t="shared" si="10"/>
        <v>0</v>
      </c>
      <c r="S82" s="10"/>
      <c r="T82" s="10">
        <f t="shared" si="11"/>
        <v>0</v>
      </c>
      <c r="U82" s="24" t="str">
        <f t="shared" si="12"/>
        <v/>
      </c>
      <c r="V82" s="10" t="str">
        <f>IFERROR(N82*VLOOKUP(G82,FILAMENTI_DB!$A:$J,10,FALSE),"")</f>
        <v/>
      </c>
      <c r="W82" s="10" t="str">
        <f>IFERROR((VLOOKUP(F82,STAMPANTI_DB!$A:$C,3,FALSE)/1000)*O82*SETTINGS!$C$6,"")</f>
        <v/>
      </c>
      <c r="X82" s="10" t="str">
        <f>IFERROR(O82*VLOOKUP(F82,STAMPANTI_DB!$A:$I,9,FALSE),"")</f>
        <v/>
      </c>
      <c r="Y82" s="10">
        <f>IFERROR(P82*SETTINGS!$C$7,"")</f>
        <v>0</v>
      </c>
      <c r="Z82" s="10">
        <f>SETTINGS!$C$11</f>
        <v>0.5</v>
      </c>
      <c r="AA82" s="10">
        <f t="shared" si="13"/>
        <v>0.5</v>
      </c>
      <c r="AB82" s="10">
        <f>IFERROR(AA82*SETTINGS!$C$9,"")</f>
        <v>2.5000000000000001E-2</v>
      </c>
      <c r="AC82" s="10">
        <f>IFERROR((AA82+AB82)*SETTINGS!$C$10,"")</f>
        <v>2.6250000000000002E-2</v>
      </c>
      <c r="AD82" s="24"/>
    </row>
    <row r="83" spans="1:30" ht="16" customHeight="1" x14ac:dyDescent="0.2">
      <c r="A83" s="17"/>
      <c r="B83" s="18"/>
      <c r="C83" s="7"/>
      <c r="D83" s="7"/>
      <c r="E83" s="7"/>
      <c r="F83" s="7"/>
      <c r="G83" s="7"/>
      <c r="H83" s="18" t="str">
        <f>IFERROR(VLOOKUP(G83,FILAMENTI_DB!$A:$C,3,FALSE),"")</f>
        <v/>
      </c>
      <c r="I83" s="18" t="str">
        <f>IFERROR(VLOOKUP(G83,FILAMENTI_DB!$A:$E,4,FALSE),"")</f>
        <v/>
      </c>
      <c r="J83" s="8"/>
      <c r="K83" s="6"/>
      <c r="L83" s="6"/>
      <c r="M83" s="16">
        <f t="shared" si="8"/>
        <v>0</v>
      </c>
      <c r="N83" s="20">
        <f t="shared" si="9"/>
        <v>0</v>
      </c>
      <c r="O83" s="8"/>
      <c r="P83" s="8"/>
      <c r="Q83" s="4"/>
      <c r="R83" s="10">
        <f t="shared" si="10"/>
        <v>0</v>
      </c>
      <c r="S83" s="10"/>
      <c r="T83" s="10">
        <f t="shared" si="11"/>
        <v>0</v>
      </c>
      <c r="U83" s="24" t="str">
        <f t="shared" si="12"/>
        <v/>
      </c>
      <c r="V83" s="10" t="str">
        <f>IFERROR(N83*VLOOKUP(G83,FILAMENTI_DB!$A:$J,10,FALSE),"")</f>
        <v/>
      </c>
      <c r="W83" s="10" t="str">
        <f>IFERROR((VLOOKUP(F83,STAMPANTI_DB!$A:$C,3,FALSE)/1000)*O83*SETTINGS!$C$6,"")</f>
        <v/>
      </c>
      <c r="X83" s="10" t="str">
        <f>IFERROR(O83*VLOOKUP(F83,STAMPANTI_DB!$A:$I,9,FALSE),"")</f>
        <v/>
      </c>
      <c r="Y83" s="10">
        <f>IFERROR(P83*SETTINGS!$C$7,"")</f>
        <v>0</v>
      </c>
      <c r="Z83" s="10">
        <f>SETTINGS!$C$11</f>
        <v>0.5</v>
      </c>
      <c r="AA83" s="10">
        <f t="shared" si="13"/>
        <v>0.5</v>
      </c>
      <c r="AB83" s="10">
        <f>IFERROR(AA83*SETTINGS!$C$9,"")</f>
        <v>2.5000000000000001E-2</v>
      </c>
      <c r="AC83" s="10">
        <f>IFERROR((AA83+AB83)*SETTINGS!$C$10,"")</f>
        <v>2.6250000000000002E-2</v>
      </c>
      <c r="AD83" s="24"/>
    </row>
    <row r="84" spans="1:30" ht="16" customHeight="1" x14ac:dyDescent="0.2">
      <c r="A84" s="17"/>
      <c r="B84" s="18"/>
      <c r="C84" s="7"/>
      <c r="D84" s="7"/>
      <c r="E84" s="7"/>
      <c r="F84" s="7"/>
      <c r="G84" s="7"/>
      <c r="H84" s="18" t="str">
        <f>IFERROR(VLOOKUP(G84,FILAMENTI_DB!$A:$C,3,FALSE),"")</f>
        <v/>
      </c>
      <c r="I84" s="18" t="str">
        <f>IFERROR(VLOOKUP(G84,FILAMENTI_DB!$A:$E,4,FALSE),"")</f>
        <v/>
      </c>
      <c r="J84" s="8"/>
      <c r="K84" s="6"/>
      <c r="L84" s="6"/>
      <c r="M84" s="16">
        <f t="shared" si="8"/>
        <v>0</v>
      </c>
      <c r="N84" s="20">
        <f t="shared" si="9"/>
        <v>0</v>
      </c>
      <c r="O84" s="8"/>
      <c r="P84" s="8"/>
      <c r="Q84" s="4"/>
      <c r="R84" s="10">
        <f t="shared" si="10"/>
        <v>0</v>
      </c>
      <c r="S84" s="10"/>
      <c r="T84" s="10">
        <f t="shared" si="11"/>
        <v>0</v>
      </c>
      <c r="U84" s="24" t="str">
        <f t="shared" si="12"/>
        <v/>
      </c>
      <c r="V84" s="10" t="str">
        <f>IFERROR(N84*VLOOKUP(G84,FILAMENTI_DB!$A:$J,10,FALSE),"")</f>
        <v/>
      </c>
      <c r="W84" s="10" t="str">
        <f>IFERROR((VLOOKUP(F84,STAMPANTI_DB!$A:$C,3,FALSE)/1000)*O84*SETTINGS!$C$6,"")</f>
        <v/>
      </c>
      <c r="X84" s="10" t="str">
        <f>IFERROR(O84*VLOOKUP(F84,STAMPANTI_DB!$A:$I,9,FALSE),"")</f>
        <v/>
      </c>
      <c r="Y84" s="10">
        <f>IFERROR(P84*SETTINGS!$C$7,"")</f>
        <v>0</v>
      </c>
      <c r="Z84" s="10">
        <f>SETTINGS!$C$11</f>
        <v>0.5</v>
      </c>
      <c r="AA84" s="10">
        <f t="shared" si="13"/>
        <v>0.5</v>
      </c>
      <c r="AB84" s="10">
        <f>IFERROR(AA84*SETTINGS!$C$9,"")</f>
        <v>2.5000000000000001E-2</v>
      </c>
      <c r="AC84" s="10">
        <f>IFERROR((AA84+AB84)*SETTINGS!$C$10,"")</f>
        <v>2.6250000000000002E-2</v>
      </c>
      <c r="AD84" s="24"/>
    </row>
    <row r="85" spans="1:30" ht="16" customHeight="1" x14ac:dyDescent="0.2">
      <c r="A85" s="17"/>
      <c r="B85" s="18"/>
      <c r="C85" s="7"/>
      <c r="D85" s="7"/>
      <c r="E85" s="7"/>
      <c r="F85" s="7"/>
      <c r="G85" s="7"/>
      <c r="H85" s="18" t="str">
        <f>IFERROR(VLOOKUP(G85,FILAMENTI_DB!$A:$C,3,FALSE),"")</f>
        <v/>
      </c>
      <c r="I85" s="18" t="str">
        <f>IFERROR(VLOOKUP(G85,FILAMENTI_DB!$A:$E,4,FALSE),"")</f>
        <v/>
      </c>
      <c r="J85" s="8"/>
      <c r="K85" s="6"/>
      <c r="L85" s="6"/>
      <c r="M85" s="16">
        <f t="shared" si="8"/>
        <v>0</v>
      </c>
      <c r="N85" s="20">
        <f t="shared" si="9"/>
        <v>0</v>
      </c>
      <c r="O85" s="8"/>
      <c r="P85" s="8"/>
      <c r="Q85" s="4"/>
      <c r="R85" s="10">
        <f t="shared" si="10"/>
        <v>0</v>
      </c>
      <c r="S85" s="10"/>
      <c r="T85" s="10">
        <f t="shared" si="11"/>
        <v>0</v>
      </c>
      <c r="U85" s="24" t="str">
        <f t="shared" si="12"/>
        <v/>
      </c>
      <c r="V85" s="10" t="str">
        <f>IFERROR(N85*VLOOKUP(G85,FILAMENTI_DB!$A:$J,10,FALSE),"")</f>
        <v/>
      </c>
      <c r="W85" s="10" t="str">
        <f>IFERROR((VLOOKUP(F85,STAMPANTI_DB!$A:$C,3,FALSE)/1000)*O85*SETTINGS!$C$6,"")</f>
        <v/>
      </c>
      <c r="X85" s="10" t="str">
        <f>IFERROR(O85*VLOOKUP(F85,STAMPANTI_DB!$A:$I,9,FALSE),"")</f>
        <v/>
      </c>
      <c r="Y85" s="10">
        <f>IFERROR(P85*SETTINGS!$C$7,"")</f>
        <v>0</v>
      </c>
      <c r="Z85" s="10">
        <f>SETTINGS!$C$11</f>
        <v>0.5</v>
      </c>
      <c r="AA85" s="10">
        <f t="shared" si="13"/>
        <v>0.5</v>
      </c>
      <c r="AB85" s="10">
        <f>IFERROR(AA85*SETTINGS!$C$9,"")</f>
        <v>2.5000000000000001E-2</v>
      </c>
      <c r="AC85" s="10">
        <f>IFERROR((AA85+AB85)*SETTINGS!$C$10,"")</f>
        <v>2.6250000000000002E-2</v>
      </c>
      <c r="AD85" s="24"/>
    </row>
    <row r="86" spans="1:30" ht="16" customHeight="1" x14ac:dyDescent="0.2">
      <c r="A86" s="17"/>
      <c r="B86" s="18"/>
      <c r="C86" s="7"/>
      <c r="D86" s="7"/>
      <c r="E86" s="7"/>
      <c r="F86" s="7"/>
      <c r="G86" s="7"/>
      <c r="H86" s="18" t="str">
        <f>IFERROR(VLOOKUP(G86,FILAMENTI_DB!$A:$C,3,FALSE),"")</f>
        <v/>
      </c>
      <c r="I86" s="18" t="str">
        <f>IFERROR(VLOOKUP(G86,FILAMENTI_DB!$A:$E,4,FALSE),"")</f>
        <v/>
      </c>
      <c r="J86" s="8"/>
      <c r="K86" s="6"/>
      <c r="L86" s="6"/>
      <c r="M86" s="16">
        <f t="shared" si="8"/>
        <v>0</v>
      </c>
      <c r="N86" s="20">
        <f t="shared" si="9"/>
        <v>0</v>
      </c>
      <c r="O86" s="8"/>
      <c r="P86" s="8"/>
      <c r="Q86" s="4"/>
      <c r="R86" s="10">
        <f t="shared" si="10"/>
        <v>0</v>
      </c>
      <c r="S86" s="10"/>
      <c r="T86" s="10">
        <f t="shared" si="11"/>
        <v>0</v>
      </c>
      <c r="U86" s="24" t="str">
        <f t="shared" si="12"/>
        <v/>
      </c>
      <c r="V86" s="10" t="str">
        <f>IFERROR(N86*VLOOKUP(G86,FILAMENTI_DB!$A:$J,10,FALSE),"")</f>
        <v/>
      </c>
      <c r="W86" s="10" t="str">
        <f>IFERROR((VLOOKUP(F86,STAMPANTI_DB!$A:$C,3,FALSE)/1000)*O86*SETTINGS!$C$6,"")</f>
        <v/>
      </c>
      <c r="X86" s="10" t="str">
        <f>IFERROR(O86*VLOOKUP(F86,STAMPANTI_DB!$A:$I,9,FALSE),"")</f>
        <v/>
      </c>
      <c r="Y86" s="10">
        <f>IFERROR(P86*SETTINGS!$C$7,"")</f>
        <v>0</v>
      </c>
      <c r="Z86" s="10">
        <f>SETTINGS!$C$11</f>
        <v>0.5</v>
      </c>
      <c r="AA86" s="10">
        <f t="shared" si="13"/>
        <v>0.5</v>
      </c>
      <c r="AB86" s="10">
        <f>IFERROR(AA86*SETTINGS!$C$9,"")</f>
        <v>2.5000000000000001E-2</v>
      </c>
      <c r="AC86" s="10">
        <f>IFERROR((AA86+AB86)*SETTINGS!$C$10,"")</f>
        <v>2.6250000000000002E-2</v>
      </c>
      <c r="AD86" s="24"/>
    </row>
    <row r="87" spans="1:30" ht="16" customHeight="1" x14ac:dyDescent="0.2">
      <c r="A87" s="17"/>
      <c r="B87" s="18"/>
      <c r="C87" s="7"/>
      <c r="D87" s="7"/>
      <c r="E87" s="7"/>
      <c r="F87" s="7"/>
      <c r="G87" s="7"/>
      <c r="H87" s="18" t="str">
        <f>IFERROR(VLOOKUP(G87,FILAMENTI_DB!$A:$C,3,FALSE),"")</f>
        <v/>
      </c>
      <c r="I87" s="18" t="str">
        <f>IFERROR(VLOOKUP(G87,FILAMENTI_DB!$A:$E,4,FALSE),"")</f>
        <v/>
      </c>
      <c r="J87" s="8"/>
      <c r="K87" s="6"/>
      <c r="L87" s="6"/>
      <c r="M87" s="16">
        <f t="shared" si="8"/>
        <v>0</v>
      </c>
      <c r="N87" s="20">
        <f t="shared" si="9"/>
        <v>0</v>
      </c>
      <c r="O87" s="8"/>
      <c r="P87" s="8"/>
      <c r="Q87" s="4"/>
      <c r="R87" s="10">
        <f t="shared" si="10"/>
        <v>0</v>
      </c>
      <c r="S87" s="10"/>
      <c r="T87" s="10">
        <f t="shared" si="11"/>
        <v>0</v>
      </c>
      <c r="U87" s="24" t="str">
        <f t="shared" si="12"/>
        <v/>
      </c>
      <c r="V87" s="10" t="str">
        <f>IFERROR(N87*VLOOKUP(G87,FILAMENTI_DB!$A:$J,10,FALSE),"")</f>
        <v/>
      </c>
      <c r="W87" s="10" t="str">
        <f>IFERROR((VLOOKUP(F87,STAMPANTI_DB!$A:$C,3,FALSE)/1000)*O87*SETTINGS!$C$6,"")</f>
        <v/>
      </c>
      <c r="X87" s="10" t="str">
        <f>IFERROR(O87*VLOOKUP(F87,STAMPANTI_DB!$A:$I,9,FALSE),"")</f>
        <v/>
      </c>
      <c r="Y87" s="10">
        <f>IFERROR(P87*SETTINGS!$C$7,"")</f>
        <v>0</v>
      </c>
      <c r="Z87" s="10">
        <f>SETTINGS!$C$11</f>
        <v>0.5</v>
      </c>
      <c r="AA87" s="10">
        <f t="shared" si="13"/>
        <v>0.5</v>
      </c>
      <c r="AB87" s="10">
        <f>IFERROR(AA87*SETTINGS!$C$9,"")</f>
        <v>2.5000000000000001E-2</v>
      </c>
      <c r="AC87" s="10">
        <f>IFERROR((AA87+AB87)*SETTINGS!$C$10,"")</f>
        <v>2.6250000000000002E-2</v>
      </c>
      <c r="AD87" s="24"/>
    </row>
    <row r="88" spans="1:30" ht="16" customHeight="1" x14ac:dyDescent="0.2">
      <c r="A88" s="17"/>
      <c r="B88" s="18"/>
      <c r="C88" s="7"/>
      <c r="D88" s="7"/>
      <c r="E88" s="7"/>
      <c r="F88" s="7"/>
      <c r="G88" s="7"/>
      <c r="H88" s="18" t="str">
        <f>IFERROR(VLOOKUP(G88,FILAMENTI_DB!$A:$C,3,FALSE),"")</f>
        <v/>
      </c>
      <c r="I88" s="18" t="str">
        <f>IFERROR(VLOOKUP(G88,FILAMENTI_DB!$A:$E,4,FALSE),"")</f>
        <v/>
      </c>
      <c r="J88" s="8"/>
      <c r="K88" s="6"/>
      <c r="L88" s="6"/>
      <c r="M88" s="16">
        <f t="shared" si="8"/>
        <v>0</v>
      </c>
      <c r="N88" s="20">
        <f t="shared" si="9"/>
        <v>0</v>
      </c>
      <c r="O88" s="8"/>
      <c r="P88" s="8"/>
      <c r="Q88" s="4"/>
      <c r="R88" s="10">
        <f t="shared" si="10"/>
        <v>0</v>
      </c>
      <c r="S88" s="10"/>
      <c r="T88" s="10">
        <f t="shared" si="11"/>
        <v>0</v>
      </c>
      <c r="U88" s="24" t="str">
        <f t="shared" si="12"/>
        <v/>
      </c>
      <c r="V88" s="10" t="str">
        <f>IFERROR(N88*VLOOKUP(G88,FILAMENTI_DB!$A:$J,10,FALSE),"")</f>
        <v/>
      </c>
      <c r="W88" s="10" t="str">
        <f>IFERROR((VLOOKUP(F88,STAMPANTI_DB!$A:$C,3,FALSE)/1000)*O88*SETTINGS!$C$6,"")</f>
        <v/>
      </c>
      <c r="X88" s="10" t="str">
        <f>IFERROR(O88*VLOOKUP(F88,STAMPANTI_DB!$A:$I,9,FALSE),"")</f>
        <v/>
      </c>
      <c r="Y88" s="10">
        <f>IFERROR(P88*SETTINGS!$C$7,"")</f>
        <v>0</v>
      </c>
      <c r="Z88" s="10">
        <f>SETTINGS!$C$11</f>
        <v>0.5</v>
      </c>
      <c r="AA88" s="10">
        <f t="shared" si="13"/>
        <v>0.5</v>
      </c>
      <c r="AB88" s="10">
        <f>IFERROR(AA88*SETTINGS!$C$9,"")</f>
        <v>2.5000000000000001E-2</v>
      </c>
      <c r="AC88" s="10">
        <f>IFERROR((AA88+AB88)*SETTINGS!$C$10,"")</f>
        <v>2.6250000000000002E-2</v>
      </c>
      <c r="AD88" s="24"/>
    </row>
    <row r="89" spans="1:30" ht="16" customHeight="1" x14ac:dyDescent="0.2">
      <c r="A89" s="17"/>
      <c r="B89" s="18"/>
      <c r="C89" s="7"/>
      <c r="D89" s="7"/>
      <c r="E89" s="7"/>
      <c r="F89" s="7"/>
      <c r="G89" s="7"/>
      <c r="H89" s="18" t="str">
        <f>IFERROR(VLOOKUP(G89,FILAMENTI_DB!$A:$C,3,FALSE),"")</f>
        <v/>
      </c>
      <c r="I89" s="18" t="str">
        <f>IFERROR(VLOOKUP(G89,FILAMENTI_DB!$A:$E,4,FALSE),"")</f>
        <v/>
      </c>
      <c r="J89" s="8"/>
      <c r="K89" s="6"/>
      <c r="L89" s="6"/>
      <c r="M89" s="16">
        <f t="shared" si="8"/>
        <v>0</v>
      </c>
      <c r="N89" s="20">
        <f t="shared" si="9"/>
        <v>0</v>
      </c>
      <c r="O89" s="8"/>
      <c r="P89" s="8"/>
      <c r="Q89" s="4"/>
      <c r="R89" s="10">
        <f t="shared" si="10"/>
        <v>0</v>
      </c>
      <c r="S89" s="10"/>
      <c r="T89" s="10">
        <f t="shared" si="11"/>
        <v>0</v>
      </c>
      <c r="U89" s="24" t="str">
        <f t="shared" si="12"/>
        <v/>
      </c>
      <c r="V89" s="10" t="str">
        <f>IFERROR(N89*VLOOKUP(G89,FILAMENTI_DB!$A:$J,10,FALSE),"")</f>
        <v/>
      </c>
      <c r="W89" s="10" t="str">
        <f>IFERROR((VLOOKUP(F89,STAMPANTI_DB!$A:$C,3,FALSE)/1000)*O89*SETTINGS!$C$6,"")</f>
        <v/>
      </c>
      <c r="X89" s="10" t="str">
        <f>IFERROR(O89*VLOOKUP(F89,STAMPANTI_DB!$A:$I,9,FALSE),"")</f>
        <v/>
      </c>
      <c r="Y89" s="10">
        <f>IFERROR(P89*SETTINGS!$C$7,"")</f>
        <v>0</v>
      </c>
      <c r="Z89" s="10">
        <f>SETTINGS!$C$11</f>
        <v>0.5</v>
      </c>
      <c r="AA89" s="10">
        <f t="shared" si="13"/>
        <v>0.5</v>
      </c>
      <c r="AB89" s="10">
        <f>IFERROR(AA89*SETTINGS!$C$9,"")</f>
        <v>2.5000000000000001E-2</v>
      </c>
      <c r="AC89" s="10">
        <f>IFERROR((AA89+AB89)*SETTINGS!$C$10,"")</f>
        <v>2.6250000000000002E-2</v>
      </c>
      <c r="AD89" s="24"/>
    </row>
    <row r="90" spans="1:30" ht="16" customHeight="1" x14ac:dyDescent="0.2">
      <c r="A90" s="17"/>
      <c r="B90" s="18"/>
      <c r="C90" s="7"/>
      <c r="D90" s="7"/>
      <c r="E90" s="7"/>
      <c r="F90" s="7"/>
      <c r="G90" s="7"/>
      <c r="H90" s="18" t="str">
        <f>IFERROR(VLOOKUP(G90,FILAMENTI_DB!$A:$C,3,FALSE),"")</f>
        <v/>
      </c>
      <c r="I90" s="18" t="str">
        <f>IFERROR(VLOOKUP(G90,FILAMENTI_DB!$A:$E,4,FALSE),"")</f>
        <v/>
      </c>
      <c r="J90" s="8"/>
      <c r="K90" s="6"/>
      <c r="L90" s="6"/>
      <c r="M90" s="16">
        <f t="shared" si="8"/>
        <v>0</v>
      </c>
      <c r="N90" s="20">
        <f t="shared" si="9"/>
        <v>0</v>
      </c>
      <c r="O90" s="8"/>
      <c r="P90" s="8"/>
      <c r="Q90" s="4"/>
      <c r="R90" s="10">
        <f t="shared" si="10"/>
        <v>0</v>
      </c>
      <c r="S90" s="10"/>
      <c r="T90" s="10">
        <f t="shared" si="11"/>
        <v>0</v>
      </c>
      <c r="U90" s="24" t="str">
        <f t="shared" si="12"/>
        <v/>
      </c>
      <c r="V90" s="10" t="str">
        <f>IFERROR(N90*VLOOKUP(G90,FILAMENTI_DB!$A:$J,10,FALSE),"")</f>
        <v/>
      </c>
      <c r="W90" s="10" t="str">
        <f>IFERROR((VLOOKUP(F90,STAMPANTI_DB!$A:$C,3,FALSE)/1000)*O90*SETTINGS!$C$6,"")</f>
        <v/>
      </c>
      <c r="X90" s="10" t="str">
        <f>IFERROR(O90*VLOOKUP(F90,STAMPANTI_DB!$A:$I,9,FALSE),"")</f>
        <v/>
      </c>
      <c r="Y90" s="10">
        <f>IFERROR(P90*SETTINGS!$C$7,"")</f>
        <v>0</v>
      </c>
      <c r="Z90" s="10">
        <f>SETTINGS!$C$11</f>
        <v>0.5</v>
      </c>
      <c r="AA90" s="10">
        <f t="shared" si="13"/>
        <v>0.5</v>
      </c>
      <c r="AB90" s="10">
        <f>IFERROR(AA90*SETTINGS!$C$9,"")</f>
        <v>2.5000000000000001E-2</v>
      </c>
      <c r="AC90" s="10">
        <f>IFERROR((AA90+AB90)*SETTINGS!$C$10,"")</f>
        <v>2.6250000000000002E-2</v>
      </c>
      <c r="AD90" s="24"/>
    </row>
    <row r="91" spans="1:30" ht="16" customHeight="1" x14ac:dyDescent="0.2">
      <c r="A91" s="17"/>
      <c r="B91" s="18"/>
      <c r="C91" s="7"/>
      <c r="D91" s="7"/>
      <c r="E91" s="7"/>
      <c r="F91" s="7"/>
      <c r="G91" s="7"/>
      <c r="H91" s="18" t="str">
        <f>IFERROR(VLOOKUP(G91,FILAMENTI_DB!$A:$C,3,FALSE),"")</f>
        <v/>
      </c>
      <c r="I91" s="18" t="str">
        <f>IFERROR(VLOOKUP(G91,FILAMENTI_DB!$A:$E,4,FALSE),"")</f>
        <v/>
      </c>
      <c r="J91" s="8"/>
      <c r="K91" s="6"/>
      <c r="L91" s="6"/>
      <c r="M91" s="16">
        <f t="shared" si="8"/>
        <v>0</v>
      </c>
      <c r="N91" s="20">
        <f t="shared" si="9"/>
        <v>0</v>
      </c>
      <c r="O91" s="8"/>
      <c r="P91" s="8"/>
      <c r="Q91" s="4"/>
      <c r="R91" s="10">
        <f t="shared" si="10"/>
        <v>0</v>
      </c>
      <c r="S91" s="10"/>
      <c r="T91" s="10">
        <f t="shared" si="11"/>
        <v>0</v>
      </c>
      <c r="U91" s="24" t="str">
        <f t="shared" si="12"/>
        <v/>
      </c>
      <c r="V91" s="10" t="str">
        <f>IFERROR(N91*VLOOKUP(G91,FILAMENTI_DB!$A:$J,10,FALSE),"")</f>
        <v/>
      </c>
      <c r="W91" s="10" t="str">
        <f>IFERROR((VLOOKUP(F91,STAMPANTI_DB!$A:$C,3,FALSE)/1000)*O91*SETTINGS!$C$6,"")</f>
        <v/>
      </c>
      <c r="X91" s="10" t="str">
        <f>IFERROR(O91*VLOOKUP(F91,STAMPANTI_DB!$A:$I,9,FALSE),"")</f>
        <v/>
      </c>
      <c r="Y91" s="10">
        <f>IFERROR(P91*SETTINGS!$C$7,"")</f>
        <v>0</v>
      </c>
      <c r="Z91" s="10">
        <f>SETTINGS!$C$11</f>
        <v>0.5</v>
      </c>
      <c r="AA91" s="10">
        <f t="shared" si="13"/>
        <v>0.5</v>
      </c>
      <c r="AB91" s="10">
        <f>IFERROR(AA91*SETTINGS!$C$9,"")</f>
        <v>2.5000000000000001E-2</v>
      </c>
      <c r="AC91" s="10">
        <f>IFERROR((AA91+AB91)*SETTINGS!$C$10,"")</f>
        <v>2.6250000000000002E-2</v>
      </c>
      <c r="AD91" s="24"/>
    </row>
    <row r="92" spans="1:30" ht="16" customHeight="1" x14ac:dyDescent="0.2">
      <c r="A92" s="17"/>
      <c r="B92" s="18"/>
      <c r="C92" s="7"/>
      <c r="D92" s="7"/>
      <c r="E92" s="7"/>
      <c r="F92" s="7"/>
      <c r="G92" s="7"/>
      <c r="H92" s="18" t="str">
        <f>IFERROR(VLOOKUP(G92,FILAMENTI_DB!$A:$C,3,FALSE),"")</f>
        <v/>
      </c>
      <c r="I92" s="18" t="str">
        <f>IFERROR(VLOOKUP(G92,FILAMENTI_DB!$A:$E,4,FALSE),"")</f>
        <v/>
      </c>
      <c r="J92" s="8"/>
      <c r="K92" s="6"/>
      <c r="L92" s="6"/>
      <c r="M92" s="16">
        <f t="shared" si="8"/>
        <v>0</v>
      </c>
      <c r="N92" s="20">
        <f t="shared" si="9"/>
        <v>0</v>
      </c>
      <c r="O92" s="8"/>
      <c r="P92" s="8"/>
      <c r="Q92" s="4"/>
      <c r="R92" s="10">
        <f t="shared" si="10"/>
        <v>0</v>
      </c>
      <c r="S92" s="10"/>
      <c r="T92" s="10">
        <f t="shared" si="11"/>
        <v>0</v>
      </c>
      <c r="U92" s="24" t="str">
        <f t="shared" si="12"/>
        <v/>
      </c>
      <c r="V92" s="10" t="str">
        <f>IFERROR(N92*VLOOKUP(G92,FILAMENTI_DB!$A:$J,10,FALSE),"")</f>
        <v/>
      </c>
      <c r="W92" s="10" t="str">
        <f>IFERROR((VLOOKUP(F92,STAMPANTI_DB!$A:$C,3,FALSE)/1000)*O92*SETTINGS!$C$6,"")</f>
        <v/>
      </c>
      <c r="X92" s="10" t="str">
        <f>IFERROR(O92*VLOOKUP(F92,STAMPANTI_DB!$A:$I,9,FALSE),"")</f>
        <v/>
      </c>
      <c r="Y92" s="10">
        <f>IFERROR(P92*SETTINGS!$C$7,"")</f>
        <v>0</v>
      </c>
      <c r="Z92" s="10">
        <f>SETTINGS!$C$11</f>
        <v>0.5</v>
      </c>
      <c r="AA92" s="10">
        <f t="shared" si="13"/>
        <v>0.5</v>
      </c>
      <c r="AB92" s="10">
        <f>IFERROR(AA92*SETTINGS!$C$9,"")</f>
        <v>2.5000000000000001E-2</v>
      </c>
      <c r="AC92" s="10">
        <f>IFERROR((AA92+AB92)*SETTINGS!$C$10,"")</f>
        <v>2.6250000000000002E-2</v>
      </c>
      <c r="AD92" s="24"/>
    </row>
    <row r="93" spans="1:30" ht="16" customHeight="1" x14ac:dyDescent="0.2">
      <c r="A93" s="17"/>
      <c r="B93" s="18"/>
      <c r="C93" s="7"/>
      <c r="D93" s="7"/>
      <c r="E93" s="7"/>
      <c r="F93" s="7"/>
      <c r="G93" s="7"/>
      <c r="H93" s="18" t="str">
        <f>IFERROR(VLOOKUP(G93,FILAMENTI_DB!$A:$C,3,FALSE),"")</f>
        <v/>
      </c>
      <c r="I93" s="18" t="str">
        <f>IFERROR(VLOOKUP(G93,FILAMENTI_DB!$A:$E,4,FALSE),"")</f>
        <v/>
      </c>
      <c r="J93" s="8"/>
      <c r="K93" s="6"/>
      <c r="L93" s="6"/>
      <c r="M93" s="16">
        <f t="shared" si="8"/>
        <v>0</v>
      </c>
      <c r="N93" s="20">
        <f t="shared" si="9"/>
        <v>0</v>
      </c>
      <c r="O93" s="8"/>
      <c r="P93" s="8"/>
      <c r="Q93" s="4"/>
      <c r="R93" s="10">
        <f t="shared" si="10"/>
        <v>0</v>
      </c>
      <c r="S93" s="10"/>
      <c r="T93" s="10">
        <f t="shared" si="11"/>
        <v>0</v>
      </c>
      <c r="U93" s="24" t="str">
        <f t="shared" si="12"/>
        <v/>
      </c>
      <c r="V93" s="10" t="str">
        <f>IFERROR(N93*VLOOKUP(G93,FILAMENTI_DB!$A:$J,10,FALSE),"")</f>
        <v/>
      </c>
      <c r="W93" s="10" t="str">
        <f>IFERROR((VLOOKUP(F93,STAMPANTI_DB!$A:$C,3,FALSE)/1000)*O93*SETTINGS!$C$6,"")</f>
        <v/>
      </c>
      <c r="X93" s="10" t="str">
        <f>IFERROR(O93*VLOOKUP(F93,STAMPANTI_DB!$A:$I,9,FALSE),"")</f>
        <v/>
      </c>
      <c r="Y93" s="10">
        <f>IFERROR(P93*SETTINGS!$C$7,"")</f>
        <v>0</v>
      </c>
      <c r="Z93" s="10">
        <f>SETTINGS!$C$11</f>
        <v>0.5</v>
      </c>
      <c r="AA93" s="10">
        <f t="shared" si="13"/>
        <v>0.5</v>
      </c>
      <c r="AB93" s="10">
        <f>IFERROR(AA93*SETTINGS!$C$9,"")</f>
        <v>2.5000000000000001E-2</v>
      </c>
      <c r="AC93" s="10">
        <f>IFERROR((AA93+AB93)*SETTINGS!$C$10,"")</f>
        <v>2.6250000000000002E-2</v>
      </c>
      <c r="AD93" s="24"/>
    </row>
    <row r="94" spans="1:30" ht="16" customHeight="1" x14ac:dyDescent="0.2">
      <c r="A94" s="17"/>
      <c r="B94" s="18"/>
      <c r="C94" s="7"/>
      <c r="D94" s="7"/>
      <c r="E94" s="7"/>
      <c r="F94" s="7"/>
      <c r="G94" s="7"/>
      <c r="H94" s="18" t="str">
        <f>IFERROR(VLOOKUP(G94,FILAMENTI_DB!$A:$C,3,FALSE),"")</f>
        <v/>
      </c>
      <c r="I94" s="18" t="str">
        <f>IFERROR(VLOOKUP(G94,FILAMENTI_DB!$A:$E,4,FALSE),"")</f>
        <v/>
      </c>
      <c r="J94" s="8"/>
      <c r="K94" s="6"/>
      <c r="L94" s="6"/>
      <c r="M94" s="16">
        <f t="shared" si="8"/>
        <v>0</v>
      </c>
      <c r="N94" s="20">
        <f t="shared" si="9"/>
        <v>0</v>
      </c>
      <c r="O94" s="8"/>
      <c r="P94" s="8"/>
      <c r="Q94" s="4"/>
      <c r="R94" s="10">
        <f t="shared" si="10"/>
        <v>0</v>
      </c>
      <c r="S94" s="10"/>
      <c r="T94" s="10">
        <f t="shared" si="11"/>
        <v>0</v>
      </c>
      <c r="U94" s="24" t="str">
        <f t="shared" si="12"/>
        <v/>
      </c>
      <c r="V94" s="10" t="str">
        <f>IFERROR(N94*VLOOKUP(G94,FILAMENTI_DB!$A:$J,10,FALSE),"")</f>
        <v/>
      </c>
      <c r="W94" s="10" t="str">
        <f>IFERROR((VLOOKUP(F94,STAMPANTI_DB!$A:$C,3,FALSE)/1000)*O94*SETTINGS!$C$6,"")</f>
        <v/>
      </c>
      <c r="X94" s="10" t="str">
        <f>IFERROR(O94*VLOOKUP(F94,STAMPANTI_DB!$A:$I,9,FALSE),"")</f>
        <v/>
      </c>
      <c r="Y94" s="10">
        <f>IFERROR(P94*SETTINGS!$C$7,"")</f>
        <v>0</v>
      </c>
      <c r="Z94" s="10">
        <f>SETTINGS!$C$11</f>
        <v>0.5</v>
      </c>
      <c r="AA94" s="10">
        <f t="shared" si="13"/>
        <v>0.5</v>
      </c>
      <c r="AB94" s="10">
        <f>IFERROR(AA94*SETTINGS!$C$9,"")</f>
        <v>2.5000000000000001E-2</v>
      </c>
      <c r="AC94" s="10">
        <f>IFERROR((AA94+AB94)*SETTINGS!$C$10,"")</f>
        <v>2.6250000000000002E-2</v>
      </c>
      <c r="AD94" s="24"/>
    </row>
    <row r="95" spans="1:30" ht="16" customHeight="1" x14ac:dyDescent="0.2">
      <c r="A95" s="17"/>
      <c r="B95" s="18"/>
      <c r="C95" s="7"/>
      <c r="D95" s="7"/>
      <c r="E95" s="7"/>
      <c r="F95" s="7"/>
      <c r="G95" s="7"/>
      <c r="H95" s="18" t="str">
        <f>IFERROR(VLOOKUP(G95,FILAMENTI_DB!$A:$C,3,FALSE),"")</f>
        <v/>
      </c>
      <c r="I95" s="18" t="str">
        <f>IFERROR(VLOOKUP(G95,FILAMENTI_DB!$A:$E,4,FALSE),"")</f>
        <v/>
      </c>
      <c r="J95" s="8"/>
      <c r="K95" s="6"/>
      <c r="L95" s="6"/>
      <c r="M95" s="16">
        <f t="shared" si="8"/>
        <v>0</v>
      </c>
      <c r="N95" s="20">
        <f t="shared" si="9"/>
        <v>0</v>
      </c>
      <c r="O95" s="8"/>
      <c r="P95" s="8"/>
      <c r="Q95" s="4"/>
      <c r="R95" s="10">
        <f t="shared" si="10"/>
        <v>0</v>
      </c>
      <c r="S95" s="10"/>
      <c r="T95" s="10">
        <f t="shared" si="11"/>
        <v>0</v>
      </c>
      <c r="U95" s="24" t="str">
        <f t="shared" si="12"/>
        <v/>
      </c>
      <c r="V95" s="10" t="str">
        <f>IFERROR(N95*VLOOKUP(G95,FILAMENTI_DB!$A:$J,10,FALSE),"")</f>
        <v/>
      </c>
      <c r="W95" s="10" t="str">
        <f>IFERROR((VLOOKUP(F95,STAMPANTI_DB!$A:$C,3,FALSE)/1000)*O95*SETTINGS!$C$6,"")</f>
        <v/>
      </c>
      <c r="X95" s="10" t="str">
        <f>IFERROR(O95*VLOOKUP(F95,STAMPANTI_DB!$A:$I,9,FALSE),"")</f>
        <v/>
      </c>
      <c r="Y95" s="10">
        <f>IFERROR(P95*SETTINGS!$C$7,"")</f>
        <v>0</v>
      </c>
      <c r="Z95" s="10">
        <f>SETTINGS!$C$11</f>
        <v>0.5</v>
      </c>
      <c r="AA95" s="10">
        <f t="shared" si="13"/>
        <v>0.5</v>
      </c>
      <c r="AB95" s="10">
        <f>IFERROR(AA95*SETTINGS!$C$9,"")</f>
        <v>2.5000000000000001E-2</v>
      </c>
      <c r="AC95" s="10">
        <f>IFERROR((AA95+AB95)*SETTINGS!$C$10,"")</f>
        <v>2.6250000000000002E-2</v>
      </c>
      <c r="AD95" s="24"/>
    </row>
    <row r="96" spans="1:30" ht="16" customHeight="1" x14ac:dyDescent="0.2">
      <c r="A96" s="17"/>
      <c r="B96" s="18"/>
      <c r="C96" s="7"/>
      <c r="D96" s="7"/>
      <c r="E96" s="7"/>
      <c r="F96" s="7"/>
      <c r="G96" s="7"/>
      <c r="H96" s="18" t="str">
        <f>IFERROR(VLOOKUP(G96,FILAMENTI_DB!$A:$C,3,FALSE),"")</f>
        <v/>
      </c>
      <c r="I96" s="18" t="str">
        <f>IFERROR(VLOOKUP(G96,FILAMENTI_DB!$A:$E,4,FALSE),"")</f>
        <v/>
      </c>
      <c r="J96" s="8"/>
      <c r="K96" s="6"/>
      <c r="L96" s="6"/>
      <c r="M96" s="16">
        <f t="shared" si="8"/>
        <v>0</v>
      </c>
      <c r="N96" s="20">
        <f t="shared" si="9"/>
        <v>0</v>
      </c>
      <c r="O96" s="8"/>
      <c r="P96" s="8"/>
      <c r="Q96" s="4"/>
      <c r="R96" s="10">
        <f t="shared" si="10"/>
        <v>0</v>
      </c>
      <c r="S96" s="10"/>
      <c r="T96" s="10">
        <f t="shared" si="11"/>
        <v>0</v>
      </c>
      <c r="U96" s="24" t="str">
        <f t="shared" si="12"/>
        <v/>
      </c>
      <c r="V96" s="10" t="str">
        <f>IFERROR(N96*VLOOKUP(G96,FILAMENTI_DB!$A:$J,10,FALSE),"")</f>
        <v/>
      </c>
      <c r="W96" s="10" t="str">
        <f>IFERROR((VLOOKUP(F96,STAMPANTI_DB!$A:$C,3,FALSE)/1000)*O96*SETTINGS!$C$6,"")</f>
        <v/>
      </c>
      <c r="X96" s="10" t="str">
        <f>IFERROR(O96*VLOOKUP(F96,STAMPANTI_DB!$A:$I,9,FALSE),"")</f>
        <v/>
      </c>
      <c r="Y96" s="10">
        <f>IFERROR(P96*SETTINGS!$C$7,"")</f>
        <v>0</v>
      </c>
      <c r="Z96" s="10">
        <f>SETTINGS!$C$11</f>
        <v>0.5</v>
      </c>
      <c r="AA96" s="10">
        <f t="shared" si="13"/>
        <v>0.5</v>
      </c>
      <c r="AB96" s="10">
        <f>IFERROR(AA96*SETTINGS!$C$9,"")</f>
        <v>2.5000000000000001E-2</v>
      </c>
      <c r="AC96" s="10">
        <f>IFERROR((AA96+AB96)*SETTINGS!$C$10,"")</f>
        <v>2.6250000000000002E-2</v>
      </c>
      <c r="AD96" s="24"/>
    </row>
    <row r="97" spans="1:30" ht="16" customHeight="1" x14ac:dyDescent="0.2">
      <c r="A97" s="17"/>
      <c r="B97" s="18"/>
      <c r="C97" s="7"/>
      <c r="D97" s="7"/>
      <c r="E97" s="7"/>
      <c r="F97" s="7"/>
      <c r="G97" s="7"/>
      <c r="H97" s="18" t="str">
        <f>IFERROR(VLOOKUP(G97,FILAMENTI_DB!$A:$C,3,FALSE),"")</f>
        <v/>
      </c>
      <c r="I97" s="18" t="str">
        <f>IFERROR(VLOOKUP(G97,FILAMENTI_DB!$A:$E,4,FALSE),"")</f>
        <v/>
      </c>
      <c r="J97" s="8"/>
      <c r="K97" s="6"/>
      <c r="L97" s="6"/>
      <c r="M97" s="16">
        <f t="shared" si="8"/>
        <v>0</v>
      </c>
      <c r="N97" s="20">
        <f t="shared" si="9"/>
        <v>0</v>
      </c>
      <c r="O97" s="8"/>
      <c r="P97" s="8"/>
      <c r="Q97" s="4"/>
      <c r="R97" s="10">
        <f t="shared" si="10"/>
        <v>0</v>
      </c>
      <c r="S97" s="10"/>
      <c r="T97" s="10">
        <f t="shared" si="11"/>
        <v>0</v>
      </c>
      <c r="U97" s="24" t="str">
        <f t="shared" si="12"/>
        <v/>
      </c>
      <c r="V97" s="10" t="str">
        <f>IFERROR(N97*VLOOKUP(G97,FILAMENTI_DB!$A:$J,10,FALSE),"")</f>
        <v/>
      </c>
      <c r="W97" s="10" t="str">
        <f>IFERROR((VLOOKUP(F97,STAMPANTI_DB!$A:$C,3,FALSE)/1000)*O97*SETTINGS!$C$6,"")</f>
        <v/>
      </c>
      <c r="X97" s="10" t="str">
        <f>IFERROR(O97*VLOOKUP(F97,STAMPANTI_DB!$A:$I,9,FALSE),"")</f>
        <v/>
      </c>
      <c r="Y97" s="10">
        <f>IFERROR(P97*SETTINGS!$C$7,"")</f>
        <v>0</v>
      </c>
      <c r="Z97" s="10">
        <f>SETTINGS!$C$11</f>
        <v>0.5</v>
      </c>
      <c r="AA97" s="10">
        <f t="shared" si="13"/>
        <v>0.5</v>
      </c>
      <c r="AB97" s="10">
        <f>IFERROR(AA97*SETTINGS!$C$9,"")</f>
        <v>2.5000000000000001E-2</v>
      </c>
      <c r="AC97" s="10">
        <f>IFERROR((AA97+AB97)*SETTINGS!$C$10,"")</f>
        <v>2.6250000000000002E-2</v>
      </c>
      <c r="AD97" s="24"/>
    </row>
    <row r="98" spans="1:30" ht="16" customHeight="1" x14ac:dyDescent="0.2">
      <c r="A98" s="17"/>
      <c r="B98" s="18"/>
      <c r="C98" s="7"/>
      <c r="D98" s="7"/>
      <c r="E98" s="7"/>
      <c r="F98" s="7"/>
      <c r="G98" s="7"/>
      <c r="H98" s="18" t="str">
        <f>IFERROR(VLOOKUP(G98,FILAMENTI_DB!$A:$C,3,FALSE),"")</f>
        <v/>
      </c>
      <c r="I98" s="18" t="str">
        <f>IFERROR(VLOOKUP(G98,FILAMENTI_DB!$A:$E,4,FALSE),"")</f>
        <v/>
      </c>
      <c r="J98" s="8"/>
      <c r="K98" s="6"/>
      <c r="L98" s="6"/>
      <c r="M98" s="16">
        <f t="shared" si="8"/>
        <v>0</v>
      </c>
      <c r="N98" s="20">
        <f t="shared" si="9"/>
        <v>0</v>
      </c>
      <c r="O98" s="8"/>
      <c r="P98" s="8"/>
      <c r="Q98" s="4"/>
      <c r="R98" s="10">
        <f t="shared" si="10"/>
        <v>0</v>
      </c>
      <c r="S98" s="10"/>
      <c r="T98" s="10">
        <f t="shared" si="11"/>
        <v>0</v>
      </c>
      <c r="U98" s="24" t="str">
        <f t="shared" si="12"/>
        <v/>
      </c>
      <c r="V98" s="10" t="str">
        <f>IFERROR(N98*VLOOKUP(G98,FILAMENTI_DB!$A:$J,10,FALSE),"")</f>
        <v/>
      </c>
      <c r="W98" s="10" t="str">
        <f>IFERROR((VLOOKUP(F98,STAMPANTI_DB!$A:$C,3,FALSE)/1000)*O98*SETTINGS!$C$6,"")</f>
        <v/>
      </c>
      <c r="X98" s="10" t="str">
        <f>IFERROR(O98*VLOOKUP(F98,STAMPANTI_DB!$A:$I,9,FALSE),"")</f>
        <v/>
      </c>
      <c r="Y98" s="10">
        <f>IFERROR(P98*SETTINGS!$C$7,"")</f>
        <v>0</v>
      </c>
      <c r="Z98" s="10">
        <f>SETTINGS!$C$11</f>
        <v>0.5</v>
      </c>
      <c r="AA98" s="10">
        <f t="shared" si="13"/>
        <v>0.5</v>
      </c>
      <c r="AB98" s="10">
        <f>IFERROR(AA98*SETTINGS!$C$9,"")</f>
        <v>2.5000000000000001E-2</v>
      </c>
      <c r="AC98" s="10">
        <f>IFERROR((AA98+AB98)*SETTINGS!$C$10,"")</f>
        <v>2.6250000000000002E-2</v>
      </c>
      <c r="AD98" s="24"/>
    </row>
    <row r="99" spans="1:30" ht="16" customHeight="1" x14ac:dyDescent="0.2">
      <c r="A99" s="17"/>
      <c r="B99" s="18"/>
      <c r="C99" s="7"/>
      <c r="D99" s="7"/>
      <c r="E99" s="7"/>
      <c r="F99" s="7"/>
      <c r="G99" s="7"/>
      <c r="H99" s="18" t="str">
        <f>IFERROR(VLOOKUP(G99,FILAMENTI_DB!$A:$C,3,FALSE),"")</f>
        <v/>
      </c>
      <c r="I99" s="18" t="str">
        <f>IFERROR(VLOOKUP(G99,FILAMENTI_DB!$A:$E,4,FALSE),"")</f>
        <v/>
      </c>
      <c r="J99" s="8"/>
      <c r="K99" s="6"/>
      <c r="L99" s="6"/>
      <c r="M99" s="16">
        <f t="shared" si="8"/>
        <v>0</v>
      </c>
      <c r="N99" s="20">
        <f t="shared" si="9"/>
        <v>0</v>
      </c>
      <c r="O99" s="8"/>
      <c r="P99" s="8"/>
      <c r="Q99" s="4"/>
      <c r="R99" s="10">
        <f t="shared" si="10"/>
        <v>0</v>
      </c>
      <c r="S99" s="10"/>
      <c r="T99" s="10">
        <f t="shared" si="11"/>
        <v>0</v>
      </c>
      <c r="U99" s="24" t="str">
        <f t="shared" si="12"/>
        <v/>
      </c>
      <c r="V99" s="10" t="str">
        <f>IFERROR(N99*VLOOKUP(G99,FILAMENTI_DB!$A:$J,10,FALSE),"")</f>
        <v/>
      </c>
      <c r="W99" s="10" t="str">
        <f>IFERROR((VLOOKUP(F99,STAMPANTI_DB!$A:$C,3,FALSE)/1000)*O99*SETTINGS!$C$6,"")</f>
        <v/>
      </c>
      <c r="X99" s="10" t="str">
        <f>IFERROR(O99*VLOOKUP(F99,STAMPANTI_DB!$A:$I,9,FALSE),"")</f>
        <v/>
      </c>
      <c r="Y99" s="10">
        <f>IFERROR(P99*SETTINGS!$C$7,"")</f>
        <v>0</v>
      </c>
      <c r="Z99" s="10">
        <f>SETTINGS!$C$11</f>
        <v>0.5</v>
      </c>
      <c r="AA99" s="10">
        <f t="shared" si="13"/>
        <v>0.5</v>
      </c>
      <c r="AB99" s="10">
        <f>IFERROR(AA99*SETTINGS!$C$9,"")</f>
        <v>2.5000000000000001E-2</v>
      </c>
      <c r="AC99" s="10">
        <f>IFERROR((AA99+AB99)*SETTINGS!$C$10,"")</f>
        <v>2.6250000000000002E-2</v>
      </c>
      <c r="AD99" s="24"/>
    </row>
    <row r="100" spans="1:30" ht="16" customHeight="1" x14ac:dyDescent="0.2">
      <c r="A100" s="17"/>
      <c r="B100" s="18"/>
      <c r="C100" s="7"/>
      <c r="D100" s="7"/>
      <c r="E100" s="7"/>
      <c r="F100" s="7"/>
      <c r="G100" s="7"/>
      <c r="H100" s="18" t="str">
        <f>IFERROR(VLOOKUP(G100,FILAMENTI_DB!$A:$C,3,FALSE),"")</f>
        <v/>
      </c>
      <c r="I100" s="18" t="str">
        <f>IFERROR(VLOOKUP(G100,FILAMENTI_DB!$A:$E,4,FALSE),"")</f>
        <v/>
      </c>
      <c r="J100" s="8"/>
      <c r="K100" s="6"/>
      <c r="L100" s="6"/>
      <c r="M100" s="16">
        <f t="shared" si="8"/>
        <v>0</v>
      </c>
      <c r="N100" s="20">
        <f t="shared" si="9"/>
        <v>0</v>
      </c>
      <c r="O100" s="8"/>
      <c r="P100" s="8"/>
      <c r="Q100" s="4"/>
      <c r="R100" s="10">
        <f t="shared" si="10"/>
        <v>0</v>
      </c>
      <c r="S100" s="10"/>
      <c r="T100" s="10">
        <f t="shared" si="11"/>
        <v>0</v>
      </c>
      <c r="U100" s="24" t="str">
        <f t="shared" si="12"/>
        <v/>
      </c>
      <c r="V100" s="10" t="str">
        <f>IFERROR(N100*VLOOKUP(G100,FILAMENTI_DB!$A:$J,10,FALSE),"")</f>
        <v/>
      </c>
      <c r="W100" s="10" t="str">
        <f>IFERROR((VLOOKUP(F100,STAMPANTI_DB!$A:$C,3,FALSE)/1000)*O100*SETTINGS!$C$6,"")</f>
        <v/>
      </c>
      <c r="X100" s="10" t="str">
        <f>IFERROR(O100*VLOOKUP(F100,STAMPANTI_DB!$A:$I,9,FALSE),"")</f>
        <v/>
      </c>
      <c r="Y100" s="10">
        <f>IFERROR(P100*SETTINGS!$C$7,"")</f>
        <v>0</v>
      </c>
      <c r="Z100" s="10">
        <f>SETTINGS!$C$11</f>
        <v>0.5</v>
      </c>
      <c r="AA100" s="10">
        <f t="shared" si="13"/>
        <v>0.5</v>
      </c>
      <c r="AB100" s="10">
        <f>IFERROR(AA100*SETTINGS!$C$9,"")</f>
        <v>2.5000000000000001E-2</v>
      </c>
      <c r="AC100" s="10">
        <f>IFERROR((AA100+AB100)*SETTINGS!$C$10,"")</f>
        <v>2.6250000000000002E-2</v>
      </c>
      <c r="AD100" s="24"/>
    </row>
    <row r="101" spans="1:30" ht="16" customHeight="1" x14ac:dyDescent="0.2">
      <c r="A101" s="17"/>
      <c r="B101" s="18"/>
      <c r="C101" s="7"/>
      <c r="D101" s="7"/>
      <c r="E101" s="7"/>
      <c r="F101" s="7"/>
      <c r="G101" s="7"/>
      <c r="H101" s="18" t="str">
        <f>IFERROR(VLOOKUP(G101,FILAMENTI_DB!$A:$C,3,FALSE),"")</f>
        <v/>
      </c>
      <c r="I101" s="18" t="str">
        <f>IFERROR(VLOOKUP(G101,FILAMENTI_DB!$A:$E,4,FALSE),"")</f>
        <v/>
      </c>
      <c r="J101" s="8"/>
      <c r="K101" s="6"/>
      <c r="L101" s="6"/>
      <c r="M101" s="16">
        <f t="shared" si="8"/>
        <v>0</v>
      </c>
      <c r="N101" s="20">
        <f t="shared" si="9"/>
        <v>0</v>
      </c>
      <c r="O101" s="8"/>
      <c r="P101" s="8"/>
      <c r="Q101" s="4"/>
      <c r="R101" s="10">
        <f t="shared" si="10"/>
        <v>0</v>
      </c>
      <c r="S101" s="10"/>
      <c r="T101" s="10">
        <f t="shared" si="11"/>
        <v>0</v>
      </c>
      <c r="U101" s="24" t="str">
        <f t="shared" si="12"/>
        <v/>
      </c>
      <c r="V101" s="10" t="str">
        <f>IFERROR(N101*VLOOKUP(G101,FILAMENTI_DB!$A:$J,10,FALSE),"")</f>
        <v/>
      </c>
      <c r="W101" s="10" t="str">
        <f>IFERROR((VLOOKUP(F101,STAMPANTI_DB!$A:$C,3,FALSE)/1000)*O101*SETTINGS!$C$6,"")</f>
        <v/>
      </c>
      <c r="X101" s="10" t="str">
        <f>IFERROR(O101*VLOOKUP(F101,STAMPANTI_DB!$A:$I,9,FALSE),"")</f>
        <v/>
      </c>
      <c r="Y101" s="10">
        <f>IFERROR(P101*SETTINGS!$C$7,"")</f>
        <v>0</v>
      </c>
      <c r="Z101" s="10">
        <f>SETTINGS!$C$11</f>
        <v>0.5</v>
      </c>
      <c r="AA101" s="10">
        <f t="shared" si="13"/>
        <v>0.5</v>
      </c>
      <c r="AB101" s="10">
        <f>IFERROR(AA101*SETTINGS!$C$9,"")</f>
        <v>2.5000000000000001E-2</v>
      </c>
      <c r="AC101" s="10">
        <f>IFERROR((AA101+AB101)*SETTINGS!$C$10,"")</f>
        <v>2.6250000000000002E-2</v>
      </c>
      <c r="AD101" s="24"/>
    </row>
    <row r="102" spans="1:30" ht="16" customHeight="1" x14ac:dyDescent="0.2">
      <c r="A102" s="17"/>
      <c r="B102" s="18"/>
      <c r="C102" s="7"/>
      <c r="D102" s="7"/>
      <c r="E102" s="7"/>
      <c r="F102" s="7"/>
      <c r="G102" s="7"/>
      <c r="H102" s="18" t="str">
        <f>IFERROR(VLOOKUP(G102,FILAMENTI_DB!$A:$C,3,FALSE),"")</f>
        <v/>
      </c>
      <c r="I102" s="18" t="str">
        <f>IFERROR(VLOOKUP(G102,FILAMENTI_DB!$A:$E,4,FALSE),"")</f>
        <v/>
      </c>
      <c r="J102" s="8"/>
      <c r="K102" s="6"/>
      <c r="L102" s="6"/>
      <c r="M102" s="16">
        <f t="shared" si="8"/>
        <v>0</v>
      </c>
      <c r="N102" s="20">
        <f t="shared" si="9"/>
        <v>0</v>
      </c>
      <c r="O102" s="8"/>
      <c r="P102" s="8"/>
      <c r="Q102" s="4"/>
      <c r="R102" s="10">
        <f t="shared" si="10"/>
        <v>0</v>
      </c>
      <c r="S102" s="10"/>
      <c r="T102" s="10">
        <f t="shared" si="11"/>
        <v>0</v>
      </c>
      <c r="U102" s="24" t="str">
        <f t="shared" si="12"/>
        <v/>
      </c>
      <c r="V102" s="10" t="str">
        <f>IFERROR(N102*VLOOKUP(G102,FILAMENTI_DB!$A:$J,10,FALSE),"")</f>
        <v/>
      </c>
      <c r="W102" s="10" t="str">
        <f>IFERROR((VLOOKUP(F102,STAMPANTI_DB!$A:$C,3,FALSE)/1000)*O102*SETTINGS!$C$6,"")</f>
        <v/>
      </c>
      <c r="X102" s="10" t="str">
        <f>IFERROR(O102*VLOOKUP(F102,STAMPANTI_DB!$A:$I,9,FALSE),"")</f>
        <v/>
      </c>
      <c r="Y102" s="10">
        <f>IFERROR(P102*SETTINGS!$C$7,"")</f>
        <v>0</v>
      </c>
      <c r="Z102" s="10">
        <f>SETTINGS!$C$11</f>
        <v>0.5</v>
      </c>
      <c r="AA102" s="10">
        <f t="shared" si="13"/>
        <v>0.5</v>
      </c>
      <c r="AB102" s="10">
        <f>IFERROR(AA102*SETTINGS!$C$9,"")</f>
        <v>2.5000000000000001E-2</v>
      </c>
      <c r="AC102" s="10">
        <f>IFERROR((AA102+AB102)*SETTINGS!$C$10,"")</f>
        <v>2.6250000000000002E-2</v>
      </c>
      <c r="AD102" s="24"/>
    </row>
    <row r="103" spans="1:30" ht="16" customHeight="1" x14ac:dyDescent="0.2">
      <c r="A103" s="17"/>
      <c r="B103" s="18"/>
      <c r="C103" s="7"/>
      <c r="D103" s="7"/>
      <c r="E103" s="7"/>
      <c r="F103" s="7"/>
      <c r="G103" s="7"/>
      <c r="H103" s="18" t="str">
        <f>IFERROR(VLOOKUP(G103,FILAMENTI_DB!$A:$C,3,FALSE),"")</f>
        <v/>
      </c>
      <c r="I103" s="18" t="str">
        <f>IFERROR(VLOOKUP(G103,FILAMENTI_DB!$A:$E,4,FALSE),"")</f>
        <v/>
      </c>
      <c r="J103" s="8"/>
      <c r="K103" s="6"/>
      <c r="L103" s="6"/>
      <c r="M103" s="16">
        <f t="shared" si="8"/>
        <v>0</v>
      </c>
      <c r="N103" s="20">
        <f t="shared" si="9"/>
        <v>0</v>
      </c>
      <c r="O103" s="8"/>
      <c r="P103" s="8"/>
      <c r="Q103" s="4"/>
      <c r="R103" s="10">
        <f t="shared" si="10"/>
        <v>0</v>
      </c>
      <c r="S103" s="10"/>
      <c r="T103" s="10">
        <f t="shared" si="11"/>
        <v>0</v>
      </c>
      <c r="U103" s="24" t="str">
        <f t="shared" si="12"/>
        <v/>
      </c>
      <c r="V103" s="10" t="str">
        <f>IFERROR(N103*VLOOKUP(G103,FILAMENTI_DB!$A:$J,10,FALSE),"")</f>
        <v/>
      </c>
      <c r="W103" s="10" t="str">
        <f>IFERROR((VLOOKUP(F103,STAMPANTI_DB!$A:$C,3,FALSE)/1000)*O103*SETTINGS!$C$6,"")</f>
        <v/>
      </c>
      <c r="X103" s="10" t="str">
        <f>IFERROR(O103*VLOOKUP(F103,STAMPANTI_DB!$A:$I,9,FALSE),"")</f>
        <v/>
      </c>
      <c r="Y103" s="10">
        <f>IFERROR(P103*SETTINGS!$C$7,"")</f>
        <v>0</v>
      </c>
      <c r="Z103" s="10">
        <f>SETTINGS!$C$11</f>
        <v>0.5</v>
      </c>
      <c r="AA103" s="10">
        <f t="shared" si="13"/>
        <v>0.5</v>
      </c>
      <c r="AB103" s="10">
        <f>IFERROR(AA103*SETTINGS!$C$9,"")</f>
        <v>2.5000000000000001E-2</v>
      </c>
      <c r="AC103" s="10">
        <f>IFERROR((AA103+AB103)*SETTINGS!$C$10,"")</f>
        <v>2.6250000000000002E-2</v>
      </c>
      <c r="AD103" s="24"/>
    </row>
    <row r="104" spans="1:30" ht="16" customHeight="1" x14ac:dyDescent="0.2">
      <c r="A104" s="17"/>
      <c r="B104" s="18"/>
      <c r="C104" s="7"/>
      <c r="D104" s="7"/>
      <c r="E104" s="7"/>
      <c r="F104" s="7"/>
      <c r="G104" s="7"/>
      <c r="H104" s="18" t="str">
        <f>IFERROR(VLOOKUP(G104,FILAMENTI_DB!$A:$C,3,FALSE),"")</f>
        <v/>
      </c>
      <c r="I104" s="18" t="str">
        <f>IFERROR(VLOOKUP(G104,FILAMENTI_DB!$A:$E,4,FALSE),"")</f>
        <v/>
      </c>
      <c r="J104" s="8"/>
      <c r="K104" s="6"/>
      <c r="L104" s="6"/>
      <c r="M104" s="16">
        <f t="shared" si="8"/>
        <v>0</v>
      </c>
      <c r="N104" s="20">
        <f t="shared" si="9"/>
        <v>0</v>
      </c>
      <c r="O104" s="8"/>
      <c r="P104" s="8"/>
      <c r="Q104" s="4"/>
      <c r="R104" s="10">
        <f t="shared" si="10"/>
        <v>0</v>
      </c>
      <c r="S104" s="10"/>
      <c r="T104" s="10">
        <f t="shared" si="11"/>
        <v>0</v>
      </c>
      <c r="U104" s="24" t="str">
        <f t="shared" si="12"/>
        <v/>
      </c>
      <c r="V104" s="10" t="str">
        <f>IFERROR(N104*VLOOKUP(G104,FILAMENTI_DB!$A:$J,10,FALSE),"")</f>
        <v/>
      </c>
      <c r="W104" s="10" t="str">
        <f>IFERROR((VLOOKUP(F104,STAMPANTI_DB!$A:$C,3,FALSE)/1000)*O104*SETTINGS!$C$6,"")</f>
        <v/>
      </c>
      <c r="X104" s="10" t="str">
        <f>IFERROR(O104*VLOOKUP(F104,STAMPANTI_DB!$A:$I,9,FALSE),"")</f>
        <v/>
      </c>
      <c r="Y104" s="10">
        <f>IFERROR(P104*SETTINGS!$C$7,"")</f>
        <v>0</v>
      </c>
      <c r="Z104" s="10">
        <f>SETTINGS!$C$11</f>
        <v>0.5</v>
      </c>
      <c r="AA104" s="10">
        <f t="shared" si="13"/>
        <v>0.5</v>
      </c>
      <c r="AB104" s="10">
        <f>IFERROR(AA104*SETTINGS!$C$9,"")</f>
        <v>2.5000000000000001E-2</v>
      </c>
      <c r="AC104" s="10">
        <f>IFERROR((AA104+AB104)*SETTINGS!$C$10,"")</f>
        <v>2.6250000000000002E-2</v>
      </c>
      <c r="AD104" s="24"/>
    </row>
    <row r="105" spans="1:30" ht="16" customHeight="1" x14ac:dyDescent="0.2">
      <c r="A105" s="17"/>
      <c r="B105" s="18"/>
      <c r="C105" s="7"/>
      <c r="D105" s="7"/>
      <c r="E105" s="7"/>
      <c r="F105" s="7"/>
      <c r="G105" s="7"/>
      <c r="H105" s="18" t="str">
        <f>IFERROR(VLOOKUP(G105,FILAMENTI_DB!$A:$C,3,FALSE),"")</f>
        <v/>
      </c>
      <c r="I105" s="18" t="str">
        <f>IFERROR(VLOOKUP(G105,FILAMENTI_DB!$A:$E,4,FALSE),"")</f>
        <v/>
      </c>
      <c r="J105" s="8"/>
      <c r="K105" s="6"/>
      <c r="L105" s="6"/>
      <c r="M105" s="16">
        <f t="shared" si="8"/>
        <v>0</v>
      </c>
      <c r="N105" s="20">
        <f t="shared" si="9"/>
        <v>0</v>
      </c>
      <c r="O105" s="8"/>
      <c r="P105" s="8"/>
      <c r="Q105" s="4"/>
      <c r="R105" s="10">
        <f t="shared" si="10"/>
        <v>0</v>
      </c>
      <c r="S105" s="10"/>
      <c r="T105" s="10">
        <f t="shared" si="11"/>
        <v>0</v>
      </c>
      <c r="U105" s="24" t="str">
        <f t="shared" si="12"/>
        <v/>
      </c>
      <c r="V105" s="10" t="str">
        <f>IFERROR(N105*VLOOKUP(G105,FILAMENTI_DB!$A:$J,10,FALSE),"")</f>
        <v/>
      </c>
      <c r="W105" s="10" t="str">
        <f>IFERROR((VLOOKUP(F105,STAMPANTI_DB!$A:$C,3,FALSE)/1000)*O105*SETTINGS!$C$6,"")</f>
        <v/>
      </c>
      <c r="X105" s="10" t="str">
        <f>IFERROR(O105*VLOOKUP(F105,STAMPANTI_DB!$A:$I,9,FALSE),"")</f>
        <v/>
      </c>
      <c r="Y105" s="10">
        <f>IFERROR(P105*SETTINGS!$C$7,"")</f>
        <v>0</v>
      </c>
      <c r="Z105" s="10">
        <f>SETTINGS!$C$11</f>
        <v>0.5</v>
      </c>
      <c r="AA105" s="10">
        <f t="shared" si="13"/>
        <v>0.5</v>
      </c>
      <c r="AB105" s="10">
        <f>IFERROR(AA105*SETTINGS!$C$9,"")</f>
        <v>2.5000000000000001E-2</v>
      </c>
      <c r="AC105" s="10">
        <f>IFERROR((AA105+AB105)*SETTINGS!$C$10,"")</f>
        <v>2.6250000000000002E-2</v>
      </c>
      <c r="AD105" s="24"/>
    </row>
    <row r="106" spans="1:30" ht="16" customHeight="1" x14ac:dyDescent="0.2">
      <c r="A106" s="17"/>
      <c r="B106" s="18"/>
      <c r="C106" s="7"/>
      <c r="D106" s="7"/>
      <c r="E106" s="7"/>
      <c r="F106" s="7"/>
      <c r="G106" s="7"/>
      <c r="H106" s="18" t="str">
        <f>IFERROR(VLOOKUP(G106,FILAMENTI_DB!$A:$C,3,FALSE),"")</f>
        <v/>
      </c>
      <c r="I106" s="18" t="str">
        <f>IFERROR(VLOOKUP(G106,FILAMENTI_DB!$A:$E,4,FALSE),"")</f>
        <v/>
      </c>
      <c r="J106" s="8"/>
      <c r="K106" s="6"/>
      <c r="L106" s="6"/>
      <c r="M106" s="16">
        <f t="shared" si="8"/>
        <v>0</v>
      </c>
      <c r="N106" s="20">
        <f t="shared" si="9"/>
        <v>0</v>
      </c>
      <c r="O106" s="8"/>
      <c r="P106" s="8"/>
      <c r="Q106" s="4"/>
      <c r="R106" s="10">
        <f t="shared" si="10"/>
        <v>0</v>
      </c>
      <c r="S106" s="10"/>
      <c r="T106" s="10">
        <f t="shared" si="11"/>
        <v>0</v>
      </c>
      <c r="U106" s="24" t="str">
        <f t="shared" si="12"/>
        <v/>
      </c>
      <c r="V106" s="10" t="str">
        <f>IFERROR(N106*VLOOKUP(G106,FILAMENTI_DB!$A:$J,10,FALSE),"")</f>
        <v/>
      </c>
      <c r="W106" s="10" t="str">
        <f>IFERROR((VLOOKUP(F106,STAMPANTI_DB!$A:$C,3,FALSE)/1000)*O106*SETTINGS!$C$6,"")</f>
        <v/>
      </c>
      <c r="X106" s="10" t="str">
        <f>IFERROR(O106*VLOOKUP(F106,STAMPANTI_DB!$A:$I,9,FALSE),"")</f>
        <v/>
      </c>
      <c r="Y106" s="10">
        <f>IFERROR(P106*SETTINGS!$C$7,"")</f>
        <v>0</v>
      </c>
      <c r="Z106" s="10">
        <f>SETTINGS!$C$11</f>
        <v>0.5</v>
      </c>
      <c r="AA106" s="10">
        <f t="shared" si="13"/>
        <v>0.5</v>
      </c>
      <c r="AB106" s="10">
        <f>IFERROR(AA106*SETTINGS!$C$9,"")</f>
        <v>2.5000000000000001E-2</v>
      </c>
      <c r="AC106" s="10">
        <f>IFERROR((AA106+AB106)*SETTINGS!$C$10,"")</f>
        <v>2.6250000000000002E-2</v>
      </c>
      <c r="AD106" s="24"/>
    </row>
    <row r="107" spans="1:30" ht="16" customHeight="1" x14ac:dyDescent="0.2">
      <c r="A107" s="17"/>
      <c r="B107" s="18"/>
      <c r="C107" s="7"/>
      <c r="D107" s="7"/>
      <c r="E107" s="7"/>
      <c r="F107" s="7"/>
      <c r="G107" s="7"/>
      <c r="H107" s="18" t="str">
        <f>IFERROR(VLOOKUP(G107,FILAMENTI_DB!$A:$C,3,FALSE),"")</f>
        <v/>
      </c>
      <c r="I107" s="18" t="str">
        <f>IFERROR(VLOOKUP(G107,FILAMENTI_DB!$A:$E,4,FALSE),"")</f>
        <v/>
      </c>
      <c r="J107" s="8"/>
      <c r="K107" s="6"/>
      <c r="L107" s="6"/>
      <c r="M107" s="16">
        <f t="shared" si="8"/>
        <v>0</v>
      </c>
      <c r="N107" s="20">
        <f t="shared" si="9"/>
        <v>0</v>
      </c>
      <c r="O107" s="8"/>
      <c r="P107" s="8"/>
      <c r="Q107" s="4"/>
      <c r="R107" s="10">
        <f t="shared" si="10"/>
        <v>0</v>
      </c>
      <c r="S107" s="10"/>
      <c r="T107" s="10">
        <f t="shared" si="11"/>
        <v>0</v>
      </c>
      <c r="U107" s="24" t="str">
        <f t="shared" si="12"/>
        <v/>
      </c>
      <c r="V107" s="10" t="str">
        <f>IFERROR(N107*VLOOKUP(G107,FILAMENTI_DB!$A:$J,10,FALSE),"")</f>
        <v/>
      </c>
      <c r="W107" s="10" t="str">
        <f>IFERROR((VLOOKUP(F107,STAMPANTI_DB!$A:$C,3,FALSE)/1000)*O107*SETTINGS!$C$6,"")</f>
        <v/>
      </c>
      <c r="X107" s="10" t="str">
        <f>IFERROR(O107*VLOOKUP(F107,STAMPANTI_DB!$A:$I,9,FALSE),"")</f>
        <v/>
      </c>
      <c r="Y107" s="10">
        <f>IFERROR(P107*SETTINGS!$C$7,"")</f>
        <v>0</v>
      </c>
      <c r="Z107" s="10">
        <f>SETTINGS!$C$11</f>
        <v>0.5</v>
      </c>
      <c r="AA107" s="10">
        <f t="shared" si="13"/>
        <v>0.5</v>
      </c>
      <c r="AB107" s="10">
        <f>IFERROR(AA107*SETTINGS!$C$9,"")</f>
        <v>2.5000000000000001E-2</v>
      </c>
      <c r="AC107" s="10">
        <f>IFERROR((AA107+AB107)*SETTINGS!$C$10,"")</f>
        <v>2.6250000000000002E-2</v>
      </c>
      <c r="AD107" s="24"/>
    </row>
    <row r="108" spans="1:30" ht="16" customHeight="1" x14ac:dyDescent="0.2">
      <c r="A108" s="17"/>
      <c r="B108" s="18"/>
      <c r="C108" s="7"/>
      <c r="D108" s="7"/>
      <c r="E108" s="7"/>
      <c r="F108" s="7"/>
      <c r="G108" s="7"/>
      <c r="H108" s="18" t="str">
        <f>IFERROR(VLOOKUP(G108,FILAMENTI_DB!$A:$C,3,FALSE),"")</f>
        <v/>
      </c>
      <c r="I108" s="18" t="str">
        <f>IFERROR(VLOOKUP(G108,FILAMENTI_DB!$A:$E,4,FALSE),"")</f>
        <v/>
      </c>
      <c r="J108" s="8"/>
      <c r="K108" s="6"/>
      <c r="L108" s="6"/>
      <c r="M108" s="16">
        <f t="shared" si="8"/>
        <v>0</v>
      </c>
      <c r="N108" s="20">
        <f t="shared" si="9"/>
        <v>0</v>
      </c>
      <c r="O108" s="8"/>
      <c r="P108" s="8"/>
      <c r="Q108" s="4"/>
      <c r="R108" s="10">
        <f t="shared" si="10"/>
        <v>0</v>
      </c>
      <c r="S108" s="10"/>
      <c r="T108" s="10">
        <f t="shared" si="11"/>
        <v>0</v>
      </c>
      <c r="U108" s="24" t="str">
        <f t="shared" si="12"/>
        <v/>
      </c>
      <c r="V108" s="10" t="str">
        <f>IFERROR(N108*VLOOKUP(G108,FILAMENTI_DB!$A:$J,10,FALSE),"")</f>
        <v/>
      </c>
      <c r="W108" s="10" t="str">
        <f>IFERROR((VLOOKUP(F108,STAMPANTI_DB!$A:$C,3,FALSE)/1000)*O108*SETTINGS!$C$6,"")</f>
        <v/>
      </c>
      <c r="X108" s="10" t="str">
        <f>IFERROR(O108*VLOOKUP(F108,STAMPANTI_DB!$A:$I,9,FALSE),"")</f>
        <v/>
      </c>
      <c r="Y108" s="10">
        <f>IFERROR(P108*SETTINGS!$C$7,"")</f>
        <v>0</v>
      </c>
      <c r="Z108" s="10">
        <f>SETTINGS!$C$11</f>
        <v>0.5</v>
      </c>
      <c r="AA108" s="10">
        <f t="shared" si="13"/>
        <v>0.5</v>
      </c>
      <c r="AB108" s="10">
        <f>IFERROR(AA108*SETTINGS!$C$9,"")</f>
        <v>2.5000000000000001E-2</v>
      </c>
      <c r="AC108" s="10">
        <f>IFERROR((AA108+AB108)*SETTINGS!$C$10,"")</f>
        <v>2.6250000000000002E-2</v>
      </c>
      <c r="AD108" s="24"/>
    </row>
    <row r="109" spans="1:30" ht="16" customHeight="1" x14ac:dyDescent="0.2">
      <c r="A109" s="17"/>
      <c r="B109" s="18"/>
      <c r="C109" s="7"/>
      <c r="D109" s="7"/>
      <c r="E109" s="7"/>
      <c r="F109" s="7"/>
      <c r="G109" s="7"/>
      <c r="H109" s="18" t="str">
        <f>IFERROR(VLOOKUP(G109,FILAMENTI_DB!$A:$C,3,FALSE),"")</f>
        <v/>
      </c>
      <c r="I109" s="18" t="str">
        <f>IFERROR(VLOOKUP(G109,FILAMENTI_DB!$A:$E,4,FALSE),"")</f>
        <v/>
      </c>
      <c r="J109" s="8"/>
      <c r="K109" s="6"/>
      <c r="L109" s="6"/>
      <c r="M109" s="16">
        <f t="shared" si="8"/>
        <v>0</v>
      </c>
      <c r="N109" s="20">
        <f t="shared" si="9"/>
        <v>0</v>
      </c>
      <c r="O109" s="8"/>
      <c r="P109" s="8"/>
      <c r="Q109" s="4"/>
      <c r="R109" s="10">
        <f t="shared" si="10"/>
        <v>0</v>
      </c>
      <c r="S109" s="10"/>
      <c r="T109" s="10">
        <f t="shared" si="11"/>
        <v>0</v>
      </c>
      <c r="U109" s="24" t="str">
        <f t="shared" si="12"/>
        <v/>
      </c>
      <c r="V109" s="10" t="str">
        <f>IFERROR(N109*VLOOKUP(G109,FILAMENTI_DB!$A:$J,10,FALSE),"")</f>
        <v/>
      </c>
      <c r="W109" s="10" t="str">
        <f>IFERROR((VLOOKUP(F109,STAMPANTI_DB!$A:$C,3,FALSE)/1000)*O109*SETTINGS!$C$6,"")</f>
        <v/>
      </c>
      <c r="X109" s="10" t="str">
        <f>IFERROR(O109*VLOOKUP(F109,STAMPANTI_DB!$A:$I,9,FALSE),"")</f>
        <v/>
      </c>
      <c r="Y109" s="10">
        <f>IFERROR(P109*SETTINGS!$C$7,"")</f>
        <v>0</v>
      </c>
      <c r="Z109" s="10">
        <f>SETTINGS!$C$11</f>
        <v>0.5</v>
      </c>
      <c r="AA109" s="10">
        <f t="shared" si="13"/>
        <v>0.5</v>
      </c>
      <c r="AB109" s="10">
        <f>IFERROR(AA109*SETTINGS!$C$9,"")</f>
        <v>2.5000000000000001E-2</v>
      </c>
      <c r="AC109" s="10">
        <f>IFERROR((AA109+AB109)*SETTINGS!$C$10,"")</f>
        <v>2.6250000000000002E-2</v>
      </c>
      <c r="AD109" s="24"/>
    </row>
    <row r="110" spans="1:30" ht="16" customHeight="1" x14ac:dyDescent="0.2">
      <c r="A110" s="17"/>
      <c r="B110" s="18"/>
      <c r="C110" s="7"/>
      <c r="D110" s="7"/>
      <c r="E110" s="7"/>
      <c r="F110" s="7"/>
      <c r="G110" s="7"/>
      <c r="H110" s="18" t="str">
        <f>IFERROR(VLOOKUP(G110,FILAMENTI_DB!$A:$C,3,FALSE),"")</f>
        <v/>
      </c>
      <c r="I110" s="18" t="str">
        <f>IFERROR(VLOOKUP(G110,FILAMENTI_DB!$A:$E,4,FALSE),"")</f>
        <v/>
      </c>
      <c r="J110" s="8"/>
      <c r="K110" s="6"/>
      <c r="L110" s="6"/>
      <c r="M110" s="16">
        <f t="shared" si="8"/>
        <v>0</v>
      </c>
      <c r="N110" s="20">
        <f t="shared" si="9"/>
        <v>0</v>
      </c>
      <c r="O110" s="8"/>
      <c r="P110" s="8"/>
      <c r="Q110" s="4"/>
      <c r="R110" s="10">
        <f t="shared" si="10"/>
        <v>0</v>
      </c>
      <c r="S110" s="10"/>
      <c r="T110" s="10">
        <f t="shared" si="11"/>
        <v>0</v>
      </c>
      <c r="U110" s="24" t="str">
        <f t="shared" si="12"/>
        <v/>
      </c>
      <c r="V110" s="10" t="str">
        <f>IFERROR(N110*VLOOKUP(G110,FILAMENTI_DB!$A:$J,10,FALSE),"")</f>
        <v/>
      </c>
      <c r="W110" s="10" t="str">
        <f>IFERROR((VLOOKUP(F110,STAMPANTI_DB!$A:$C,3,FALSE)/1000)*O110*SETTINGS!$C$6,"")</f>
        <v/>
      </c>
      <c r="X110" s="10" t="str">
        <f>IFERROR(O110*VLOOKUP(F110,STAMPANTI_DB!$A:$I,9,FALSE),"")</f>
        <v/>
      </c>
      <c r="Y110" s="10">
        <f>IFERROR(P110*SETTINGS!$C$7,"")</f>
        <v>0</v>
      </c>
      <c r="Z110" s="10">
        <f>SETTINGS!$C$11</f>
        <v>0.5</v>
      </c>
      <c r="AA110" s="10">
        <f t="shared" si="13"/>
        <v>0.5</v>
      </c>
      <c r="AB110" s="10">
        <f>IFERROR(AA110*SETTINGS!$C$9,"")</f>
        <v>2.5000000000000001E-2</v>
      </c>
      <c r="AC110" s="10">
        <f>IFERROR((AA110+AB110)*SETTINGS!$C$10,"")</f>
        <v>2.6250000000000002E-2</v>
      </c>
      <c r="AD110" s="24"/>
    </row>
    <row r="111" spans="1:30" ht="16" customHeight="1" x14ac:dyDescent="0.2">
      <c r="A111" s="17"/>
      <c r="B111" s="18"/>
      <c r="C111" s="7"/>
      <c r="D111" s="7"/>
      <c r="E111" s="7"/>
      <c r="F111" s="7"/>
      <c r="G111" s="7"/>
      <c r="H111" s="18" t="str">
        <f>IFERROR(VLOOKUP(G111,FILAMENTI_DB!$A:$C,3,FALSE),"")</f>
        <v/>
      </c>
      <c r="I111" s="18" t="str">
        <f>IFERROR(VLOOKUP(G111,FILAMENTI_DB!$A:$E,4,FALSE),"")</f>
        <v/>
      </c>
      <c r="J111" s="8"/>
      <c r="K111" s="6"/>
      <c r="L111" s="6"/>
      <c r="M111" s="16">
        <f t="shared" si="8"/>
        <v>0</v>
      </c>
      <c r="N111" s="20">
        <f t="shared" si="9"/>
        <v>0</v>
      </c>
      <c r="O111" s="8"/>
      <c r="P111" s="8"/>
      <c r="Q111" s="4"/>
      <c r="R111" s="10">
        <f t="shared" si="10"/>
        <v>0</v>
      </c>
      <c r="S111" s="10"/>
      <c r="T111" s="10">
        <f t="shared" si="11"/>
        <v>0</v>
      </c>
      <c r="U111" s="24" t="str">
        <f t="shared" si="12"/>
        <v/>
      </c>
      <c r="V111" s="10" t="str">
        <f>IFERROR(N111*VLOOKUP(G111,FILAMENTI_DB!$A:$J,10,FALSE),"")</f>
        <v/>
      </c>
      <c r="W111" s="10" t="str">
        <f>IFERROR((VLOOKUP(F111,STAMPANTI_DB!$A:$C,3,FALSE)/1000)*O111*SETTINGS!$C$6,"")</f>
        <v/>
      </c>
      <c r="X111" s="10" t="str">
        <f>IFERROR(O111*VLOOKUP(F111,STAMPANTI_DB!$A:$I,9,FALSE),"")</f>
        <v/>
      </c>
      <c r="Y111" s="10">
        <f>IFERROR(P111*SETTINGS!$C$7,"")</f>
        <v>0</v>
      </c>
      <c r="Z111" s="10">
        <f>SETTINGS!$C$11</f>
        <v>0.5</v>
      </c>
      <c r="AA111" s="10">
        <f t="shared" si="13"/>
        <v>0.5</v>
      </c>
      <c r="AB111" s="10">
        <f>IFERROR(AA111*SETTINGS!$C$9,"")</f>
        <v>2.5000000000000001E-2</v>
      </c>
      <c r="AC111" s="10">
        <f>IFERROR((AA111+AB111)*SETTINGS!$C$10,"")</f>
        <v>2.6250000000000002E-2</v>
      </c>
      <c r="AD111" s="24"/>
    </row>
    <row r="112" spans="1:30" ht="16" customHeight="1" x14ac:dyDescent="0.2">
      <c r="A112" s="17"/>
      <c r="B112" s="18"/>
      <c r="C112" s="7"/>
      <c r="D112" s="7"/>
      <c r="E112" s="7"/>
      <c r="F112" s="7"/>
      <c r="G112" s="7"/>
      <c r="H112" s="18" t="str">
        <f>IFERROR(VLOOKUP(G112,FILAMENTI_DB!$A:$C,3,FALSE),"")</f>
        <v/>
      </c>
      <c r="I112" s="18" t="str">
        <f>IFERROR(VLOOKUP(G112,FILAMENTI_DB!$A:$E,4,FALSE),"")</f>
        <v/>
      </c>
      <c r="J112" s="8"/>
      <c r="K112" s="6"/>
      <c r="L112" s="6"/>
      <c r="M112" s="16">
        <f t="shared" si="8"/>
        <v>0</v>
      </c>
      <c r="N112" s="20">
        <f t="shared" si="9"/>
        <v>0</v>
      </c>
      <c r="O112" s="8"/>
      <c r="P112" s="8"/>
      <c r="Q112" s="4"/>
      <c r="R112" s="10">
        <f t="shared" si="10"/>
        <v>0</v>
      </c>
      <c r="S112" s="10"/>
      <c r="T112" s="10">
        <f t="shared" si="11"/>
        <v>0</v>
      </c>
      <c r="U112" s="24" t="str">
        <f t="shared" si="12"/>
        <v/>
      </c>
      <c r="V112" s="10" t="str">
        <f>IFERROR(N112*VLOOKUP(G112,FILAMENTI_DB!$A:$J,10,FALSE),"")</f>
        <v/>
      </c>
      <c r="W112" s="10" t="str">
        <f>IFERROR((VLOOKUP(F112,STAMPANTI_DB!$A:$C,3,FALSE)/1000)*O112*SETTINGS!$C$6,"")</f>
        <v/>
      </c>
      <c r="X112" s="10" t="str">
        <f>IFERROR(O112*VLOOKUP(F112,STAMPANTI_DB!$A:$I,9,FALSE),"")</f>
        <v/>
      </c>
      <c r="Y112" s="10">
        <f>IFERROR(P112*SETTINGS!$C$7,"")</f>
        <v>0</v>
      </c>
      <c r="Z112" s="10">
        <f>SETTINGS!$C$11</f>
        <v>0.5</v>
      </c>
      <c r="AA112" s="10">
        <f t="shared" si="13"/>
        <v>0.5</v>
      </c>
      <c r="AB112" s="10">
        <f>IFERROR(AA112*SETTINGS!$C$9,"")</f>
        <v>2.5000000000000001E-2</v>
      </c>
      <c r="AC112" s="10">
        <f>IFERROR((AA112+AB112)*SETTINGS!$C$10,"")</f>
        <v>2.6250000000000002E-2</v>
      </c>
      <c r="AD112" s="24"/>
    </row>
    <row r="113" spans="1:30" ht="16" customHeight="1" x14ac:dyDescent="0.2">
      <c r="A113" s="17"/>
      <c r="B113" s="18"/>
      <c r="C113" s="7"/>
      <c r="D113" s="7"/>
      <c r="E113" s="7"/>
      <c r="F113" s="7"/>
      <c r="G113" s="7"/>
      <c r="H113" s="18" t="str">
        <f>IFERROR(VLOOKUP(G113,FILAMENTI_DB!$A:$C,3,FALSE),"")</f>
        <v/>
      </c>
      <c r="I113" s="18" t="str">
        <f>IFERROR(VLOOKUP(G113,FILAMENTI_DB!$A:$E,4,FALSE),"")</f>
        <v/>
      </c>
      <c r="J113" s="8"/>
      <c r="K113" s="6"/>
      <c r="L113" s="6"/>
      <c r="M113" s="16">
        <f t="shared" si="8"/>
        <v>0</v>
      </c>
      <c r="N113" s="20">
        <f t="shared" si="9"/>
        <v>0</v>
      </c>
      <c r="O113" s="8"/>
      <c r="P113" s="8"/>
      <c r="Q113" s="4"/>
      <c r="R113" s="10">
        <f t="shared" si="10"/>
        <v>0</v>
      </c>
      <c r="S113" s="10"/>
      <c r="T113" s="10">
        <f t="shared" si="11"/>
        <v>0</v>
      </c>
      <c r="U113" s="24" t="str">
        <f t="shared" si="12"/>
        <v/>
      </c>
      <c r="V113" s="10" t="str">
        <f>IFERROR(N113*VLOOKUP(G113,FILAMENTI_DB!$A:$J,10,FALSE),"")</f>
        <v/>
      </c>
      <c r="W113" s="10" t="str">
        <f>IFERROR((VLOOKUP(F113,STAMPANTI_DB!$A:$C,3,FALSE)/1000)*O113*SETTINGS!$C$6,"")</f>
        <v/>
      </c>
      <c r="X113" s="10" t="str">
        <f>IFERROR(O113*VLOOKUP(F113,STAMPANTI_DB!$A:$I,9,FALSE),"")</f>
        <v/>
      </c>
      <c r="Y113" s="10">
        <f>IFERROR(P113*SETTINGS!$C$7,"")</f>
        <v>0</v>
      </c>
      <c r="Z113" s="10">
        <f>SETTINGS!$C$11</f>
        <v>0.5</v>
      </c>
      <c r="AA113" s="10">
        <f t="shared" si="13"/>
        <v>0.5</v>
      </c>
      <c r="AB113" s="10">
        <f>IFERROR(AA113*SETTINGS!$C$9,"")</f>
        <v>2.5000000000000001E-2</v>
      </c>
      <c r="AC113" s="10">
        <f>IFERROR((AA113+AB113)*SETTINGS!$C$10,"")</f>
        <v>2.6250000000000002E-2</v>
      </c>
      <c r="AD113" s="24"/>
    </row>
    <row r="114" spans="1:30" ht="16" customHeight="1" x14ac:dyDescent="0.2">
      <c r="A114" s="17"/>
      <c r="B114" s="18"/>
      <c r="C114" s="7"/>
      <c r="D114" s="7"/>
      <c r="E114" s="7"/>
      <c r="F114" s="7"/>
      <c r="G114" s="7"/>
      <c r="H114" s="18" t="str">
        <f>IFERROR(VLOOKUP(G114,FILAMENTI_DB!$A:$C,3,FALSE),"")</f>
        <v/>
      </c>
      <c r="I114" s="18" t="str">
        <f>IFERROR(VLOOKUP(G114,FILAMENTI_DB!$A:$E,4,FALSE),"")</f>
        <v/>
      </c>
      <c r="J114" s="8"/>
      <c r="K114" s="6"/>
      <c r="L114" s="6"/>
      <c r="M114" s="16">
        <f t="shared" si="8"/>
        <v>0</v>
      </c>
      <c r="N114" s="20">
        <f t="shared" si="9"/>
        <v>0</v>
      </c>
      <c r="O114" s="8"/>
      <c r="P114" s="8"/>
      <c r="Q114" s="4"/>
      <c r="R114" s="10">
        <f t="shared" si="10"/>
        <v>0</v>
      </c>
      <c r="S114" s="10"/>
      <c r="T114" s="10">
        <f t="shared" si="11"/>
        <v>0</v>
      </c>
      <c r="U114" s="24" t="str">
        <f t="shared" si="12"/>
        <v/>
      </c>
      <c r="V114" s="10" t="str">
        <f>IFERROR(N114*VLOOKUP(G114,FILAMENTI_DB!$A:$J,10,FALSE),"")</f>
        <v/>
      </c>
      <c r="W114" s="10" t="str">
        <f>IFERROR((VLOOKUP(F114,STAMPANTI_DB!$A:$C,3,FALSE)/1000)*O114*SETTINGS!$C$6,"")</f>
        <v/>
      </c>
      <c r="X114" s="10" t="str">
        <f>IFERROR(O114*VLOOKUP(F114,STAMPANTI_DB!$A:$I,9,FALSE),"")</f>
        <v/>
      </c>
      <c r="Y114" s="10">
        <f>IFERROR(P114*SETTINGS!$C$7,"")</f>
        <v>0</v>
      </c>
      <c r="Z114" s="10">
        <f>SETTINGS!$C$11</f>
        <v>0.5</v>
      </c>
      <c r="AA114" s="10">
        <f t="shared" si="13"/>
        <v>0.5</v>
      </c>
      <c r="AB114" s="10">
        <f>IFERROR(AA114*SETTINGS!$C$9,"")</f>
        <v>2.5000000000000001E-2</v>
      </c>
      <c r="AC114" s="10">
        <f>IFERROR((AA114+AB114)*SETTINGS!$C$10,"")</f>
        <v>2.6250000000000002E-2</v>
      </c>
      <c r="AD114" s="24"/>
    </row>
    <row r="115" spans="1:30" ht="16" customHeight="1" x14ac:dyDescent="0.2">
      <c r="A115" s="17"/>
      <c r="B115" s="18"/>
      <c r="C115" s="7"/>
      <c r="D115" s="7"/>
      <c r="E115" s="7"/>
      <c r="F115" s="7"/>
      <c r="G115" s="7"/>
      <c r="H115" s="18" t="str">
        <f>IFERROR(VLOOKUP(G115,FILAMENTI_DB!$A:$C,3,FALSE),"")</f>
        <v/>
      </c>
      <c r="I115" s="18" t="str">
        <f>IFERROR(VLOOKUP(G115,FILAMENTI_DB!$A:$E,4,FALSE),"")</f>
        <v/>
      </c>
      <c r="J115" s="8"/>
      <c r="K115" s="6"/>
      <c r="L115" s="6"/>
      <c r="M115" s="16">
        <f t="shared" si="8"/>
        <v>0</v>
      </c>
      <c r="N115" s="20">
        <f t="shared" si="9"/>
        <v>0</v>
      </c>
      <c r="O115" s="8"/>
      <c r="P115" s="8"/>
      <c r="Q115" s="4"/>
      <c r="R115" s="10">
        <f t="shared" si="10"/>
        <v>0</v>
      </c>
      <c r="S115" s="10"/>
      <c r="T115" s="10">
        <f t="shared" si="11"/>
        <v>0</v>
      </c>
      <c r="U115" s="24" t="str">
        <f t="shared" si="12"/>
        <v/>
      </c>
      <c r="V115" s="10" t="str">
        <f>IFERROR(N115*VLOOKUP(G115,FILAMENTI_DB!$A:$J,10,FALSE),"")</f>
        <v/>
      </c>
      <c r="W115" s="10" t="str">
        <f>IFERROR((VLOOKUP(F115,STAMPANTI_DB!$A:$C,3,FALSE)/1000)*O115*SETTINGS!$C$6,"")</f>
        <v/>
      </c>
      <c r="X115" s="10" t="str">
        <f>IFERROR(O115*VLOOKUP(F115,STAMPANTI_DB!$A:$I,9,FALSE),"")</f>
        <v/>
      </c>
      <c r="Y115" s="10">
        <f>IFERROR(P115*SETTINGS!$C$7,"")</f>
        <v>0</v>
      </c>
      <c r="Z115" s="10">
        <f>SETTINGS!$C$11</f>
        <v>0.5</v>
      </c>
      <c r="AA115" s="10">
        <f t="shared" si="13"/>
        <v>0.5</v>
      </c>
      <c r="AB115" s="10">
        <f>IFERROR(AA115*SETTINGS!$C$9,"")</f>
        <v>2.5000000000000001E-2</v>
      </c>
      <c r="AC115" s="10">
        <f>IFERROR((AA115+AB115)*SETTINGS!$C$10,"")</f>
        <v>2.6250000000000002E-2</v>
      </c>
      <c r="AD115" s="24"/>
    </row>
    <row r="116" spans="1:30" ht="16" customHeight="1" x14ac:dyDescent="0.2">
      <c r="A116" s="17"/>
      <c r="B116" s="18"/>
      <c r="C116" s="7"/>
      <c r="D116" s="7"/>
      <c r="E116" s="7"/>
      <c r="F116" s="7"/>
      <c r="G116" s="7"/>
      <c r="H116" s="18" t="str">
        <f>IFERROR(VLOOKUP(G116,FILAMENTI_DB!$A:$C,3,FALSE),"")</f>
        <v/>
      </c>
      <c r="I116" s="18" t="str">
        <f>IFERROR(VLOOKUP(G116,FILAMENTI_DB!$A:$E,4,FALSE),"")</f>
        <v/>
      </c>
      <c r="J116" s="8"/>
      <c r="K116" s="6"/>
      <c r="L116" s="6"/>
      <c r="M116" s="16">
        <f t="shared" si="8"/>
        <v>0</v>
      </c>
      <c r="N116" s="20">
        <f t="shared" si="9"/>
        <v>0</v>
      </c>
      <c r="O116" s="8"/>
      <c r="P116" s="8"/>
      <c r="Q116" s="4"/>
      <c r="R116" s="10">
        <f t="shared" si="10"/>
        <v>0</v>
      </c>
      <c r="S116" s="10"/>
      <c r="T116" s="10">
        <f t="shared" si="11"/>
        <v>0</v>
      </c>
      <c r="U116" s="24" t="str">
        <f t="shared" si="12"/>
        <v/>
      </c>
      <c r="V116" s="10" t="str">
        <f>IFERROR(N116*VLOOKUP(G116,FILAMENTI_DB!$A:$J,10,FALSE),"")</f>
        <v/>
      </c>
      <c r="W116" s="10" t="str">
        <f>IFERROR((VLOOKUP(F116,STAMPANTI_DB!$A:$C,3,FALSE)/1000)*O116*SETTINGS!$C$6,"")</f>
        <v/>
      </c>
      <c r="X116" s="10" t="str">
        <f>IFERROR(O116*VLOOKUP(F116,STAMPANTI_DB!$A:$I,9,FALSE),"")</f>
        <v/>
      </c>
      <c r="Y116" s="10">
        <f>IFERROR(P116*SETTINGS!$C$7,"")</f>
        <v>0</v>
      </c>
      <c r="Z116" s="10">
        <f>SETTINGS!$C$11</f>
        <v>0.5</v>
      </c>
      <c r="AA116" s="10">
        <f t="shared" si="13"/>
        <v>0.5</v>
      </c>
      <c r="AB116" s="10">
        <f>IFERROR(AA116*SETTINGS!$C$9,"")</f>
        <v>2.5000000000000001E-2</v>
      </c>
      <c r="AC116" s="10">
        <f>IFERROR((AA116+AB116)*SETTINGS!$C$10,"")</f>
        <v>2.6250000000000002E-2</v>
      </c>
      <c r="AD116" s="24"/>
    </row>
    <row r="117" spans="1:30" ht="16" customHeight="1" x14ac:dyDescent="0.2">
      <c r="A117" s="17"/>
      <c r="B117" s="18"/>
      <c r="C117" s="7"/>
      <c r="D117" s="7"/>
      <c r="E117" s="7"/>
      <c r="F117" s="7"/>
      <c r="G117" s="7"/>
      <c r="H117" s="18" t="str">
        <f>IFERROR(VLOOKUP(G117,FILAMENTI_DB!$A:$C,3,FALSE),"")</f>
        <v/>
      </c>
      <c r="I117" s="18" t="str">
        <f>IFERROR(VLOOKUP(G117,FILAMENTI_DB!$A:$E,4,FALSE),"")</f>
        <v/>
      </c>
      <c r="J117" s="8"/>
      <c r="K117" s="6"/>
      <c r="L117" s="6"/>
      <c r="M117" s="16">
        <f t="shared" si="8"/>
        <v>0</v>
      </c>
      <c r="N117" s="20">
        <f t="shared" si="9"/>
        <v>0</v>
      </c>
      <c r="O117" s="8"/>
      <c r="P117" s="8"/>
      <c r="Q117" s="4"/>
      <c r="R117" s="10">
        <f t="shared" si="10"/>
        <v>0</v>
      </c>
      <c r="S117" s="10"/>
      <c r="T117" s="10">
        <f t="shared" si="11"/>
        <v>0</v>
      </c>
      <c r="U117" s="24" t="str">
        <f t="shared" si="12"/>
        <v/>
      </c>
      <c r="V117" s="10" t="str">
        <f>IFERROR(N117*VLOOKUP(G117,FILAMENTI_DB!$A:$J,10,FALSE),"")</f>
        <v/>
      </c>
      <c r="W117" s="10" t="str">
        <f>IFERROR((VLOOKUP(F117,STAMPANTI_DB!$A:$C,3,FALSE)/1000)*O117*SETTINGS!$C$6,"")</f>
        <v/>
      </c>
      <c r="X117" s="10" t="str">
        <f>IFERROR(O117*VLOOKUP(F117,STAMPANTI_DB!$A:$I,9,FALSE),"")</f>
        <v/>
      </c>
      <c r="Y117" s="10">
        <f>IFERROR(P117*SETTINGS!$C$7,"")</f>
        <v>0</v>
      </c>
      <c r="Z117" s="10">
        <f>SETTINGS!$C$11</f>
        <v>0.5</v>
      </c>
      <c r="AA117" s="10">
        <f t="shared" si="13"/>
        <v>0.5</v>
      </c>
      <c r="AB117" s="10">
        <f>IFERROR(AA117*SETTINGS!$C$9,"")</f>
        <v>2.5000000000000001E-2</v>
      </c>
      <c r="AC117" s="10">
        <f>IFERROR((AA117+AB117)*SETTINGS!$C$10,"")</f>
        <v>2.6250000000000002E-2</v>
      </c>
      <c r="AD117" s="24"/>
    </row>
    <row r="118" spans="1:30" ht="16" customHeight="1" x14ac:dyDescent="0.2">
      <c r="A118" s="17"/>
      <c r="B118" s="18"/>
      <c r="C118" s="7"/>
      <c r="D118" s="7"/>
      <c r="E118" s="7"/>
      <c r="F118" s="7"/>
      <c r="G118" s="7"/>
      <c r="H118" s="18" t="str">
        <f>IFERROR(VLOOKUP(G118,FILAMENTI_DB!$A:$C,3,FALSE),"")</f>
        <v/>
      </c>
      <c r="I118" s="18" t="str">
        <f>IFERROR(VLOOKUP(G118,FILAMENTI_DB!$A:$E,4,FALSE),"")</f>
        <v/>
      </c>
      <c r="J118" s="8"/>
      <c r="K118" s="6"/>
      <c r="L118" s="6"/>
      <c r="M118" s="16">
        <f t="shared" si="8"/>
        <v>0</v>
      </c>
      <c r="N118" s="20">
        <f t="shared" si="9"/>
        <v>0</v>
      </c>
      <c r="O118" s="8"/>
      <c r="P118" s="8"/>
      <c r="Q118" s="4"/>
      <c r="R118" s="10">
        <f t="shared" si="10"/>
        <v>0</v>
      </c>
      <c r="S118" s="10"/>
      <c r="T118" s="10">
        <f t="shared" si="11"/>
        <v>0</v>
      </c>
      <c r="U118" s="24" t="str">
        <f t="shared" si="12"/>
        <v/>
      </c>
      <c r="V118" s="10" t="str">
        <f>IFERROR(N118*VLOOKUP(G118,FILAMENTI_DB!$A:$J,10,FALSE),"")</f>
        <v/>
      </c>
      <c r="W118" s="10" t="str">
        <f>IFERROR((VLOOKUP(F118,STAMPANTI_DB!$A:$C,3,FALSE)/1000)*O118*SETTINGS!$C$6,"")</f>
        <v/>
      </c>
      <c r="X118" s="10" t="str">
        <f>IFERROR(O118*VLOOKUP(F118,STAMPANTI_DB!$A:$I,9,FALSE),"")</f>
        <v/>
      </c>
      <c r="Y118" s="10">
        <f>IFERROR(P118*SETTINGS!$C$7,"")</f>
        <v>0</v>
      </c>
      <c r="Z118" s="10">
        <f>SETTINGS!$C$11</f>
        <v>0.5</v>
      </c>
      <c r="AA118" s="10">
        <f t="shared" si="13"/>
        <v>0.5</v>
      </c>
      <c r="AB118" s="10">
        <f>IFERROR(AA118*SETTINGS!$C$9,"")</f>
        <v>2.5000000000000001E-2</v>
      </c>
      <c r="AC118" s="10">
        <f>IFERROR((AA118+AB118)*SETTINGS!$C$10,"")</f>
        <v>2.6250000000000002E-2</v>
      </c>
      <c r="AD118" s="24"/>
    </row>
    <row r="119" spans="1:30" ht="16" customHeight="1" x14ac:dyDescent="0.2">
      <c r="A119" s="17"/>
      <c r="B119" s="18"/>
      <c r="C119" s="7"/>
      <c r="D119" s="7"/>
      <c r="E119" s="7"/>
      <c r="F119" s="7"/>
      <c r="G119" s="7"/>
      <c r="H119" s="18" t="str">
        <f>IFERROR(VLOOKUP(G119,FILAMENTI_DB!$A:$C,3,FALSE),"")</f>
        <v/>
      </c>
      <c r="I119" s="18" t="str">
        <f>IFERROR(VLOOKUP(G119,FILAMENTI_DB!$A:$E,4,FALSE),"")</f>
        <v/>
      </c>
      <c r="J119" s="8"/>
      <c r="K119" s="6"/>
      <c r="L119" s="6"/>
      <c r="M119" s="16">
        <f t="shared" si="8"/>
        <v>0</v>
      </c>
      <c r="N119" s="20">
        <f t="shared" si="9"/>
        <v>0</v>
      </c>
      <c r="O119" s="8"/>
      <c r="P119" s="8"/>
      <c r="Q119" s="4"/>
      <c r="R119" s="10">
        <f t="shared" si="10"/>
        <v>0</v>
      </c>
      <c r="S119" s="10"/>
      <c r="T119" s="10">
        <f t="shared" si="11"/>
        <v>0</v>
      </c>
      <c r="U119" s="24" t="str">
        <f t="shared" si="12"/>
        <v/>
      </c>
      <c r="V119" s="10" t="str">
        <f>IFERROR(N119*VLOOKUP(G119,FILAMENTI_DB!$A:$J,10,FALSE),"")</f>
        <v/>
      </c>
      <c r="W119" s="10" t="str">
        <f>IFERROR((VLOOKUP(F119,STAMPANTI_DB!$A:$C,3,FALSE)/1000)*O119*SETTINGS!$C$6,"")</f>
        <v/>
      </c>
      <c r="X119" s="10" t="str">
        <f>IFERROR(O119*VLOOKUP(F119,STAMPANTI_DB!$A:$I,9,FALSE),"")</f>
        <v/>
      </c>
      <c r="Y119" s="10">
        <f>IFERROR(P119*SETTINGS!$C$7,"")</f>
        <v>0</v>
      </c>
      <c r="Z119" s="10">
        <f>SETTINGS!$C$11</f>
        <v>0.5</v>
      </c>
      <c r="AA119" s="10">
        <f t="shared" si="13"/>
        <v>0.5</v>
      </c>
      <c r="AB119" s="10">
        <f>IFERROR(AA119*SETTINGS!$C$9,"")</f>
        <v>2.5000000000000001E-2</v>
      </c>
      <c r="AC119" s="10">
        <f>IFERROR((AA119+AB119)*SETTINGS!$C$10,"")</f>
        <v>2.6250000000000002E-2</v>
      </c>
      <c r="AD119" s="24"/>
    </row>
    <row r="120" spans="1:30" ht="16" customHeight="1" x14ac:dyDescent="0.2">
      <c r="A120" s="17"/>
      <c r="B120" s="18"/>
      <c r="C120" s="7"/>
      <c r="D120" s="7"/>
      <c r="E120" s="7"/>
      <c r="F120" s="7"/>
      <c r="G120" s="7"/>
      <c r="H120" s="18" t="str">
        <f>IFERROR(VLOOKUP(G120,FILAMENTI_DB!$A:$C,3,FALSE),"")</f>
        <v/>
      </c>
      <c r="I120" s="18" t="str">
        <f>IFERROR(VLOOKUP(G120,FILAMENTI_DB!$A:$E,4,FALSE),"")</f>
        <v/>
      </c>
      <c r="J120" s="8"/>
      <c r="K120" s="6"/>
      <c r="L120" s="6"/>
      <c r="M120" s="16">
        <f t="shared" si="8"/>
        <v>0</v>
      </c>
      <c r="N120" s="20">
        <f t="shared" si="9"/>
        <v>0</v>
      </c>
      <c r="O120" s="8"/>
      <c r="P120" s="8"/>
      <c r="Q120" s="4"/>
      <c r="R120" s="10">
        <f t="shared" si="10"/>
        <v>0</v>
      </c>
      <c r="S120" s="10"/>
      <c r="T120" s="10">
        <f t="shared" si="11"/>
        <v>0</v>
      </c>
      <c r="U120" s="24" t="str">
        <f t="shared" si="12"/>
        <v/>
      </c>
      <c r="V120" s="10" t="str">
        <f>IFERROR(N120*VLOOKUP(G120,FILAMENTI_DB!$A:$J,10,FALSE),"")</f>
        <v/>
      </c>
      <c r="W120" s="10" t="str">
        <f>IFERROR((VLOOKUP(F120,STAMPANTI_DB!$A:$C,3,FALSE)/1000)*O120*SETTINGS!$C$6,"")</f>
        <v/>
      </c>
      <c r="X120" s="10" t="str">
        <f>IFERROR(O120*VLOOKUP(F120,STAMPANTI_DB!$A:$I,9,FALSE),"")</f>
        <v/>
      </c>
      <c r="Y120" s="10">
        <f>IFERROR(P120*SETTINGS!$C$7,"")</f>
        <v>0</v>
      </c>
      <c r="Z120" s="10">
        <f>SETTINGS!$C$11</f>
        <v>0.5</v>
      </c>
      <c r="AA120" s="10">
        <f t="shared" si="13"/>
        <v>0.5</v>
      </c>
      <c r="AB120" s="10">
        <f>IFERROR(AA120*SETTINGS!$C$9,"")</f>
        <v>2.5000000000000001E-2</v>
      </c>
      <c r="AC120" s="10">
        <f>IFERROR((AA120+AB120)*SETTINGS!$C$10,"")</f>
        <v>2.6250000000000002E-2</v>
      </c>
      <c r="AD120" s="24"/>
    </row>
    <row r="121" spans="1:30" ht="16" customHeight="1" x14ac:dyDescent="0.2">
      <c r="A121" s="17"/>
      <c r="B121" s="18"/>
      <c r="C121" s="7"/>
      <c r="D121" s="7"/>
      <c r="E121" s="7"/>
      <c r="F121" s="7"/>
      <c r="G121" s="7"/>
      <c r="H121" s="18" t="str">
        <f>IFERROR(VLOOKUP(G121,FILAMENTI_DB!$A:$C,3,FALSE),"")</f>
        <v/>
      </c>
      <c r="I121" s="18" t="str">
        <f>IFERROR(VLOOKUP(G121,FILAMENTI_DB!$A:$E,4,FALSE),"")</f>
        <v/>
      </c>
      <c r="J121" s="8"/>
      <c r="K121" s="6"/>
      <c r="L121" s="6"/>
      <c r="M121" s="16">
        <f t="shared" si="8"/>
        <v>0</v>
      </c>
      <c r="N121" s="20">
        <f t="shared" si="9"/>
        <v>0</v>
      </c>
      <c r="O121" s="8"/>
      <c r="P121" s="8"/>
      <c r="Q121" s="4"/>
      <c r="R121" s="10">
        <f t="shared" si="10"/>
        <v>0</v>
      </c>
      <c r="S121" s="10"/>
      <c r="T121" s="10">
        <f t="shared" si="11"/>
        <v>0</v>
      </c>
      <c r="U121" s="24" t="str">
        <f t="shared" si="12"/>
        <v/>
      </c>
      <c r="V121" s="10" t="str">
        <f>IFERROR(N121*VLOOKUP(G121,FILAMENTI_DB!$A:$J,10,FALSE),"")</f>
        <v/>
      </c>
      <c r="W121" s="10" t="str">
        <f>IFERROR((VLOOKUP(F121,STAMPANTI_DB!$A:$C,3,FALSE)/1000)*O121*SETTINGS!$C$6,"")</f>
        <v/>
      </c>
      <c r="X121" s="10" t="str">
        <f>IFERROR(O121*VLOOKUP(F121,STAMPANTI_DB!$A:$I,9,FALSE),"")</f>
        <v/>
      </c>
      <c r="Y121" s="10">
        <f>IFERROR(P121*SETTINGS!$C$7,"")</f>
        <v>0</v>
      </c>
      <c r="Z121" s="10">
        <f>SETTINGS!$C$11</f>
        <v>0.5</v>
      </c>
      <c r="AA121" s="10">
        <f t="shared" si="13"/>
        <v>0.5</v>
      </c>
      <c r="AB121" s="10">
        <f>IFERROR(AA121*SETTINGS!$C$9,"")</f>
        <v>2.5000000000000001E-2</v>
      </c>
      <c r="AC121" s="10">
        <f>IFERROR((AA121+AB121)*SETTINGS!$C$10,"")</f>
        <v>2.6250000000000002E-2</v>
      </c>
      <c r="AD121" s="24"/>
    </row>
    <row r="122" spans="1:30" ht="16" customHeight="1" x14ac:dyDescent="0.2">
      <c r="A122" s="17"/>
      <c r="B122" s="18"/>
      <c r="C122" s="7"/>
      <c r="D122" s="7"/>
      <c r="E122" s="7"/>
      <c r="F122" s="7"/>
      <c r="G122" s="7"/>
      <c r="H122" s="18" t="str">
        <f>IFERROR(VLOOKUP(G122,FILAMENTI_DB!$A:$C,3,FALSE),"")</f>
        <v/>
      </c>
      <c r="I122" s="18" t="str">
        <f>IFERROR(VLOOKUP(G122,FILAMENTI_DB!$A:$E,4,FALSE),"")</f>
        <v/>
      </c>
      <c r="J122" s="8"/>
      <c r="K122" s="6"/>
      <c r="L122" s="6"/>
      <c r="M122" s="16">
        <f t="shared" si="8"/>
        <v>0</v>
      </c>
      <c r="N122" s="20">
        <f t="shared" si="9"/>
        <v>0</v>
      </c>
      <c r="O122" s="8"/>
      <c r="P122" s="8"/>
      <c r="Q122" s="4"/>
      <c r="R122" s="10">
        <f t="shared" si="10"/>
        <v>0</v>
      </c>
      <c r="S122" s="10"/>
      <c r="T122" s="10">
        <f t="shared" si="11"/>
        <v>0</v>
      </c>
      <c r="U122" s="24" t="str">
        <f t="shared" si="12"/>
        <v/>
      </c>
      <c r="V122" s="10" t="str">
        <f>IFERROR(N122*VLOOKUP(G122,FILAMENTI_DB!$A:$J,10,FALSE),"")</f>
        <v/>
      </c>
      <c r="W122" s="10" t="str">
        <f>IFERROR((VLOOKUP(F122,STAMPANTI_DB!$A:$C,3,FALSE)/1000)*O122*SETTINGS!$C$6,"")</f>
        <v/>
      </c>
      <c r="X122" s="10" t="str">
        <f>IFERROR(O122*VLOOKUP(F122,STAMPANTI_DB!$A:$I,9,FALSE),"")</f>
        <v/>
      </c>
      <c r="Y122" s="10">
        <f>IFERROR(P122*SETTINGS!$C$7,"")</f>
        <v>0</v>
      </c>
      <c r="Z122" s="10">
        <f>SETTINGS!$C$11</f>
        <v>0.5</v>
      </c>
      <c r="AA122" s="10">
        <f t="shared" si="13"/>
        <v>0.5</v>
      </c>
      <c r="AB122" s="10">
        <f>IFERROR(AA122*SETTINGS!$C$9,"")</f>
        <v>2.5000000000000001E-2</v>
      </c>
      <c r="AC122" s="10">
        <f>IFERROR((AA122+AB122)*SETTINGS!$C$10,"")</f>
        <v>2.6250000000000002E-2</v>
      </c>
      <c r="AD122" s="24"/>
    </row>
    <row r="123" spans="1:30" ht="16" customHeight="1" x14ac:dyDescent="0.2">
      <c r="A123" s="17"/>
      <c r="B123" s="18"/>
      <c r="C123" s="7"/>
      <c r="D123" s="7"/>
      <c r="E123" s="7"/>
      <c r="F123" s="7"/>
      <c r="G123" s="7"/>
      <c r="H123" s="18" t="str">
        <f>IFERROR(VLOOKUP(G123,FILAMENTI_DB!$A:$C,3,FALSE),"")</f>
        <v/>
      </c>
      <c r="I123" s="18" t="str">
        <f>IFERROR(VLOOKUP(G123,FILAMENTI_DB!$A:$E,4,FALSE),"")</f>
        <v/>
      </c>
      <c r="J123" s="8"/>
      <c r="K123" s="6"/>
      <c r="L123" s="6"/>
      <c r="M123" s="16">
        <f t="shared" si="8"/>
        <v>0</v>
      </c>
      <c r="N123" s="20">
        <f t="shared" si="9"/>
        <v>0</v>
      </c>
      <c r="O123" s="8"/>
      <c r="P123" s="8"/>
      <c r="Q123" s="4"/>
      <c r="R123" s="10">
        <f t="shared" si="10"/>
        <v>0</v>
      </c>
      <c r="S123" s="10"/>
      <c r="T123" s="10">
        <f t="shared" si="11"/>
        <v>0</v>
      </c>
      <c r="U123" s="24" t="str">
        <f t="shared" si="12"/>
        <v/>
      </c>
      <c r="V123" s="10" t="str">
        <f>IFERROR(N123*VLOOKUP(G123,FILAMENTI_DB!$A:$J,10,FALSE),"")</f>
        <v/>
      </c>
      <c r="W123" s="10" t="str">
        <f>IFERROR((VLOOKUP(F123,STAMPANTI_DB!$A:$C,3,FALSE)/1000)*O123*SETTINGS!$C$6,"")</f>
        <v/>
      </c>
      <c r="X123" s="10" t="str">
        <f>IFERROR(O123*VLOOKUP(F123,STAMPANTI_DB!$A:$I,9,FALSE),"")</f>
        <v/>
      </c>
      <c r="Y123" s="10">
        <f>IFERROR(P123*SETTINGS!$C$7,"")</f>
        <v>0</v>
      </c>
      <c r="Z123" s="10">
        <f>SETTINGS!$C$11</f>
        <v>0.5</v>
      </c>
      <c r="AA123" s="10">
        <f t="shared" si="13"/>
        <v>0.5</v>
      </c>
      <c r="AB123" s="10">
        <f>IFERROR(AA123*SETTINGS!$C$9,"")</f>
        <v>2.5000000000000001E-2</v>
      </c>
      <c r="AC123" s="10">
        <f>IFERROR((AA123+AB123)*SETTINGS!$C$10,"")</f>
        <v>2.6250000000000002E-2</v>
      </c>
      <c r="AD123" s="24"/>
    </row>
    <row r="124" spans="1:30" ht="16" customHeight="1" x14ac:dyDescent="0.2">
      <c r="A124" s="17"/>
      <c r="B124" s="18"/>
      <c r="C124" s="7"/>
      <c r="D124" s="7"/>
      <c r="E124" s="7"/>
      <c r="F124" s="7"/>
      <c r="G124" s="7"/>
      <c r="H124" s="18" t="str">
        <f>IFERROR(VLOOKUP(G124,FILAMENTI_DB!$A:$C,3,FALSE),"")</f>
        <v/>
      </c>
      <c r="I124" s="18" t="str">
        <f>IFERROR(VLOOKUP(G124,FILAMENTI_DB!$A:$E,4,FALSE),"")</f>
        <v/>
      </c>
      <c r="J124" s="8"/>
      <c r="K124" s="6"/>
      <c r="L124" s="6"/>
      <c r="M124" s="16">
        <f t="shared" si="8"/>
        <v>0</v>
      </c>
      <c r="N124" s="20">
        <f t="shared" si="9"/>
        <v>0</v>
      </c>
      <c r="O124" s="8"/>
      <c r="P124" s="8"/>
      <c r="Q124" s="4"/>
      <c r="R124" s="10">
        <f t="shared" si="10"/>
        <v>0</v>
      </c>
      <c r="S124" s="10"/>
      <c r="T124" s="10">
        <f t="shared" si="11"/>
        <v>0</v>
      </c>
      <c r="U124" s="24" t="str">
        <f t="shared" si="12"/>
        <v/>
      </c>
      <c r="V124" s="10" t="str">
        <f>IFERROR(N124*VLOOKUP(G124,FILAMENTI_DB!$A:$J,10,FALSE),"")</f>
        <v/>
      </c>
      <c r="W124" s="10" t="str">
        <f>IFERROR((VLOOKUP(F124,STAMPANTI_DB!$A:$C,3,FALSE)/1000)*O124*SETTINGS!$C$6,"")</f>
        <v/>
      </c>
      <c r="X124" s="10" t="str">
        <f>IFERROR(O124*VLOOKUP(F124,STAMPANTI_DB!$A:$I,9,FALSE),"")</f>
        <v/>
      </c>
      <c r="Y124" s="10">
        <f>IFERROR(P124*SETTINGS!$C$7,"")</f>
        <v>0</v>
      </c>
      <c r="Z124" s="10">
        <f>SETTINGS!$C$11</f>
        <v>0.5</v>
      </c>
      <c r="AA124" s="10">
        <f t="shared" si="13"/>
        <v>0.5</v>
      </c>
      <c r="AB124" s="10">
        <f>IFERROR(AA124*SETTINGS!$C$9,"")</f>
        <v>2.5000000000000001E-2</v>
      </c>
      <c r="AC124" s="10">
        <f>IFERROR((AA124+AB124)*SETTINGS!$C$10,"")</f>
        <v>2.6250000000000002E-2</v>
      </c>
      <c r="AD124" s="24"/>
    </row>
    <row r="125" spans="1:30" ht="16" customHeight="1" x14ac:dyDescent="0.2">
      <c r="A125" s="17"/>
      <c r="B125" s="18"/>
      <c r="C125" s="7"/>
      <c r="D125" s="7"/>
      <c r="E125" s="7"/>
      <c r="F125" s="7"/>
      <c r="G125" s="7"/>
      <c r="H125" s="18" t="str">
        <f>IFERROR(VLOOKUP(G125,FILAMENTI_DB!$A:$C,3,FALSE),"")</f>
        <v/>
      </c>
      <c r="I125" s="18" t="str">
        <f>IFERROR(VLOOKUP(G125,FILAMENTI_DB!$A:$E,4,FALSE),"")</f>
        <v/>
      </c>
      <c r="J125" s="8"/>
      <c r="K125" s="6"/>
      <c r="L125" s="6"/>
      <c r="M125" s="16">
        <f t="shared" si="8"/>
        <v>0</v>
      </c>
      <c r="N125" s="20">
        <f t="shared" si="9"/>
        <v>0</v>
      </c>
      <c r="O125" s="8"/>
      <c r="P125" s="8"/>
      <c r="Q125" s="4"/>
      <c r="R125" s="10">
        <f t="shared" si="10"/>
        <v>0</v>
      </c>
      <c r="S125" s="10"/>
      <c r="T125" s="10">
        <f t="shared" si="11"/>
        <v>0</v>
      </c>
      <c r="U125" s="24" t="str">
        <f t="shared" si="12"/>
        <v/>
      </c>
      <c r="V125" s="10" t="str">
        <f>IFERROR(N125*VLOOKUP(G125,FILAMENTI_DB!$A:$J,10,FALSE),"")</f>
        <v/>
      </c>
      <c r="W125" s="10" t="str">
        <f>IFERROR((VLOOKUP(F125,STAMPANTI_DB!$A:$C,3,FALSE)/1000)*O125*SETTINGS!$C$6,"")</f>
        <v/>
      </c>
      <c r="X125" s="10" t="str">
        <f>IFERROR(O125*VLOOKUP(F125,STAMPANTI_DB!$A:$I,9,FALSE),"")</f>
        <v/>
      </c>
      <c r="Y125" s="10">
        <f>IFERROR(P125*SETTINGS!$C$7,"")</f>
        <v>0</v>
      </c>
      <c r="Z125" s="10">
        <f>SETTINGS!$C$11</f>
        <v>0.5</v>
      </c>
      <c r="AA125" s="10">
        <f t="shared" si="13"/>
        <v>0.5</v>
      </c>
      <c r="AB125" s="10">
        <f>IFERROR(AA125*SETTINGS!$C$9,"")</f>
        <v>2.5000000000000001E-2</v>
      </c>
      <c r="AC125" s="10">
        <f>IFERROR((AA125+AB125)*SETTINGS!$C$10,"")</f>
        <v>2.6250000000000002E-2</v>
      </c>
      <c r="AD125" s="24"/>
    </row>
    <row r="126" spans="1:30" ht="16" customHeight="1" x14ac:dyDescent="0.2">
      <c r="A126" s="17"/>
      <c r="B126" s="18"/>
      <c r="C126" s="7"/>
      <c r="D126" s="7"/>
      <c r="E126" s="7"/>
      <c r="F126" s="7"/>
      <c r="G126" s="7"/>
      <c r="H126" s="18" t="str">
        <f>IFERROR(VLOOKUP(G126,FILAMENTI_DB!$A:$C,3,FALSE),"")</f>
        <v/>
      </c>
      <c r="I126" s="18" t="str">
        <f>IFERROR(VLOOKUP(G126,FILAMENTI_DB!$A:$E,4,FALSE),"")</f>
        <v/>
      </c>
      <c r="J126" s="8"/>
      <c r="K126" s="6"/>
      <c r="L126" s="6"/>
      <c r="M126" s="16">
        <f t="shared" si="8"/>
        <v>0</v>
      </c>
      <c r="N126" s="20">
        <f t="shared" si="9"/>
        <v>0</v>
      </c>
      <c r="O126" s="8"/>
      <c r="P126" s="8"/>
      <c r="Q126" s="4"/>
      <c r="R126" s="10">
        <f t="shared" si="10"/>
        <v>0</v>
      </c>
      <c r="S126" s="10"/>
      <c r="T126" s="10">
        <f t="shared" si="11"/>
        <v>0</v>
      </c>
      <c r="U126" s="24" t="str">
        <f t="shared" si="12"/>
        <v/>
      </c>
      <c r="V126" s="10" t="str">
        <f>IFERROR(N126*VLOOKUP(G126,FILAMENTI_DB!$A:$J,10,FALSE),"")</f>
        <v/>
      </c>
      <c r="W126" s="10" t="str">
        <f>IFERROR((VLOOKUP(F126,STAMPANTI_DB!$A:$C,3,FALSE)/1000)*O126*SETTINGS!$C$6,"")</f>
        <v/>
      </c>
      <c r="X126" s="10" t="str">
        <f>IFERROR(O126*VLOOKUP(F126,STAMPANTI_DB!$A:$I,9,FALSE),"")</f>
        <v/>
      </c>
      <c r="Y126" s="10">
        <f>IFERROR(P126*SETTINGS!$C$7,"")</f>
        <v>0</v>
      </c>
      <c r="Z126" s="10">
        <f>SETTINGS!$C$11</f>
        <v>0.5</v>
      </c>
      <c r="AA126" s="10">
        <f t="shared" si="13"/>
        <v>0.5</v>
      </c>
      <c r="AB126" s="10">
        <f>IFERROR(AA126*SETTINGS!$C$9,"")</f>
        <v>2.5000000000000001E-2</v>
      </c>
      <c r="AC126" s="10">
        <f>IFERROR((AA126+AB126)*SETTINGS!$C$10,"")</f>
        <v>2.6250000000000002E-2</v>
      </c>
      <c r="AD126" s="24"/>
    </row>
    <row r="127" spans="1:30" ht="16" customHeight="1" x14ac:dyDescent="0.2">
      <c r="A127" s="17"/>
      <c r="B127" s="18"/>
      <c r="C127" s="7"/>
      <c r="D127" s="7"/>
      <c r="E127" s="7"/>
      <c r="F127" s="7"/>
      <c r="G127" s="7"/>
      <c r="H127" s="18" t="str">
        <f>IFERROR(VLOOKUP(G127,FILAMENTI_DB!$A:$C,3,FALSE),"")</f>
        <v/>
      </c>
      <c r="I127" s="18" t="str">
        <f>IFERROR(VLOOKUP(G127,FILAMENTI_DB!$A:$E,4,FALSE),"")</f>
        <v/>
      </c>
      <c r="J127" s="8"/>
      <c r="K127" s="6"/>
      <c r="L127" s="6"/>
      <c r="M127" s="16">
        <f t="shared" si="8"/>
        <v>0</v>
      </c>
      <c r="N127" s="20">
        <f t="shared" si="9"/>
        <v>0</v>
      </c>
      <c r="O127" s="8"/>
      <c r="P127" s="8"/>
      <c r="Q127" s="4"/>
      <c r="R127" s="10">
        <f t="shared" si="10"/>
        <v>0</v>
      </c>
      <c r="S127" s="10"/>
      <c r="T127" s="10">
        <f t="shared" si="11"/>
        <v>0</v>
      </c>
      <c r="U127" s="24" t="str">
        <f t="shared" si="12"/>
        <v/>
      </c>
      <c r="V127" s="10" t="str">
        <f>IFERROR(N127*VLOOKUP(G127,FILAMENTI_DB!$A:$J,10,FALSE),"")</f>
        <v/>
      </c>
      <c r="W127" s="10" t="str">
        <f>IFERROR((VLOOKUP(F127,STAMPANTI_DB!$A:$C,3,FALSE)/1000)*O127*SETTINGS!$C$6,"")</f>
        <v/>
      </c>
      <c r="X127" s="10" t="str">
        <f>IFERROR(O127*VLOOKUP(F127,STAMPANTI_DB!$A:$I,9,FALSE),"")</f>
        <v/>
      </c>
      <c r="Y127" s="10">
        <f>IFERROR(P127*SETTINGS!$C$7,"")</f>
        <v>0</v>
      </c>
      <c r="Z127" s="10">
        <f>SETTINGS!$C$11</f>
        <v>0.5</v>
      </c>
      <c r="AA127" s="10">
        <f t="shared" si="13"/>
        <v>0.5</v>
      </c>
      <c r="AB127" s="10">
        <f>IFERROR(AA127*SETTINGS!$C$9,"")</f>
        <v>2.5000000000000001E-2</v>
      </c>
      <c r="AC127" s="10">
        <f>IFERROR((AA127+AB127)*SETTINGS!$C$10,"")</f>
        <v>2.6250000000000002E-2</v>
      </c>
      <c r="AD127" s="24"/>
    </row>
    <row r="128" spans="1:30" ht="16" customHeight="1" x14ac:dyDescent="0.2">
      <c r="A128" s="17"/>
      <c r="B128" s="18"/>
      <c r="C128" s="7"/>
      <c r="D128" s="7"/>
      <c r="E128" s="7"/>
      <c r="F128" s="7"/>
      <c r="G128" s="7"/>
      <c r="H128" s="18" t="str">
        <f>IFERROR(VLOOKUP(G128,FILAMENTI_DB!$A:$C,3,FALSE),"")</f>
        <v/>
      </c>
      <c r="I128" s="18" t="str">
        <f>IFERROR(VLOOKUP(G128,FILAMENTI_DB!$A:$E,4,FALSE),"")</f>
        <v/>
      </c>
      <c r="J128" s="8"/>
      <c r="K128" s="6"/>
      <c r="L128" s="6"/>
      <c r="M128" s="16">
        <f t="shared" si="8"/>
        <v>0</v>
      </c>
      <c r="N128" s="20">
        <f t="shared" si="9"/>
        <v>0</v>
      </c>
      <c r="O128" s="8"/>
      <c r="P128" s="8"/>
      <c r="Q128" s="4"/>
      <c r="R128" s="10">
        <f t="shared" si="10"/>
        <v>0</v>
      </c>
      <c r="S128" s="10"/>
      <c r="T128" s="10">
        <f t="shared" si="11"/>
        <v>0</v>
      </c>
      <c r="U128" s="24" t="str">
        <f t="shared" si="12"/>
        <v/>
      </c>
      <c r="V128" s="10" t="str">
        <f>IFERROR(N128*VLOOKUP(G128,FILAMENTI_DB!$A:$J,10,FALSE),"")</f>
        <v/>
      </c>
      <c r="W128" s="10" t="str">
        <f>IFERROR((VLOOKUP(F128,STAMPANTI_DB!$A:$C,3,FALSE)/1000)*O128*SETTINGS!$C$6,"")</f>
        <v/>
      </c>
      <c r="X128" s="10" t="str">
        <f>IFERROR(O128*VLOOKUP(F128,STAMPANTI_DB!$A:$I,9,FALSE),"")</f>
        <v/>
      </c>
      <c r="Y128" s="10">
        <f>IFERROR(P128*SETTINGS!$C$7,"")</f>
        <v>0</v>
      </c>
      <c r="Z128" s="10">
        <f>SETTINGS!$C$11</f>
        <v>0.5</v>
      </c>
      <c r="AA128" s="10">
        <f t="shared" si="13"/>
        <v>0.5</v>
      </c>
      <c r="AB128" s="10">
        <f>IFERROR(AA128*SETTINGS!$C$9,"")</f>
        <v>2.5000000000000001E-2</v>
      </c>
      <c r="AC128" s="10">
        <f>IFERROR((AA128+AB128)*SETTINGS!$C$10,"")</f>
        <v>2.6250000000000002E-2</v>
      </c>
      <c r="AD128" s="24"/>
    </row>
    <row r="129" spans="1:30" ht="16" customHeight="1" x14ac:dyDescent="0.2">
      <c r="A129" s="17"/>
      <c r="B129" s="18"/>
      <c r="C129" s="7"/>
      <c r="D129" s="7"/>
      <c r="E129" s="7"/>
      <c r="F129" s="7"/>
      <c r="G129" s="7"/>
      <c r="H129" s="18" t="str">
        <f>IFERROR(VLOOKUP(G129,FILAMENTI_DB!$A:$C,3,FALSE),"")</f>
        <v/>
      </c>
      <c r="I129" s="18" t="str">
        <f>IFERROR(VLOOKUP(G129,FILAMENTI_DB!$A:$E,4,FALSE),"")</f>
        <v/>
      </c>
      <c r="J129" s="8"/>
      <c r="K129" s="6"/>
      <c r="L129" s="6"/>
      <c r="M129" s="16">
        <f t="shared" si="8"/>
        <v>0</v>
      </c>
      <c r="N129" s="20">
        <f t="shared" si="9"/>
        <v>0</v>
      </c>
      <c r="O129" s="8"/>
      <c r="P129" s="8"/>
      <c r="Q129" s="4"/>
      <c r="R129" s="10">
        <f t="shared" si="10"/>
        <v>0</v>
      </c>
      <c r="S129" s="10"/>
      <c r="T129" s="10">
        <f t="shared" si="11"/>
        <v>0</v>
      </c>
      <c r="U129" s="24" t="str">
        <f t="shared" si="12"/>
        <v/>
      </c>
      <c r="V129" s="10" t="str">
        <f>IFERROR(N129*VLOOKUP(G129,FILAMENTI_DB!$A:$J,10,FALSE),"")</f>
        <v/>
      </c>
      <c r="W129" s="10" t="str">
        <f>IFERROR((VLOOKUP(F129,STAMPANTI_DB!$A:$C,3,FALSE)/1000)*O129*SETTINGS!$C$6,"")</f>
        <v/>
      </c>
      <c r="X129" s="10" t="str">
        <f>IFERROR(O129*VLOOKUP(F129,STAMPANTI_DB!$A:$I,9,FALSE),"")</f>
        <v/>
      </c>
      <c r="Y129" s="10">
        <f>IFERROR(P129*SETTINGS!$C$7,"")</f>
        <v>0</v>
      </c>
      <c r="Z129" s="10">
        <f>SETTINGS!$C$11</f>
        <v>0.5</v>
      </c>
      <c r="AA129" s="10">
        <f t="shared" si="13"/>
        <v>0.5</v>
      </c>
      <c r="AB129" s="10">
        <f>IFERROR(AA129*SETTINGS!$C$9,"")</f>
        <v>2.5000000000000001E-2</v>
      </c>
      <c r="AC129" s="10">
        <f>IFERROR((AA129+AB129)*SETTINGS!$C$10,"")</f>
        <v>2.6250000000000002E-2</v>
      </c>
      <c r="AD129" s="24"/>
    </row>
    <row r="130" spans="1:30" ht="16" customHeight="1" x14ac:dyDescent="0.2">
      <c r="A130" s="17"/>
      <c r="B130" s="18"/>
      <c r="C130" s="7"/>
      <c r="D130" s="7"/>
      <c r="E130" s="7"/>
      <c r="F130" s="7"/>
      <c r="G130" s="7"/>
      <c r="H130" s="18" t="str">
        <f>IFERROR(VLOOKUP(G130,FILAMENTI_DB!$A:$C,3,FALSE),"")</f>
        <v/>
      </c>
      <c r="I130" s="18" t="str">
        <f>IFERROR(VLOOKUP(G130,FILAMENTI_DB!$A:$E,4,FALSE),"")</f>
        <v/>
      </c>
      <c r="J130" s="8"/>
      <c r="K130" s="6"/>
      <c r="L130" s="6"/>
      <c r="M130" s="16">
        <f t="shared" si="8"/>
        <v>0</v>
      </c>
      <c r="N130" s="20">
        <f t="shared" si="9"/>
        <v>0</v>
      </c>
      <c r="O130" s="8"/>
      <c r="P130" s="8"/>
      <c r="Q130" s="4"/>
      <c r="R130" s="10">
        <f t="shared" si="10"/>
        <v>0</v>
      </c>
      <c r="S130" s="10"/>
      <c r="T130" s="10">
        <f t="shared" si="11"/>
        <v>0</v>
      </c>
      <c r="U130" s="24" t="str">
        <f t="shared" si="12"/>
        <v/>
      </c>
      <c r="V130" s="10" t="str">
        <f>IFERROR(N130*VLOOKUP(G130,FILAMENTI_DB!$A:$J,10,FALSE),"")</f>
        <v/>
      </c>
      <c r="W130" s="10" t="str">
        <f>IFERROR((VLOOKUP(F130,STAMPANTI_DB!$A:$C,3,FALSE)/1000)*O130*SETTINGS!$C$6,"")</f>
        <v/>
      </c>
      <c r="X130" s="10" t="str">
        <f>IFERROR(O130*VLOOKUP(F130,STAMPANTI_DB!$A:$I,9,FALSE),"")</f>
        <v/>
      </c>
      <c r="Y130" s="10">
        <f>IFERROR(P130*SETTINGS!$C$7,"")</f>
        <v>0</v>
      </c>
      <c r="Z130" s="10">
        <f>SETTINGS!$C$11</f>
        <v>0.5</v>
      </c>
      <c r="AA130" s="10">
        <f t="shared" si="13"/>
        <v>0.5</v>
      </c>
      <c r="AB130" s="10">
        <f>IFERROR(AA130*SETTINGS!$C$9,"")</f>
        <v>2.5000000000000001E-2</v>
      </c>
      <c r="AC130" s="10">
        <f>IFERROR((AA130+AB130)*SETTINGS!$C$10,"")</f>
        <v>2.6250000000000002E-2</v>
      </c>
      <c r="AD130" s="24"/>
    </row>
    <row r="131" spans="1:30" ht="16" customHeight="1" x14ac:dyDescent="0.2">
      <c r="A131" s="17"/>
      <c r="B131" s="18"/>
      <c r="C131" s="7"/>
      <c r="D131" s="7"/>
      <c r="E131" s="7"/>
      <c r="F131" s="7"/>
      <c r="G131" s="7"/>
      <c r="H131" s="18" t="str">
        <f>IFERROR(VLOOKUP(G131,FILAMENTI_DB!$A:$C,3,FALSE),"")</f>
        <v/>
      </c>
      <c r="I131" s="18" t="str">
        <f>IFERROR(VLOOKUP(G131,FILAMENTI_DB!$A:$E,4,FALSE),"")</f>
        <v/>
      </c>
      <c r="J131" s="8"/>
      <c r="K131" s="6"/>
      <c r="L131" s="6"/>
      <c r="M131" s="16">
        <f t="shared" si="8"/>
        <v>0</v>
      </c>
      <c r="N131" s="20">
        <f t="shared" si="9"/>
        <v>0</v>
      </c>
      <c r="O131" s="8"/>
      <c r="P131" s="8"/>
      <c r="Q131" s="4"/>
      <c r="R131" s="10">
        <f t="shared" si="10"/>
        <v>0</v>
      </c>
      <c r="S131" s="10"/>
      <c r="T131" s="10">
        <f t="shared" si="11"/>
        <v>0</v>
      </c>
      <c r="U131" s="24" t="str">
        <f t="shared" si="12"/>
        <v/>
      </c>
      <c r="V131" s="10" t="str">
        <f>IFERROR(N131*VLOOKUP(G131,FILAMENTI_DB!$A:$J,10,FALSE),"")</f>
        <v/>
      </c>
      <c r="W131" s="10" t="str">
        <f>IFERROR((VLOOKUP(F131,STAMPANTI_DB!$A:$C,3,FALSE)/1000)*O131*SETTINGS!$C$6,"")</f>
        <v/>
      </c>
      <c r="X131" s="10" t="str">
        <f>IFERROR(O131*VLOOKUP(F131,STAMPANTI_DB!$A:$I,9,FALSE),"")</f>
        <v/>
      </c>
      <c r="Y131" s="10">
        <f>IFERROR(P131*SETTINGS!$C$7,"")</f>
        <v>0</v>
      </c>
      <c r="Z131" s="10">
        <f>SETTINGS!$C$11</f>
        <v>0.5</v>
      </c>
      <c r="AA131" s="10">
        <f t="shared" si="13"/>
        <v>0.5</v>
      </c>
      <c r="AB131" s="10">
        <f>IFERROR(AA131*SETTINGS!$C$9,"")</f>
        <v>2.5000000000000001E-2</v>
      </c>
      <c r="AC131" s="10">
        <f>IFERROR((AA131+AB131)*SETTINGS!$C$10,"")</f>
        <v>2.6250000000000002E-2</v>
      </c>
      <c r="AD131" s="24"/>
    </row>
    <row r="132" spans="1:30" ht="16" customHeight="1" x14ac:dyDescent="0.2">
      <c r="A132" s="17"/>
      <c r="B132" s="18"/>
      <c r="C132" s="7"/>
      <c r="D132" s="7"/>
      <c r="E132" s="7"/>
      <c r="F132" s="7"/>
      <c r="G132" s="7"/>
      <c r="H132" s="18" t="str">
        <f>IFERROR(VLOOKUP(G132,FILAMENTI_DB!$A:$C,3,FALSE),"")</f>
        <v/>
      </c>
      <c r="I132" s="18" t="str">
        <f>IFERROR(VLOOKUP(G132,FILAMENTI_DB!$A:$E,4,FALSE),"")</f>
        <v/>
      </c>
      <c r="J132" s="8"/>
      <c r="K132" s="6"/>
      <c r="L132" s="6"/>
      <c r="M132" s="16">
        <f t="shared" si="8"/>
        <v>0</v>
      </c>
      <c r="N132" s="20">
        <f t="shared" si="9"/>
        <v>0</v>
      </c>
      <c r="O132" s="8"/>
      <c r="P132" s="8"/>
      <c r="Q132" s="4"/>
      <c r="R132" s="10">
        <f t="shared" si="10"/>
        <v>0</v>
      </c>
      <c r="S132" s="10"/>
      <c r="T132" s="10">
        <f t="shared" si="11"/>
        <v>0</v>
      </c>
      <c r="U132" s="24" t="str">
        <f t="shared" si="12"/>
        <v/>
      </c>
      <c r="V132" s="10" t="str">
        <f>IFERROR(N132*VLOOKUP(G132,FILAMENTI_DB!$A:$J,10,FALSE),"")</f>
        <v/>
      </c>
      <c r="W132" s="10" t="str">
        <f>IFERROR((VLOOKUP(F132,STAMPANTI_DB!$A:$C,3,FALSE)/1000)*O132*SETTINGS!$C$6,"")</f>
        <v/>
      </c>
      <c r="X132" s="10" t="str">
        <f>IFERROR(O132*VLOOKUP(F132,STAMPANTI_DB!$A:$I,9,FALSE),"")</f>
        <v/>
      </c>
      <c r="Y132" s="10">
        <f>IFERROR(P132*SETTINGS!$C$7,"")</f>
        <v>0</v>
      </c>
      <c r="Z132" s="10">
        <f>SETTINGS!$C$11</f>
        <v>0.5</v>
      </c>
      <c r="AA132" s="10">
        <f t="shared" si="13"/>
        <v>0.5</v>
      </c>
      <c r="AB132" s="10">
        <f>IFERROR(AA132*SETTINGS!$C$9,"")</f>
        <v>2.5000000000000001E-2</v>
      </c>
      <c r="AC132" s="10">
        <f>IFERROR((AA132+AB132)*SETTINGS!$C$10,"")</f>
        <v>2.6250000000000002E-2</v>
      </c>
      <c r="AD132" s="24"/>
    </row>
    <row r="133" spans="1:30" ht="16" customHeight="1" x14ac:dyDescent="0.2">
      <c r="A133" s="17"/>
      <c r="B133" s="18"/>
      <c r="C133" s="7"/>
      <c r="D133" s="7"/>
      <c r="E133" s="7"/>
      <c r="F133" s="7"/>
      <c r="G133" s="7"/>
      <c r="H133" s="18" t="str">
        <f>IFERROR(VLOOKUP(G133,FILAMENTI_DB!$A:$C,3,FALSE),"")</f>
        <v/>
      </c>
      <c r="I133" s="18" t="str">
        <f>IFERROR(VLOOKUP(G133,FILAMENTI_DB!$A:$E,4,FALSE),"")</f>
        <v/>
      </c>
      <c r="J133" s="8"/>
      <c r="K133" s="6"/>
      <c r="L133" s="6"/>
      <c r="M133" s="16">
        <f t="shared" ref="M133:M196" si="14">IFERROR(K133+L133,"")</f>
        <v>0</v>
      </c>
      <c r="N133" s="20">
        <f t="shared" ref="N133:N196" si="15">IFERROR(J133*M133,"")</f>
        <v>0</v>
      </c>
      <c r="O133" s="8"/>
      <c r="P133" s="8"/>
      <c r="Q133" s="4"/>
      <c r="R133" s="10">
        <f t="shared" ref="R133:R196" si="16">IFERROR(Q133*K133,"")</f>
        <v>0</v>
      </c>
      <c r="S133" s="10"/>
      <c r="T133" s="10">
        <f t="shared" ref="T133:T196" si="17">IFERROR(R133-S133,"")</f>
        <v>0</v>
      </c>
      <c r="U133" s="24" t="str">
        <f t="shared" ref="U133:U196" si="18">IFERROR(T133/R133,"")</f>
        <v/>
      </c>
      <c r="V133" s="10" t="str">
        <f>IFERROR(N133*VLOOKUP(G133,FILAMENTI_DB!$A:$J,10,FALSE),"")</f>
        <v/>
      </c>
      <c r="W133" s="10" t="str">
        <f>IFERROR((VLOOKUP(F133,STAMPANTI_DB!$A:$C,3,FALSE)/1000)*O133*SETTINGS!$C$6,"")</f>
        <v/>
      </c>
      <c r="X133" s="10" t="str">
        <f>IFERROR(O133*VLOOKUP(F133,STAMPANTI_DB!$A:$I,9,FALSE),"")</f>
        <v/>
      </c>
      <c r="Y133" s="10">
        <f>IFERROR(P133*SETTINGS!$C$7,"")</f>
        <v>0</v>
      </c>
      <c r="Z133" s="10">
        <f>SETTINGS!$C$11</f>
        <v>0.5</v>
      </c>
      <c r="AA133" s="10">
        <f t="shared" ref="AA133:AA196" si="19">IFERROR(SUM(V133:Z133),"")</f>
        <v>0.5</v>
      </c>
      <c r="AB133" s="10">
        <f>IFERROR(AA133*SETTINGS!$C$9,"")</f>
        <v>2.5000000000000001E-2</v>
      </c>
      <c r="AC133" s="10">
        <f>IFERROR((AA133+AB133)*SETTINGS!$C$10,"")</f>
        <v>2.6250000000000002E-2</v>
      </c>
      <c r="AD133" s="24"/>
    </row>
    <row r="134" spans="1:30" ht="16" customHeight="1" x14ac:dyDescent="0.2">
      <c r="A134" s="17"/>
      <c r="B134" s="18"/>
      <c r="C134" s="7"/>
      <c r="D134" s="7"/>
      <c r="E134" s="7"/>
      <c r="F134" s="7"/>
      <c r="G134" s="7"/>
      <c r="H134" s="18" t="str">
        <f>IFERROR(VLOOKUP(G134,FILAMENTI_DB!$A:$C,3,FALSE),"")</f>
        <v/>
      </c>
      <c r="I134" s="18" t="str">
        <f>IFERROR(VLOOKUP(G134,FILAMENTI_DB!$A:$E,4,FALSE),"")</f>
        <v/>
      </c>
      <c r="J134" s="8"/>
      <c r="K134" s="6"/>
      <c r="L134" s="6"/>
      <c r="M134" s="16">
        <f t="shared" si="14"/>
        <v>0</v>
      </c>
      <c r="N134" s="20">
        <f t="shared" si="15"/>
        <v>0</v>
      </c>
      <c r="O134" s="8"/>
      <c r="P134" s="8"/>
      <c r="Q134" s="4"/>
      <c r="R134" s="10">
        <f t="shared" si="16"/>
        <v>0</v>
      </c>
      <c r="S134" s="10"/>
      <c r="T134" s="10">
        <f t="shared" si="17"/>
        <v>0</v>
      </c>
      <c r="U134" s="24" t="str">
        <f t="shared" si="18"/>
        <v/>
      </c>
      <c r="V134" s="10" t="str">
        <f>IFERROR(N134*VLOOKUP(G134,FILAMENTI_DB!$A:$J,10,FALSE),"")</f>
        <v/>
      </c>
      <c r="W134" s="10" t="str">
        <f>IFERROR((VLOOKUP(F134,STAMPANTI_DB!$A:$C,3,FALSE)/1000)*O134*SETTINGS!$C$6,"")</f>
        <v/>
      </c>
      <c r="X134" s="10" t="str">
        <f>IFERROR(O134*VLOOKUP(F134,STAMPANTI_DB!$A:$I,9,FALSE),"")</f>
        <v/>
      </c>
      <c r="Y134" s="10">
        <f>IFERROR(P134*SETTINGS!$C$7,"")</f>
        <v>0</v>
      </c>
      <c r="Z134" s="10">
        <f>SETTINGS!$C$11</f>
        <v>0.5</v>
      </c>
      <c r="AA134" s="10">
        <f t="shared" si="19"/>
        <v>0.5</v>
      </c>
      <c r="AB134" s="10">
        <f>IFERROR(AA134*SETTINGS!$C$9,"")</f>
        <v>2.5000000000000001E-2</v>
      </c>
      <c r="AC134" s="10">
        <f>IFERROR((AA134+AB134)*SETTINGS!$C$10,"")</f>
        <v>2.6250000000000002E-2</v>
      </c>
      <c r="AD134" s="24"/>
    </row>
    <row r="135" spans="1:30" ht="16" customHeight="1" x14ac:dyDescent="0.2">
      <c r="A135" s="17"/>
      <c r="B135" s="18"/>
      <c r="C135" s="7"/>
      <c r="D135" s="7"/>
      <c r="E135" s="7"/>
      <c r="F135" s="7"/>
      <c r="G135" s="7"/>
      <c r="H135" s="18" t="str">
        <f>IFERROR(VLOOKUP(G135,FILAMENTI_DB!$A:$C,3,FALSE),"")</f>
        <v/>
      </c>
      <c r="I135" s="18" t="str">
        <f>IFERROR(VLOOKUP(G135,FILAMENTI_DB!$A:$E,4,FALSE),"")</f>
        <v/>
      </c>
      <c r="J135" s="8"/>
      <c r="K135" s="6"/>
      <c r="L135" s="6"/>
      <c r="M135" s="16">
        <f t="shared" si="14"/>
        <v>0</v>
      </c>
      <c r="N135" s="20">
        <f t="shared" si="15"/>
        <v>0</v>
      </c>
      <c r="O135" s="8"/>
      <c r="P135" s="8"/>
      <c r="Q135" s="4"/>
      <c r="R135" s="10">
        <f t="shared" si="16"/>
        <v>0</v>
      </c>
      <c r="S135" s="10"/>
      <c r="T135" s="10">
        <f t="shared" si="17"/>
        <v>0</v>
      </c>
      <c r="U135" s="24" t="str">
        <f t="shared" si="18"/>
        <v/>
      </c>
      <c r="V135" s="10" t="str">
        <f>IFERROR(N135*VLOOKUP(G135,FILAMENTI_DB!$A:$J,10,FALSE),"")</f>
        <v/>
      </c>
      <c r="W135" s="10" t="str">
        <f>IFERROR((VLOOKUP(F135,STAMPANTI_DB!$A:$C,3,FALSE)/1000)*O135*SETTINGS!$C$6,"")</f>
        <v/>
      </c>
      <c r="X135" s="10" t="str">
        <f>IFERROR(O135*VLOOKUP(F135,STAMPANTI_DB!$A:$I,9,FALSE),"")</f>
        <v/>
      </c>
      <c r="Y135" s="10">
        <f>IFERROR(P135*SETTINGS!$C$7,"")</f>
        <v>0</v>
      </c>
      <c r="Z135" s="10">
        <f>SETTINGS!$C$11</f>
        <v>0.5</v>
      </c>
      <c r="AA135" s="10">
        <f t="shared" si="19"/>
        <v>0.5</v>
      </c>
      <c r="AB135" s="10">
        <f>IFERROR(AA135*SETTINGS!$C$9,"")</f>
        <v>2.5000000000000001E-2</v>
      </c>
      <c r="AC135" s="10">
        <f>IFERROR((AA135+AB135)*SETTINGS!$C$10,"")</f>
        <v>2.6250000000000002E-2</v>
      </c>
      <c r="AD135" s="24"/>
    </row>
    <row r="136" spans="1:30" ht="16" customHeight="1" x14ac:dyDescent="0.2">
      <c r="A136" s="17"/>
      <c r="B136" s="18"/>
      <c r="C136" s="7"/>
      <c r="D136" s="7"/>
      <c r="E136" s="7"/>
      <c r="F136" s="7"/>
      <c r="G136" s="7"/>
      <c r="H136" s="18" t="str">
        <f>IFERROR(VLOOKUP(G136,FILAMENTI_DB!$A:$C,3,FALSE),"")</f>
        <v/>
      </c>
      <c r="I136" s="18" t="str">
        <f>IFERROR(VLOOKUP(G136,FILAMENTI_DB!$A:$E,4,FALSE),"")</f>
        <v/>
      </c>
      <c r="J136" s="8"/>
      <c r="K136" s="6"/>
      <c r="L136" s="6"/>
      <c r="M136" s="16">
        <f t="shared" si="14"/>
        <v>0</v>
      </c>
      <c r="N136" s="20">
        <f t="shared" si="15"/>
        <v>0</v>
      </c>
      <c r="O136" s="8"/>
      <c r="P136" s="8"/>
      <c r="Q136" s="4"/>
      <c r="R136" s="10">
        <f t="shared" si="16"/>
        <v>0</v>
      </c>
      <c r="S136" s="10"/>
      <c r="T136" s="10">
        <f t="shared" si="17"/>
        <v>0</v>
      </c>
      <c r="U136" s="24" t="str">
        <f t="shared" si="18"/>
        <v/>
      </c>
      <c r="V136" s="10" t="str">
        <f>IFERROR(N136*VLOOKUP(G136,FILAMENTI_DB!$A:$J,10,FALSE),"")</f>
        <v/>
      </c>
      <c r="W136" s="10" t="str">
        <f>IFERROR((VLOOKUP(F136,STAMPANTI_DB!$A:$C,3,FALSE)/1000)*O136*SETTINGS!$C$6,"")</f>
        <v/>
      </c>
      <c r="X136" s="10" t="str">
        <f>IFERROR(O136*VLOOKUP(F136,STAMPANTI_DB!$A:$I,9,FALSE),"")</f>
        <v/>
      </c>
      <c r="Y136" s="10">
        <f>IFERROR(P136*SETTINGS!$C$7,"")</f>
        <v>0</v>
      </c>
      <c r="Z136" s="10">
        <f>SETTINGS!$C$11</f>
        <v>0.5</v>
      </c>
      <c r="AA136" s="10">
        <f t="shared" si="19"/>
        <v>0.5</v>
      </c>
      <c r="AB136" s="10">
        <f>IFERROR(AA136*SETTINGS!$C$9,"")</f>
        <v>2.5000000000000001E-2</v>
      </c>
      <c r="AC136" s="10">
        <f>IFERROR((AA136+AB136)*SETTINGS!$C$10,"")</f>
        <v>2.6250000000000002E-2</v>
      </c>
      <c r="AD136" s="24"/>
    </row>
    <row r="137" spans="1:30" ht="16" customHeight="1" x14ac:dyDescent="0.2">
      <c r="A137" s="17"/>
      <c r="B137" s="18"/>
      <c r="C137" s="7"/>
      <c r="D137" s="7"/>
      <c r="E137" s="7"/>
      <c r="F137" s="7"/>
      <c r="G137" s="7"/>
      <c r="H137" s="18" t="str">
        <f>IFERROR(VLOOKUP(G137,FILAMENTI_DB!$A:$C,3,FALSE),"")</f>
        <v/>
      </c>
      <c r="I137" s="18" t="str">
        <f>IFERROR(VLOOKUP(G137,FILAMENTI_DB!$A:$E,4,FALSE),"")</f>
        <v/>
      </c>
      <c r="J137" s="8"/>
      <c r="K137" s="6"/>
      <c r="L137" s="6"/>
      <c r="M137" s="16">
        <f t="shared" si="14"/>
        <v>0</v>
      </c>
      <c r="N137" s="20">
        <f t="shared" si="15"/>
        <v>0</v>
      </c>
      <c r="O137" s="8"/>
      <c r="P137" s="8"/>
      <c r="Q137" s="4"/>
      <c r="R137" s="10">
        <f t="shared" si="16"/>
        <v>0</v>
      </c>
      <c r="S137" s="10"/>
      <c r="T137" s="10">
        <f t="shared" si="17"/>
        <v>0</v>
      </c>
      <c r="U137" s="24" t="str">
        <f t="shared" si="18"/>
        <v/>
      </c>
      <c r="V137" s="10" t="str">
        <f>IFERROR(N137*VLOOKUP(G137,FILAMENTI_DB!$A:$J,10,FALSE),"")</f>
        <v/>
      </c>
      <c r="W137" s="10" t="str">
        <f>IFERROR((VLOOKUP(F137,STAMPANTI_DB!$A:$C,3,FALSE)/1000)*O137*SETTINGS!$C$6,"")</f>
        <v/>
      </c>
      <c r="X137" s="10" t="str">
        <f>IFERROR(O137*VLOOKUP(F137,STAMPANTI_DB!$A:$I,9,FALSE),"")</f>
        <v/>
      </c>
      <c r="Y137" s="10">
        <f>IFERROR(P137*SETTINGS!$C$7,"")</f>
        <v>0</v>
      </c>
      <c r="Z137" s="10">
        <f>SETTINGS!$C$11</f>
        <v>0.5</v>
      </c>
      <c r="AA137" s="10">
        <f t="shared" si="19"/>
        <v>0.5</v>
      </c>
      <c r="AB137" s="10">
        <f>IFERROR(AA137*SETTINGS!$C$9,"")</f>
        <v>2.5000000000000001E-2</v>
      </c>
      <c r="AC137" s="10">
        <f>IFERROR((AA137+AB137)*SETTINGS!$C$10,"")</f>
        <v>2.6250000000000002E-2</v>
      </c>
      <c r="AD137" s="24"/>
    </row>
    <row r="138" spans="1:30" ht="16" customHeight="1" x14ac:dyDescent="0.2">
      <c r="A138" s="17"/>
      <c r="B138" s="18"/>
      <c r="C138" s="7"/>
      <c r="D138" s="7"/>
      <c r="E138" s="7"/>
      <c r="F138" s="7"/>
      <c r="G138" s="7"/>
      <c r="H138" s="18" t="str">
        <f>IFERROR(VLOOKUP(G138,FILAMENTI_DB!$A:$C,3,FALSE),"")</f>
        <v/>
      </c>
      <c r="I138" s="18" t="str">
        <f>IFERROR(VLOOKUP(G138,FILAMENTI_DB!$A:$E,4,FALSE),"")</f>
        <v/>
      </c>
      <c r="J138" s="8"/>
      <c r="K138" s="6"/>
      <c r="L138" s="6"/>
      <c r="M138" s="16">
        <f t="shared" si="14"/>
        <v>0</v>
      </c>
      <c r="N138" s="20">
        <f t="shared" si="15"/>
        <v>0</v>
      </c>
      <c r="O138" s="8"/>
      <c r="P138" s="8"/>
      <c r="Q138" s="4"/>
      <c r="R138" s="10">
        <f t="shared" si="16"/>
        <v>0</v>
      </c>
      <c r="S138" s="10"/>
      <c r="T138" s="10">
        <f t="shared" si="17"/>
        <v>0</v>
      </c>
      <c r="U138" s="24" t="str">
        <f t="shared" si="18"/>
        <v/>
      </c>
      <c r="V138" s="10" t="str">
        <f>IFERROR(N138*VLOOKUP(G138,FILAMENTI_DB!$A:$J,10,FALSE),"")</f>
        <v/>
      </c>
      <c r="W138" s="10" t="str">
        <f>IFERROR((VLOOKUP(F138,STAMPANTI_DB!$A:$C,3,FALSE)/1000)*O138*SETTINGS!$C$6,"")</f>
        <v/>
      </c>
      <c r="X138" s="10" t="str">
        <f>IFERROR(O138*VLOOKUP(F138,STAMPANTI_DB!$A:$I,9,FALSE),"")</f>
        <v/>
      </c>
      <c r="Y138" s="10">
        <f>IFERROR(P138*SETTINGS!$C$7,"")</f>
        <v>0</v>
      </c>
      <c r="Z138" s="10">
        <f>SETTINGS!$C$11</f>
        <v>0.5</v>
      </c>
      <c r="AA138" s="10">
        <f t="shared" si="19"/>
        <v>0.5</v>
      </c>
      <c r="AB138" s="10">
        <f>IFERROR(AA138*SETTINGS!$C$9,"")</f>
        <v>2.5000000000000001E-2</v>
      </c>
      <c r="AC138" s="10">
        <f>IFERROR((AA138+AB138)*SETTINGS!$C$10,"")</f>
        <v>2.6250000000000002E-2</v>
      </c>
      <c r="AD138" s="24"/>
    </row>
    <row r="139" spans="1:30" ht="16" customHeight="1" x14ac:dyDescent="0.2">
      <c r="A139" s="17"/>
      <c r="B139" s="18"/>
      <c r="C139" s="7"/>
      <c r="D139" s="7"/>
      <c r="E139" s="7"/>
      <c r="F139" s="7"/>
      <c r="G139" s="7"/>
      <c r="H139" s="18" t="str">
        <f>IFERROR(VLOOKUP(G139,FILAMENTI_DB!$A:$C,3,FALSE),"")</f>
        <v/>
      </c>
      <c r="I139" s="18" t="str">
        <f>IFERROR(VLOOKUP(G139,FILAMENTI_DB!$A:$E,4,FALSE),"")</f>
        <v/>
      </c>
      <c r="J139" s="8"/>
      <c r="K139" s="6"/>
      <c r="L139" s="6"/>
      <c r="M139" s="16">
        <f t="shared" si="14"/>
        <v>0</v>
      </c>
      <c r="N139" s="20">
        <f t="shared" si="15"/>
        <v>0</v>
      </c>
      <c r="O139" s="8"/>
      <c r="P139" s="8"/>
      <c r="Q139" s="4"/>
      <c r="R139" s="10">
        <f t="shared" si="16"/>
        <v>0</v>
      </c>
      <c r="S139" s="10"/>
      <c r="T139" s="10">
        <f t="shared" si="17"/>
        <v>0</v>
      </c>
      <c r="U139" s="24" t="str">
        <f t="shared" si="18"/>
        <v/>
      </c>
      <c r="V139" s="10" t="str">
        <f>IFERROR(N139*VLOOKUP(G139,FILAMENTI_DB!$A:$J,10,FALSE),"")</f>
        <v/>
      </c>
      <c r="W139" s="10" t="str">
        <f>IFERROR((VLOOKUP(F139,STAMPANTI_DB!$A:$C,3,FALSE)/1000)*O139*SETTINGS!$C$6,"")</f>
        <v/>
      </c>
      <c r="X139" s="10" t="str">
        <f>IFERROR(O139*VLOOKUP(F139,STAMPANTI_DB!$A:$I,9,FALSE),"")</f>
        <v/>
      </c>
      <c r="Y139" s="10">
        <f>IFERROR(P139*SETTINGS!$C$7,"")</f>
        <v>0</v>
      </c>
      <c r="Z139" s="10">
        <f>SETTINGS!$C$11</f>
        <v>0.5</v>
      </c>
      <c r="AA139" s="10">
        <f t="shared" si="19"/>
        <v>0.5</v>
      </c>
      <c r="AB139" s="10">
        <f>IFERROR(AA139*SETTINGS!$C$9,"")</f>
        <v>2.5000000000000001E-2</v>
      </c>
      <c r="AC139" s="10">
        <f>IFERROR((AA139+AB139)*SETTINGS!$C$10,"")</f>
        <v>2.6250000000000002E-2</v>
      </c>
      <c r="AD139" s="24"/>
    </row>
    <row r="140" spans="1:30" ht="16" customHeight="1" x14ac:dyDescent="0.2">
      <c r="A140" s="17"/>
      <c r="B140" s="18"/>
      <c r="C140" s="7"/>
      <c r="D140" s="7"/>
      <c r="E140" s="7"/>
      <c r="F140" s="7"/>
      <c r="G140" s="7"/>
      <c r="H140" s="18" t="str">
        <f>IFERROR(VLOOKUP(G140,FILAMENTI_DB!$A:$C,3,FALSE),"")</f>
        <v/>
      </c>
      <c r="I140" s="18" t="str">
        <f>IFERROR(VLOOKUP(G140,FILAMENTI_DB!$A:$E,4,FALSE),"")</f>
        <v/>
      </c>
      <c r="J140" s="8"/>
      <c r="K140" s="6"/>
      <c r="L140" s="6"/>
      <c r="M140" s="16">
        <f t="shared" si="14"/>
        <v>0</v>
      </c>
      <c r="N140" s="20">
        <f t="shared" si="15"/>
        <v>0</v>
      </c>
      <c r="O140" s="8"/>
      <c r="P140" s="8"/>
      <c r="Q140" s="4"/>
      <c r="R140" s="10">
        <f t="shared" si="16"/>
        <v>0</v>
      </c>
      <c r="S140" s="10"/>
      <c r="T140" s="10">
        <f t="shared" si="17"/>
        <v>0</v>
      </c>
      <c r="U140" s="24" t="str">
        <f t="shared" si="18"/>
        <v/>
      </c>
      <c r="V140" s="10" t="str">
        <f>IFERROR(N140*VLOOKUP(G140,FILAMENTI_DB!$A:$J,10,FALSE),"")</f>
        <v/>
      </c>
      <c r="W140" s="10" t="str">
        <f>IFERROR((VLOOKUP(F140,STAMPANTI_DB!$A:$C,3,FALSE)/1000)*O140*SETTINGS!$C$6,"")</f>
        <v/>
      </c>
      <c r="X140" s="10" t="str">
        <f>IFERROR(O140*VLOOKUP(F140,STAMPANTI_DB!$A:$I,9,FALSE),"")</f>
        <v/>
      </c>
      <c r="Y140" s="10">
        <f>IFERROR(P140*SETTINGS!$C$7,"")</f>
        <v>0</v>
      </c>
      <c r="Z140" s="10">
        <f>SETTINGS!$C$11</f>
        <v>0.5</v>
      </c>
      <c r="AA140" s="10">
        <f t="shared" si="19"/>
        <v>0.5</v>
      </c>
      <c r="AB140" s="10">
        <f>IFERROR(AA140*SETTINGS!$C$9,"")</f>
        <v>2.5000000000000001E-2</v>
      </c>
      <c r="AC140" s="10">
        <f>IFERROR((AA140+AB140)*SETTINGS!$C$10,"")</f>
        <v>2.6250000000000002E-2</v>
      </c>
      <c r="AD140" s="24"/>
    </row>
    <row r="141" spans="1:30" ht="16" customHeight="1" x14ac:dyDescent="0.2">
      <c r="A141" s="17"/>
      <c r="B141" s="18"/>
      <c r="C141" s="7"/>
      <c r="D141" s="7"/>
      <c r="E141" s="7"/>
      <c r="F141" s="7"/>
      <c r="G141" s="7"/>
      <c r="H141" s="18" t="str">
        <f>IFERROR(VLOOKUP(G141,FILAMENTI_DB!$A:$C,3,FALSE),"")</f>
        <v/>
      </c>
      <c r="I141" s="18" t="str">
        <f>IFERROR(VLOOKUP(G141,FILAMENTI_DB!$A:$E,4,FALSE),"")</f>
        <v/>
      </c>
      <c r="J141" s="8"/>
      <c r="K141" s="6"/>
      <c r="L141" s="6"/>
      <c r="M141" s="16">
        <f t="shared" si="14"/>
        <v>0</v>
      </c>
      <c r="N141" s="20">
        <f t="shared" si="15"/>
        <v>0</v>
      </c>
      <c r="O141" s="8"/>
      <c r="P141" s="8"/>
      <c r="Q141" s="4"/>
      <c r="R141" s="10">
        <f t="shared" si="16"/>
        <v>0</v>
      </c>
      <c r="S141" s="10"/>
      <c r="T141" s="10">
        <f t="shared" si="17"/>
        <v>0</v>
      </c>
      <c r="U141" s="24" t="str">
        <f t="shared" si="18"/>
        <v/>
      </c>
      <c r="V141" s="10" t="str">
        <f>IFERROR(N141*VLOOKUP(G141,FILAMENTI_DB!$A:$J,10,FALSE),"")</f>
        <v/>
      </c>
      <c r="W141" s="10" t="str">
        <f>IFERROR((VLOOKUP(F141,STAMPANTI_DB!$A:$C,3,FALSE)/1000)*O141*SETTINGS!$C$6,"")</f>
        <v/>
      </c>
      <c r="X141" s="10" t="str">
        <f>IFERROR(O141*VLOOKUP(F141,STAMPANTI_DB!$A:$I,9,FALSE),"")</f>
        <v/>
      </c>
      <c r="Y141" s="10">
        <f>IFERROR(P141*SETTINGS!$C$7,"")</f>
        <v>0</v>
      </c>
      <c r="Z141" s="10">
        <f>SETTINGS!$C$11</f>
        <v>0.5</v>
      </c>
      <c r="AA141" s="10">
        <f t="shared" si="19"/>
        <v>0.5</v>
      </c>
      <c r="AB141" s="10">
        <f>IFERROR(AA141*SETTINGS!$C$9,"")</f>
        <v>2.5000000000000001E-2</v>
      </c>
      <c r="AC141" s="10">
        <f>IFERROR((AA141+AB141)*SETTINGS!$C$10,"")</f>
        <v>2.6250000000000002E-2</v>
      </c>
      <c r="AD141" s="24"/>
    </row>
    <row r="142" spans="1:30" ht="16" customHeight="1" x14ac:dyDescent="0.2">
      <c r="A142" s="17"/>
      <c r="B142" s="18"/>
      <c r="C142" s="7"/>
      <c r="D142" s="7"/>
      <c r="E142" s="7"/>
      <c r="F142" s="7"/>
      <c r="G142" s="7"/>
      <c r="H142" s="18" t="str">
        <f>IFERROR(VLOOKUP(G142,FILAMENTI_DB!$A:$C,3,FALSE),"")</f>
        <v/>
      </c>
      <c r="I142" s="18" t="str">
        <f>IFERROR(VLOOKUP(G142,FILAMENTI_DB!$A:$E,4,FALSE),"")</f>
        <v/>
      </c>
      <c r="J142" s="8"/>
      <c r="K142" s="6"/>
      <c r="L142" s="6"/>
      <c r="M142" s="16">
        <f t="shared" si="14"/>
        <v>0</v>
      </c>
      <c r="N142" s="20">
        <f t="shared" si="15"/>
        <v>0</v>
      </c>
      <c r="O142" s="8"/>
      <c r="P142" s="8"/>
      <c r="Q142" s="4"/>
      <c r="R142" s="10">
        <f t="shared" si="16"/>
        <v>0</v>
      </c>
      <c r="S142" s="10"/>
      <c r="T142" s="10">
        <f t="shared" si="17"/>
        <v>0</v>
      </c>
      <c r="U142" s="24" t="str">
        <f t="shared" si="18"/>
        <v/>
      </c>
      <c r="V142" s="10" t="str">
        <f>IFERROR(N142*VLOOKUP(G142,FILAMENTI_DB!$A:$J,10,FALSE),"")</f>
        <v/>
      </c>
      <c r="W142" s="10" t="str">
        <f>IFERROR((VLOOKUP(F142,STAMPANTI_DB!$A:$C,3,FALSE)/1000)*O142*SETTINGS!$C$6,"")</f>
        <v/>
      </c>
      <c r="X142" s="10" t="str">
        <f>IFERROR(O142*VLOOKUP(F142,STAMPANTI_DB!$A:$I,9,FALSE),"")</f>
        <v/>
      </c>
      <c r="Y142" s="10">
        <f>IFERROR(P142*SETTINGS!$C$7,"")</f>
        <v>0</v>
      </c>
      <c r="Z142" s="10">
        <f>SETTINGS!$C$11</f>
        <v>0.5</v>
      </c>
      <c r="AA142" s="10">
        <f t="shared" si="19"/>
        <v>0.5</v>
      </c>
      <c r="AB142" s="10">
        <f>IFERROR(AA142*SETTINGS!$C$9,"")</f>
        <v>2.5000000000000001E-2</v>
      </c>
      <c r="AC142" s="10">
        <f>IFERROR((AA142+AB142)*SETTINGS!$C$10,"")</f>
        <v>2.6250000000000002E-2</v>
      </c>
      <c r="AD142" s="24"/>
    </row>
    <row r="143" spans="1:30" ht="16" customHeight="1" x14ac:dyDescent="0.2">
      <c r="A143" s="17"/>
      <c r="B143" s="18"/>
      <c r="C143" s="7"/>
      <c r="D143" s="7"/>
      <c r="E143" s="7"/>
      <c r="F143" s="7"/>
      <c r="G143" s="7"/>
      <c r="H143" s="18" t="str">
        <f>IFERROR(VLOOKUP(G143,FILAMENTI_DB!$A:$C,3,FALSE),"")</f>
        <v/>
      </c>
      <c r="I143" s="18" t="str">
        <f>IFERROR(VLOOKUP(G143,FILAMENTI_DB!$A:$E,4,FALSE),"")</f>
        <v/>
      </c>
      <c r="J143" s="8"/>
      <c r="K143" s="6"/>
      <c r="L143" s="6"/>
      <c r="M143" s="16">
        <f t="shared" si="14"/>
        <v>0</v>
      </c>
      <c r="N143" s="20">
        <f t="shared" si="15"/>
        <v>0</v>
      </c>
      <c r="O143" s="8"/>
      <c r="P143" s="8"/>
      <c r="Q143" s="4"/>
      <c r="R143" s="10">
        <f t="shared" si="16"/>
        <v>0</v>
      </c>
      <c r="S143" s="10"/>
      <c r="T143" s="10">
        <f t="shared" si="17"/>
        <v>0</v>
      </c>
      <c r="U143" s="24" t="str">
        <f t="shared" si="18"/>
        <v/>
      </c>
      <c r="V143" s="10" t="str">
        <f>IFERROR(N143*VLOOKUP(G143,FILAMENTI_DB!$A:$J,10,FALSE),"")</f>
        <v/>
      </c>
      <c r="W143" s="10" t="str">
        <f>IFERROR((VLOOKUP(F143,STAMPANTI_DB!$A:$C,3,FALSE)/1000)*O143*SETTINGS!$C$6,"")</f>
        <v/>
      </c>
      <c r="X143" s="10" t="str">
        <f>IFERROR(O143*VLOOKUP(F143,STAMPANTI_DB!$A:$I,9,FALSE),"")</f>
        <v/>
      </c>
      <c r="Y143" s="10">
        <f>IFERROR(P143*SETTINGS!$C$7,"")</f>
        <v>0</v>
      </c>
      <c r="Z143" s="10">
        <f>SETTINGS!$C$11</f>
        <v>0.5</v>
      </c>
      <c r="AA143" s="10">
        <f t="shared" si="19"/>
        <v>0.5</v>
      </c>
      <c r="AB143" s="10">
        <f>IFERROR(AA143*SETTINGS!$C$9,"")</f>
        <v>2.5000000000000001E-2</v>
      </c>
      <c r="AC143" s="10">
        <f>IFERROR((AA143+AB143)*SETTINGS!$C$10,"")</f>
        <v>2.6250000000000002E-2</v>
      </c>
      <c r="AD143" s="24"/>
    </row>
    <row r="144" spans="1:30" ht="16" customHeight="1" x14ac:dyDescent="0.2">
      <c r="A144" s="17"/>
      <c r="B144" s="18"/>
      <c r="C144" s="7"/>
      <c r="D144" s="7"/>
      <c r="E144" s="7"/>
      <c r="F144" s="7"/>
      <c r="G144" s="7"/>
      <c r="H144" s="18" t="str">
        <f>IFERROR(VLOOKUP(G144,FILAMENTI_DB!$A:$C,3,FALSE),"")</f>
        <v/>
      </c>
      <c r="I144" s="18" t="str">
        <f>IFERROR(VLOOKUP(G144,FILAMENTI_DB!$A:$E,4,FALSE),"")</f>
        <v/>
      </c>
      <c r="J144" s="8"/>
      <c r="K144" s="6"/>
      <c r="L144" s="6"/>
      <c r="M144" s="16">
        <f t="shared" si="14"/>
        <v>0</v>
      </c>
      <c r="N144" s="20">
        <f t="shared" si="15"/>
        <v>0</v>
      </c>
      <c r="O144" s="8"/>
      <c r="P144" s="8"/>
      <c r="Q144" s="4"/>
      <c r="R144" s="10">
        <f t="shared" si="16"/>
        <v>0</v>
      </c>
      <c r="S144" s="10"/>
      <c r="T144" s="10">
        <f t="shared" si="17"/>
        <v>0</v>
      </c>
      <c r="U144" s="24" t="str">
        <f t="shared" si="18"/>
        <v/>
      </c>
      <c r="V144" s="10" t="str">
        <f>IFERROR(N144*VLOOKUP(G144,FILAMENTI_DB!$A:$J,10,FALSE),"")</f>
        <v/>
      </c>
      <c r="W144" s="10" t="str">
        <f>IFERROR((VLOOKUP(F144,STAMPANTI_DB!$A:$C,3,FALSE)/1000)*O144*SETTINGS!$C$6,"")</f>
        <v/>
      </c>
      <c r="X144" s="10" t="str">
        <f>IFERROR(O144*VLOOKUP(F144,STAMPANTI_DB!$A:$I,9,FALSE),"")</f>
        <v/>
      </c>
      <c r="Y144" s="10">
        <f>IFERROR(P144*SETTINGS!$C$7,"")</f>
        <v>0</v>
      </c>
      <c r="Z144" s="10">
        <f>SETTINGS!$C$11</f>
        <v>0.5</v>
      </c>
      <c r="AA144" s="10">
        <f t="shared" si="19"/>
        <v>0.5</v>
      </c>
      <c r="AB144" s="10">
        <f>IFERROR(AA144*SETTINGS!$C$9,"")</f>
        <v>2.5000000000000001E-2</v>
      </c>
      <c r="AC144" s="10">
        <f>IFERROR((AA144+AB144)*SETTINGS!$C$10,"")</f>
        <v>2.6250000000000002E-2</v>
      </c>
      <c r="AD144" s="24"/>
    </row>
    <row r="145" spans="1:30" ht="16" customHeight="1" x14ac:dyDescent="0.2">
      <c r="A145" s="17"/>
      <c r="B145" s="18"/>
      <c r="C145" s="7"/>
      <c r="D145" s="7"/>
      <c r="E145" s="7"/>
      <c r="F145" s="7"/>
      <c r="G145" s="7"/>
      <c r="H145" s="18" t="str">
        <f>IFERROR(VLOOKUP(G145,FILAMENTI_DB!$A:$C,3,FALSE),"")</f>
        <v/>
      </c>
      <c r="I145" s="18" t="str">
        <f>IFERROR(VLOOKUP(G145,FILAMENTI_DB!$A:$E,4,FALSE),"")</f>
        <v/>
      </c>
      <c r="J145" s="8"/>
      <c r="K145" s="6"/>
      <c r="L145" s="6"/>
      <c r="M145" s="16">
        <f t="shared" si="14"/>
        <v>0</v>
      </c>
      <c r="N145" s="20">
        <f t="shared" si="15"/>
        <v>0</v>
      </c>
      <c r="O145" s="8"/>
      <c r="P145" s="8"/>
      <c r="Q145" s="4"/>
      <c r="R145" s="10">
        <f t="shared" si="16"/>
        <v>0</v>
      </c>
      <c r="S145" s="10"/>
      <c r="T145" s="10">
        <f t="shared" si="17"/>
        <v>0</v>
      </c>
      <c r="U145" s="24" t="str">
        <f t="shared" si="18"/>
        <v/>
      </c>
      <c r="V145" s="10" t="str">
        <f>IFERROR(N145*VLOOKUP(G145,FILAMENTI_DB!$A:$J,10,FALSE),"")</f>
        <v/>
      </c>
      <c r="W145" s="10" t="str">
        <f>IFERROR((VLOOKUP(F145,STAMPANTI_DB!$A:$C,3,FALSE)/1000)*O145*SETTINGS!$C$6,"")</f>
        <v/>
      </c>
      <c r="X145" s="10" t="str">
        <f>IFERROR(O145*VLOOKUP(F145,STAMPANTI_DB!$A:$I,9,FALSE),"")</f>
        <v/>
      </c>
      <c r="Y145" s="10">
        <f>IFERROR(P145*SETTINGS!$C$7,"")</f>
        <v>0</v>
      </c>
      <c r="Z145" s="10">
        <f>SETTINGS!$C$11</f>
        <v>0.5</v>
      </c>
      <c r="AA145" s="10">
        <f t="shared" si="19"/>
        <v>0.5</v>
      </c>
      <c r="AB145" s="10">
        <f>IFERROR(AA145*SETTINGS!$C$9,"")</f>
        <v>2.5000000000000001E-2</v>
      </c>
      <c r="AC145" s="10">
        <f>IFERROR((AA145+AB145)*SETTINGS!$C$10,"")</f>
        <v>2.6250000000000002E-2</v>
      </c>
      <c r="AD145" s="24"/>
    </row>
    <row r="146" spans="1:30" ht="16" customHeight="1" x14ac:dyDescent="0.2">
      <c r="A146" s="17"/>
      <c r="B146" s="18"/>
      <c r="C146" s="7"/>
      <c r="D146" s="7"/>
      <c r="E146" s="7"/>
      <c r="F146" s="7"/>
      <c r="G146" s="7"/>
      <c r="H146" s="18" t="str">
        <f>IFERROR(VLOOKUP(G146,FILAMENTI_DB!$A:$C,3,FALSE),"")</f>
        <v/>
      </c>
      <c r="I146" s="18" t="str">
        <f>IFERROR(VLOOKUP(G146,FILAMENTI_DB!$A:$E,4,FALSE),"")</f>
        <v/>
      </c>
      <c r="J146" s="8"/>
      <c r="K146" s="6"/>
      <c r="L146" s="6"/>
      <c r="M146" s="16">
        <f t="shared" si="14"/>
        <v>0</v>
      </c>
      <c r="N146" s="20">
        <f t="shared" si="15"/>
        <v>0</v>
      </c>
      <c r="O146" s="8"/>
      <c r="P146" s="8"/>
      <c r="Q146" s="4"/>
      <c r="R146" s="10">
        <f t="shared" si="16"/>
        <v>0</v>
      </c>
      <c r="S146" s="10"/>
      <c r="T146" s="10">
        <f t="shared" si="17"/>
        <v>0</v>
      </c>
      <c r="U146" s="24" t="str">
        <f t="shared" si="18"/>
        <v/>
      </c>
      <c r="V146" s="10" t="str">
        <f>IFERROR(N146*VLOOKUP(G146,FILAMENTI_DB!$A:$J,10,FALSE),"")</f>
        <v/>
      </c>
      <c r="W146" s="10" t="str">
        <f>IFERROR((VLOOKUP(F146,STAMPANTI_DB!$A:$C,3,FALSE)/1000)*O146*SETTINGS!$C$6,"")</f>
        <v/>
      </c>
      <c r="X146" s="10" t="str">
        <f>IFERROR(O146*VLOOKUP(F146,STAMPANTI_DB!$A:$I,9,FALSE),"")</f>
        <v/>
      </c>
      <c r="Y146" s="10">
        <f>IFERROR(P146*SETTINGS!$C$7,"")</f>
        <v>0</v>
      </c>
      <c r="Z146" s="10">
        <f>SETTINGS!$C$11</f>
        <v>0.5</v>
      </c>
      <c r="AA146" s="10">
        <f t="shared" si="19"/>
        <v>0.5</v>
      </c>
      <c r="AB146" s="10">
        <f>IFERROR(AA146*SETTINGS!$C$9,"")</f>
        <v>2.5000000000000001E-2</v>
      </c>
      <c r="AC146" s="10">
        <f>IFERROR((AA146+AB146)*SETTINGS!$C$10,"")</f>
        <v>2.6250000000000002E-2</v>
      </c>
      <c r="AD146" s="24"/>
    </row>
    <row r="147" spans="1:30" ht="16" customHeight="1" x14ac:dyDescent="0.2">
      <c r="A147" s="17"/>
      <c r="B147" s="18"/>
      <c r="C147" s="7"/>
      <c r="D147" s="7"/>
      <c r="E147" s="7"/>
      <c r="F147" s="7"/>
      <c r="G147" s="7"/>
      <c r="H147" s="18" t="str">
        <f>IFERROR(VLOOKUP(G147,FILAMENTI_DB!$A:$C,3,FALSE),"")</f>
        <v/>
      </c>
      <c r="I147" s="18" t="str">
        <f>IFERROR(VLOOKUP(G147,FILAMENTI_DB!$A:$E,4,FALSE),"")</f>
        <v/>
      </c>
      <c r="J147" s="8"/>
      <c r="K147" s="6"/>
      <c r="L147" s="6"/>
      <c r="M147" s="16">
        <f t="shared" si="14"/>
        <v>0</v>
      </c>
      <c r="N147" s="20">
        <f t="shared" si="15"/>
        <v>0</v>
      </c>
      <c r="O147" s="8"/>
      <c r="P147" s="8"/>
      <c r="Q147" s="4"/>
      <c r="R147" s="10">
        <f t="shared" si="16"/>
        <v>0</v>
      </c>
      <c r="S147" s="10"/>
      <c r="T147" s="10">
        <f t="shared" si="17"/>
        <v>0</v>
      </c>
      <c r="U147" s="24" t="str">
        <f t="shared" si="18"/>
        <v/>
      </c>
      <c r="V147" s="10" t="str">
        <f>IFERROR(N147*VLOOKUP(G147,FILAMENTI_DB!$A:$J,10,FALSE),"")</f>
        <v/>
      </c>
      <c r="W147" s="10" t="str">
        <f>IFERROR((VLOOKUP(F147,STAMPANTI_DB!$A:$C,3,FALSE)/1000)*O147*SETTINGS!$C$6,"")</f>
        <v/>
      </c>
      <c r="X147" s="10" t="str">
        <f>IFERROR(O147*VLOOKUP(F147,STAMPANTI_DB!$A:$I,9,FALSE),"")</f>
        <v/>
      </c>
      <c r="Y147" s="10">
        <f>IFERROR(P147*SETTINGS!$C$7,"")</f>
        <v>0</v>
      </c>
      <c r="Z147" s="10">
        <f>SETTINGS!$C$11</f>
        <v>0.5</v>
      </c>
      <c r="AA147" s="10">
        <f t="shared" si="19"/>
        <v>0.5</v>
      </c>
      <c r="AB147" s="10">
        <f>IFERROR(AA147*SETTINGS!$C$9,"")</f>
        <v>2.5000000000000001E-2</v>
      </c>
      <c r="AC147" s="10">
        <f>IFERROR((AA147+AB147)*SETTINGS!$C$10,"")</f>
        <v>2.6250000000000002E-2</v>
      </c>
      <c r="AD147" s="24"/>
    </row>
    <row r="148" spans="1:30" ht="16" customHeight="1" x14ac:dyDescent="0.2">
      <c r="A148" s="17"/>
      <c r="B148" s="18"/>
      <c r="C148" s="7"/>
      <c r="D148" s="7"/>
      <c r="E148" s="7"/>
      <c r="F148" s="7"/>
      <c r="G148" s="7"/>
      <c r="H148" s="18" t="str">
        <f>IFERROR(VLOOKUP(G148,FILAMENTI_DB!$A:$C,3,FALSE),"")</f>
        <v/>
      </c>
      <c r="I148" s="18" t="str">
        <f>IFERROR(VLOOKUP(G148,FILAMENTI_DB!$A:$E,4,FALSE),"")</f>
        <v/>
      </c>
      <c r="J148" s="8"/>
      <c r="K148" s="6"/>
      <c r="L148" s="6"/>
      <c r="M148" s="16">
        <f t="shared" si="14"/>
        <v>0</v>
      </c>
      <c r="N148" s="20">
        <f t="shared" si="15"/>
        <v>0</v>
      </c>
      <c r="O148" s="8"/>
      <c r="P148" s="8"/>
      <c r="Q148" s="4"/>
      <c r="R148" s="10">
        <f t="shared" si="16"/>
        <v>0</v>
      </c>
      <c r="S148" s="10"/>
      <c r="T148" s="10">
        <f t="shared" si="17"/>
        <v>0</v>
      </c>
      <c r="U148" s="24" t="str">
        <f t="shared" si="18"/>
        <v/>
      </c>
      <c r="V148" s="10" t="str">
        <f>IFERROR(N148*VLOOKUP(G148,FILAMENTI_DB!$A:$J,10,FALSE),"")</f>
        <v/>
      </c>
      <c r="W148" s="10" t="str">
        <f>IFERROR((VLOOKUP(F148,STAMPANTI_DB!$A:$C,3,FALSE)/1000)*O148*SETTINGS!$C$6,"")</f>
        <v/>
      </c>
      <c r="X148" s="10" t="str">
        <f>IFERROR(O148*VLOOKUP(F148,STAMPANTI_DB!$A:$I,9,FALSE),"")</f>
        <v/>
      </c>
      <c r="Y148" s="10">
        <f>IFERROR(P148*SETTINGS!$C$7,"")</f>
        <v>0</v>
      </c>
      <c r="Z148" s="10">
        <f>SETTINGS!$C$11</f>
        <v>0.5</v>
      </c>
      <c r="AA148" s="10">
        <f t="shared" si="19"/>
        <v>0.5</v>
      </c>
      <c r="AB148" s="10">
        <f>IFERROR(AA148*SETTINGS!$C$9,"")</f>
        <v>2.5000000000000001E-2</v>
      </c>
      <c r="AC148" s="10">
        <f>IFERROR((AA148+AB148)*SETTINGS!$C$10,"")</f>
        <v>2.6250000000000002E-2</v>
      </c>
      <c r="AD148" s="24"/>
    </row>
    <row r="149" spans="1:30" ht="16" customHeight="1" x14ac:dyDescent="0.2">
      <c r="A149" s="17"/>
      <c r="B149" s="18"/>
      <c r="C149" s="7"/>
      <c r="D149" s="7"/>
      <c r="E149" s="7"/>
      <c r="F149" s="7"/>
      <c r="G149" s="7"/>
      <c r="H149" s="18" t="str">
        <f>IFERROR(VLOOKUP(G149,FILAMENTI_DB!$A:$C,3,FALSE),"")</f>
        <v/>
      </c>
      <c r="I149" s="18" t="str">
        <f>IFERROR(VLOOKUP(G149,FILAMENTI_DB!$A:$E,4,FALSE),"")</f>
        <v/>
      </c>
      <c r="J149" s="8"/>
      <c r="K149" s="6"/>
      <c r="L149" s="6"/>
      <c r="M149" s="16">
        <f t="shared" si="14"/>
        <v>0</v>
      </c>
      <c r="N149" s="20">
        <f t="shared" si="15"/>
        <v>0</v>
      </c>
      <c r="O149" s="8"/>
      <c r="P149" s="8"/>
      <c r="Q149" s="4"/>
      <c r="R149" s="10">
        <f t="shared" si="16"/>
        <v>0</v>
      </c>
      <c r="S149" s="10"/>
      <c r="T149" s="10">
        <f t="shared" si="17"/>
        <v>0</v>
      </c>
      <c r="U149" s="24" t="str">
        <f t="shared" si="18"/>
        <v/>
      </c>
      <c r="V149" s="10" t="str">
        <f>IFERROR(N149*VLOOKUP(G149,FILAMENTI_DB!$A:$J,10,FALSE),"")</f>
        <v/>
      </c>
      <c r="W149" s="10" t="str">
        <f>IFERROR((VLOOKUP(F149,STAMPANTI_DB!$A:$C,3,FALSE)/1000)*O149*SETTINGS!$C$6,"")</f>
        <v/>
      </c>
      <c r="X149" s="10" t="str">
        <f>IFERROR(O149*VLOOKUP(F149,STAMPANTI_DB!$A:$I,9,FALSE),"")</f>
        <v/>
      </c>
      <c r="Y149" s="10">
        <f>IFERROR(P149*SETTINGS!$C$7,"")</f>
        <v>0</v>
      </c>
      <c r="Z149" s="10">
        <f>SETTINGS!$C$11</f>
        <v>0.5</v>
      </c>
      <c r="AA149" s="10">
        <f t="shared" si="19"/>
        <v>0.5</v>
      </c>
      <c r="AB149" s="10">
        <f>IFERROR(AA149*SETTINGS!$C$9,"")</f>
        <v>2.5000000000000001E-2</v>
      </c>
      <c r="AC149" s="10">
        <f>IFERROR((AA149+AB149)*SETTINGS!$C$10,"")</f>
        <v>2.6250000000000002E-2</v>
      </c>
      <c r="AD149" s="24"/>
    </row>
    <row r="150" spans="1:30" ht="16" customHeight="1" x14ac:dyDescent="0.2">
      <c r="A150" s="17"/>
      <c r="B150" s="18"/>
      <c r="C150" s="7"/>
      <c r="D150" s="7"/>
      <c r="E150" s="7"/>
      <c r="F150" s="7"/>
      <c r="G150" s="7"/>
      <c r="H150" s="18" t="str">
        <f>IFERROR(VLOOKUP(G150,FILAMENTI_DB!$A:$C,3,FALSE),"")</f>
        <v/>
      </c>
      <c r="I150" s="18" t="str">
        <f>IFERROR(VLOOKUP(G150,FILAMENTI_DB!$A:$E,4,FALSE),"")</f>
        <v/>
      </c>
      <c r="J150" s="8"/>
      <c r="K150" s="6"/>
      <c r="L150" s="6"/>
      <c r="M150" s="16">
        <f t="shared" si="14"/>
        <v>0</v>
      </c>
      <c r="N150" s="20">
        <f t="shared" si="15"/>
        <v>0</v>
      </c>
      <c r="O150" s="8"/>
      <c r="P150" s="8"/>
      <c r="Q150" s="4"/>
      <c r="R150" s="10">
        <f t="shared" si="16"/>
        <v>0</v>
      </c>
      <c r="S150" s="10"/>
      <c r="T150" s="10">
        <f t="shared" si="17"/>
        <v>0</v>
      </c>
      <c r="U150" s="24" t="str">
        <f t="shared" si="18"/>
        <v/>
      </c>
      <c r="V150" s="10" t="str">
        <f>IFERROR(N150*VLOOKUP(G150,FILAMENTI_DB!$A:$J,10,FALSE),"")</f>
        <v/>
      </c>
      <c r="W150" s="10" t="str">
        <f>IFERROR((VLOOKUP(F150,STAMPANTI_DB!$A:$C,3,FALSE)/1000)*O150*SETTINGS!$C$6,"")</f>
        <v/>
      </c>
      <c r="X150" s="10" t="str">
        <f>IFERROR(O150*VLOOKUP(F150,STAMPANTI_DB!$A:$I,9,FALSE),"")</f>
        <v/>
      </c>
      <c r="Y150" s="10">
        <f>IFERROR(P150*SETTINGS!$C$7,"")</f>
        <v>0</v>
      </c>
      <c r="Z150" s="10">
        <f>SETTINGS!$C$11</f>
        <v>0.5</v>
      </c>
      <c r="AA150" s="10">
        <f t="shared" si="19"/>
        <v>0.5</v>
      </c>
      <c r="AB150" s="10">
        <f>IFERROR(AA150*SETTINGS!$C$9,"")</f>
        <v>2.5000000000000001E-2</v>
      </c>
      <c r="AC150" s="10">
        <f>IFERROR((AA150+AB150)*SETTINGS!$C$10,"")</f>
        <v>2.6250000000000002E-2</v>
      </c>
      <c r="AD150" s="24"/>
    </row>
    <row r="151" spans="1:30" ht="16" customHeight="1" x14ac:dyDescent="0.2">
      <c r="A151" s="17"/>
      <c r="B151" s="18"/>
      <c r="C151" s="7"/>
      <c r="D151" s="7"/>
      <c r="E151" s="7"/>
      <c r="F151" s="7"/>
      <c r="G151" s="7"/>
      <c r="H151" s="18" t="str">
        <f>IFERROR(VLOOKUP(G151,FILAMENTI_DB!$A:$C,3,FALSE),"")</f>
        <v/>
      </c>
      <c r="I151" s="18" t="str">
        <f>IFERROR(VLOOKUP(G151,FILAMENTI_DB!$A:$E,4,FALSE),"")</f>
        <v/>
      </c>
      <c r="J151" s="8"/>
      <c r="K151" s="6"/>
      <c r="L151" s="6"/>
      <c r="M151" s="16">
        <f t="shared" si="14"/>
        <v>0</v>
      </c>
      <c r="N151" s="20">
        <f t="shared" si="15"/>
        <v>0</v>
      </c>
      <c r="O151" s="8"/>
      <c r="P151" s="8"/>
      <c r="Q151" s="4"/>
      <c r="R151" s="10">
        <f t="shared" si="16"/>
        <v>0</v>
      </c>
      <c r="S151" s="10"/>
      <c r="T151" s="10">
        <f t="shared" si="17"/>
        <v>0</v>
      </c>
      <c r="U151" s="24" t="str">
        <f t="shared" si="18"/>
        <v/>
      </c>
      <c r="V151" s="10" t="str">
        <f>IFERROR(N151*VLOOKUP(G151,FILAMENTI_DB!$A:$J,10,FALSE),"")</f>
        <v/>
      </c>
      <c r="W151" s="10" t="str">
        <f>IFERROR((VLOOKUP(F151,STAMPANTI_DB!$A:$C,3,FALSE)/1000)*O151*SETTINGS!$C$6,"")</f>
        <v/>
      </c>
      <c r="X151" s="10" t="str">
        <f>IFERROR(O151*VLOOKUP(F151,STAMPANTI_DB!$A:$I,9,FALSE),"")</f>
        <v/>
      </c>
      <c r="Y151" s="10">
        <f>IFERROR(P151*SETTINGS!$C$7,"")</f>
        <v>0</v>
      </c>
      <c r="Z151" s="10">
        <f>SETTINGS!$C$11</f>
        <v>0.5</v>
      </c>
      <c r="AA151" s="10">
        <f t="shared" si="19"/>
        <v>0.5</v>
      </c>
      <c r="AB151" s="10">
        <f>IFERROR(AA151*SETTINGS!$C$9,"")</f>
        <v>2.5000000000000001E-2</v>
      </c>
      <c r="AC151" s="10">
        <f>IFERROR((AA151+AB151)*SETTINGS!$C$10,"")</f>
        <v>2.6250000000000002E-2</v>
      </c>
      <c r="AD151" s="24"/>
    </row>
    <row r="152" spans="1:30" ht="16" customHeight="1" x14ac:dyDescent="0.2">
      <c r="A152" s="17"/>
      <c r="B152" s="18"/>
      <c r="C152" s="7"/>
      <c r="D152" s="7"/>
      <c r="E152" s="7"/>
      <c r="F152" s="7"/>
      <c r="G152" s="7"/>
      <c r="H152" s="18" t="str">
        <f>IFERROR(VLOOKUP(G152,FILAMENTI_DB!$A:$C,3,FALSE),"")</f>
        <v/>
      </c>
      <c r="I152" s="18" t="str">
        <f>IFERROR(VLOOKUP(G152,FILAMENTI_DB!$A:$E,4,FALSE),"")</f>
        <v/>
      </c>
      <c r="J152" s="8"/>
      <c r="K152" s="6"/>
      <c r="L152" s="6"/>
      <c r="M152" s="16">
        <f t="shared" si="14"/>
        <v>0</v>
      </c>
      <c r="N152" s="20">
        <f t="shared" si="15"/>
        <v>0</v>
      </c>
      <c r="O152" s="8"/>
      <c r="P152" s="8"/>
      <c r="Q152" s="4"/>
      <c r="R152" s="10">
        <f t="shared" si="16"/>
        <v>0</v>
      </c>
      <c r="S152" s="10"/>
      <c r="T152" s="10">
        <f t="shared" si="17"/>
        <v>0</v>
      </c>
      <c r="U152" s="24" t="str">
        <f t="shared" si="18"/>
        <v/>
      </c>
      <c r="V152" s="10" t="str">
        <f>IFERROR(N152*VLOOKUP(G152,FILAMENTI_DB!$A:$J,10,FALSE),"")</f>
        <v/>
      </c>
      <c r="W152" s="10" t="str">
        <f>IFERROR((VLOOKUP(F152,STAMPANTI_DB!$A:$C,3,FALSE)/1000)*O152*SETTINGS!$C$6,"")</f>
        <v/>
      </c>
      <c r="X152" s="10" t="str">
        <f>IFERROR(O152*VLOOKUP(F152,STAMPANTI_DB!$A:$I,9,FALSE),"")</f>
        <v/>
      </c>
      <c r="Y152" s="10">
        <f>IFERROR(P152*SETTINGS!$C$7,"")</f>
        <v>0</v>
      </c>
      <c r="Z152" s="10">
        <f>SETTINGS!$C$11</f>
        <v>0.5</v>
      </c>
      <c r="AA152" s="10">
        <f t="shared" si="19"/>
        <v>0.5</v>
      </c>
      <c r="AB152" s="10">
        <f>IFERROR(AA152*SETTINGS!$C$9,"")</f>
        <v>2.5000000000000001E-2</v>
      </c>
      <c r="AC152" s="10">
        <f>IFERROR((AA152+AB152)*SETTINGS!$C$10,"")</f>
        <v>2.6250000000000002E-2</v>
      </c>
      <c r="AD152" s="24"/>
    </row>
    <row r="153" spans="1:30" ht="16" customHeight="1" x14ac:dyDescent="0.2">
      <c r="A153" s="17"/>
      <c r="B153" s="18"/>
      <c r="C153" s="7"/>
      <c r="D153" s="7"/>
      <c r="E153" s="7"/>
      <c r="F153" s="7"/>
      <c r="G153" s="7"/>
      <c r="H153" s="18" t="str">
        <f>IFERROR(VLOOKUP(G153,FILAMENTI_DB!$A:$C,3,FALSE),"")</f>
        <v/>
      </c>
      <c r="I153" s="18" t="str">
        <f>IFERROR(VLOOKUP(G153,FILAMENTI_DB!$A:$E,4,FALSE),"")</f>
        <v/>
      </c>
      <c r="J153" s="8"/>
      <c r="K153" s="6"/>
      <c r="L153" s="6"/>
      <c r="M153" s="16">
        <f t="shared" si="14"/>
        <v>0</v>
      </c>
      <c r="N153" s="20">
        <f t="shared" si="15"/>
        <v>0</v>
      </c>
      <c r="O153" s="8"/>
      <c r="P153" s="8"/>
      <c r="Q153" s="4"/>
      <c r="R153" s="10">
        <f t="shared" si="16"/>
        <v>0</v>
      </c>
      <c r="S153" s="10"/>
      <c r="T153" s="10">
        <f t="shared" si="17"/>
        <v>0</v>
      </c>
      <c r="U153" s="24" t="str">
        <f t="shared" si="18"/>
        <v/>
      </c>
      <c r="V153" s="10" t="str">
        <f>IFERROR(N153*VLOOKUP(G153,FILAMENTI_DB!$A:$J,10,FALSE),"")</f>
        <v/>
      </c>
      <c r="W153" s="10" t="str">
        <f>IFERROR((VLOOKUP(F153,STAMPANTI_DB!$A:$C,3,FALSE)/1000)*O153*SETTINGS!$C$6,"")</f>
        <v/>
      </c>
      <c r="X153" s="10" t="str">
        <f>IFERROR(O153*VLOOKUP(F153,STAMPANTI_DB!$A:$I,9,FALSE),"")</f>
        <v/>
      </c>
      <c r="Y153" s="10">
        <f>IFERROR(P153*SETTINGS!$C$7,"")</f>
        <v>0</v>
      </c>
      <c r="Z153" s="10">
        <f>SETTINGS!$C$11</f>
        <v>0.5</v>
      </c>
      <c r="AA153" s="10">
        <f t="shared" si="19"/>
        <v>0.5</v>
      </c>
      <c r="AB153" s="10">
        <f>IFERROR(AA153*SETTINGS!$C$9,"")</f>
        <v>2.5000000000000001E-2</v>
      </c>
      <c r="AC153" s="10">
        <f>IFERROR((AA153+AB153)*SETTINGS!$C$10,"")</f>
        <v>2.6250000000000002E-2</v>
      </c>
      <c r="AD153" s="24"/>
    </row>
    <row r="154" spans="1:30" ht="16" customHeight="1" x14ac:dyDescent="0.2">
      <c r="A154" s="17"/>
      <c r="B154" s="18"/>
      <c r="C154" s="7"/>
      <c r="D154" s="7"/>
      <c r="E154" s="7"/>
      <c r="F154" s="7"/>
      <c r="G154" s="7"/>
      <c r="H154" s="18" t="str">
        <f>IFERROR(VLOOKUP(G154,FILAMENTI_DB!$A:$C,3,FALSE),"")</f>
        <v/>
      </c>
      <c r="I154" s="18" t="str">
        <f>IFERROR(VLOOKUP(G154,FILAMENTI_DB!$A:$E,4,FALSE),"")</f>
        <v/>
      </c>
      <c r="J154" s="8"/>
      <c r="K154" s="6"/>
      <c r="L154" s="6"/>
      <c r="M154" s="16">
        <f t="shared" si="14"/>
        <v>0</v>
      </c>
      <c r="N154" s="20">
        <f t="shared" si="15"/>
        <v>0</v>
      </c>
      <c r="O154" s="8"/>
      <c r="P154" s="8"/>
      <c r="Q154" s="4"/>
      <c r="R154" s="10">
        <f t="shared" si="16"/>
        <v>0</v>
      </c>
      <c r="S154" s="10"/>
      <c r="T154" s="10">
        <f t="shared" si="17"/>
        <v>0</v>
      </c>
      <c r="U154" s="24" t="str">
        <f t="shared" si="18"/>
        <v/>
      </c>
      <c r="V154" s="10" t="str">
        <f>IFERROR(N154*VLOOKUP(G154,FILAMENTI_DB!$A:$J,10,FALSE),"")</f>
        <v/>
      </c>
      <c r="W154" s="10" t="str">
        <f>IFERROR((VLOOKUP(F154,STAMPANTI_DB!$A:$C,3,FALSE)/1000)*O154*SETTINGS!$C$6,"")</f>
        <v/>
      </c>
      <c r="X154" s="10" t="str">
        <f>IFERROR(O154*VLOOKUP(F154,STAMPANTI_DB!$A:$I,9,FALSE),"")</f>
        <v/>
      </c>
      <c r="Y154" s="10">
        <f>IFERROR(P154*SETTINGS!$C$7,"")</f>
        <v>0</v>
      </c>
      <c r="Z154" s="10">
        <f>SETTINGS!$C$11</f>
        <v>0.5</v>
      </c>
      <c r="AA154" s="10">
        <f t="shared" si="19"/>
        <v>0.5</v>
      </c>
      <c r="AB154" s="10">
        <f>IFERROR(AA154*SETTINGS!$C$9,"")</f>
        <v>2.5000000000000001E-2</v>
      </c>
      <c r="AC154" s="10">
        <f>IFERROR((AA154+AB154)*SETTINGS!$C$10,"")</f>
        <v>2.6250000000000002E-2</v>
      </c>
      <c r="AD154" s="24"/>
    </row>
    <row r="155" spans="1:30" ht="16" customHeight="1" x14ac:dyDescent="0.2">
      <c r="A155" s="17"/>
      <c r="B155" s="18"/>
      <c r="C155" s="7"/>
      <c r="D155" s="7"/>
      <c r="E155" s="7"/>
      <c r="F155" s="7"/>
      <c r="G155" s="7"/>
      <c r="H155" s="18" t="str">
        <f>IFERROR(VLOOKUP(G155,FILAMENTI_DB!$A:$C,3,FALSE),"")</f>
        <v/>
      </c>
      <c r="I155" s="18" t="str">
        <f>IFERROR(VLOOKUP(G155,FILAMENTI_DB!$A:$E,4,FALSE),"")</f>
        <v/>
      </c>
      <c r="J155" s="8"/>
      <c r="K155" s="6"/>
      <c r="L155" s="6"/>
      <c r="M155" s="16">
        <f t="shared" si="14"/>
        <v>0</v>
      </c>
      <c r="N155" s="20">
        <f t="shared" si="15"/>
        <v>0</v>
      </c>
      <c r="O155" s="8"/>
      <c r="P155" s="8"/>
      <c r="Q155" s="4"/>
      <c r="R155" s="10">
        <f t="shared" si="16"/>
        <v>0</v>
      </c>
      <c r="S155" s="10"/>
      <c r="T155" s="10">
        <f t="shared" si="17"/>
        <v>0</v>
      </c>
      <c r="U155" s="24" t="str">
        <f t="shared" si="18"/>
        <v/>
      </c>
      <c r="V155" s="10" t="str">
        <f>IFERROR(N155*VLOOKUP(G155,FILAMENTI_DB!$A:$J,10,FALSE),"")</f>
        <v/>
      </c>
      <c r="W155" s="10" t="str">
        <f>IFERROR((VLOOKUP(F155,STAMPANTI_DB!$A:$C,3,FALSE)/1000)*O155*SETTINGS!$C$6,"")</f>
        <v/>
      </c>
      <c r="X155" s="10" t="str">
        <f>IFERROR(O155*VLOOKUP(F155,STAMPANTI_DB!$A:$I,9,FALSE),"")</f>
        <v/>
      </c>
      <c r="Y155" s="10">
        <f>IFERROR(P155*SETTINGS!$C$7,"")</f>
        <v>0</v>
      </c>
      <c r="Z155" s="10">
        <f>SETTINGS!$C$11</f>
        <v>0.5</v>
      </c>
      <c r="AA155" s="10">
        <f t="shared" si="19"/>
        <v>0.5</v>
      </c>
      <c r="AB155" s="10">
        <f>IFERROR(AA155*SETTINGS!$C$9,"")</f>
        <v>2.5000000000000001E-2</v>
      </c>
      <c r="AC155" s="10">
        <f>IFERROR((AA155+AB155)*SETTINGS!$C$10,"")</f>
        <v>2.6250000000000002E-2</v>
      </c>
      <c r="AD155" s="24"/>
    </row>
    <row r="156" spans="1:30" ht="16" customHeight="1" x14ac:dyDescent="0.2">
      <c r="A156" s="17"/>
      <c r="B156" s="18"/>
      <c r="C156" s="7"/>
      <c r="D156" s="7"/>
      <c r="E156" s="7"/>
      <c r="F156" s="7"/>
      <c r="G156" s="7"/>
      <c r="H156" s="18" t="str">
        <f>IFERROR(VLOOKUP(G156,FILAMENTI_DB!$A:$C,3,FALSE),"")</f>
        <v/>
      </c>
      <c r="I156" s="18" t="str">
        <f>IFERROR(VLOOKUP(G156,FILAMENTI_DB!$A:$E,4,FALSE),"")</f>
        <v/>
      </c>
      <c r="J156" s="8"/>
      <c r="K156" s="6"/>
      <c r="L156" s="6"/>
      <c r="M156" s="16">
        <f t="shared" si="14"/>
        <v>0</v>
      </c>
      <c r="N156" s="20">
        <f t="shared" si="15"/>
        <v>0</v>
      </c>
      <c r="O156" s="8"/>
      <c r="P156" s="8"/>
      <c r="Q156" s="4"/>
      <c r="R156" s="10">
        <f t="shared" si="16"/>
        <v>0</v>
      </c>
      <c r="S156" s="10"/>
      <c r="T156" s="10">
        <f t="shared" si="17"/>
        <v>0</v>
      </c>
      <c r="U156" s="24" t="str">
        <f t="shared" si="18"/>
        <v/>
      </c>
      <c r="V156" s="10" t="str">
        <f>IFERROR(N156*VLOOKUP(G156,FILAMENTI_DB!$A:$J,10,FALSE),"")</f>
        <v/>
      </c>
      <c r="W156" s="10" t="str">
        <f>IFERROR((VLOOKUP(F156,STAMPANTI_DB!$A:$C,3,FALSE)/1000)*O156*SETTINGS!$C$6,"")</f>
        <v/>
      </c>
      <c r="X156" s="10" t="str">
        <f>IFERROR(O156*VLOOKUP(F156,STAMPANTI_DB!$A:$I,9,FALSE),"")</f>
        <v/>
      </c>
      <c r="Y156" s="10">
        <f>IFERROR(P156*SETTINGS!$C$7,"")</f>
        <v>0</v>
      </c>
      <c r="Z156" s="10">
        <f>SETTINGS!$C$11</f>
        <v>0.5</v>
      </c>
      <c r="AA156" s="10">
        <f t="shared" si="19"/>
        <v>0.5</v>
      </c>
      <c r="AB156" s="10">
        <f>IFERROR(AA156*SETTINGS!$C$9,"")</f>
        <v>2.5000000000000001E-2</v>
      </c>
      <c r="AC156" s="10">
        <f>IFERROR((AA156+AB156)*SETTINGS!$C$10,"")</f>
        <v>2.6250000000000002E-2</v>
      </c>
      <c r="AD156" s="24"/>
    </row>
    <row r="157" spans="1:30" ht="16" customHeight="1" x14ac:dyDescent="0.2">
      <c r="A157" s="17"/>
      <c r="B157" s="18"/>
      <c r="C157" s="7"/>
      <c r="D157" s="7"/>
      <c r="E157" s="7"/>
      <c r="F157" s="7"/>
      <c r="G157" s="7"/>
      <c r="H157" s="18" t="str">
        <f>IFERROR(VLOOKUP(G157,FILAMENTI_DB!$A:$C,3,FALSE),"")</f>
        <v/>
      </c>
      <c r="I157" s="18" t="str">
        <f>IFERROR(VLOOKUP(G157,FILAMENTI_DB!$A:$E,4,FALSE),"")</f>
        <v/>
      </c>
      <c r="J157" s="8"/>
      <c r="K157" s="6"/>
      <c r="L157" s="6"/>
      <c r="M157" s="16">
        <f t="shared" si="14"/>
        <v>0</v>
      </c>
      <c r="N157" s="20">
        <f t="shared" si="15"/>
        <v>0</v>
      </c>
      <c r="O157" s="8"/>
      <c r="P157" s="8"/>
      <c r="Q157" s="4"/>
      <c r="R157" s="10">
        <f t="shared" si="16"/>
        <v>0</v>
      </c>
      <c r="S157" s="10"/>
      <c r="T157" s="10">
        <f t="shared" si="17"/>
        <v>0</v>
      </c>
      <c r="U157" s="24" t="str">
        <f t="shared" si="18"/>
        <v/>
      </c>
      <c r="V157" s="10" t="str">
        <f>IFERROR(N157*VLOOKUP(G157,FILAMENTI_DB!$A:$J,10,FALSE),"")</f>
        <v/>
      </c>
      <c r="W157" s="10" t="str">
        <f>IFERROR((VLOOKUP(F157,STAMPANTI_DB!$A:$C,3,FALSE)/1000)*O157*SETTINGS!$C$6,"")</f>
        <v/>
      </c>
      <c r="X157" s="10" t="str">
        <f>IFERROR(O157*VLOOKUP(F157,STAMPANTI_DB!$A:$I,9,FALSE),"")</f>
        <v/>
      </c>
      <c r="Y157" s="10">
        <f>IFERROR(P157*SETTINGS!$C$7,"")</f>
        <v>0</v>
      </c>
      <c r="Z157" s="10">
        <f>SETTINGS!$C$11</f>
        <v>0.5</v>
      </c>
      <c r="AA157" s="10">
        <f t="shared" si="19"/>
        <v>0.5</v>
      </c>
      <c r="AB157" s="10">
        <f>IFERROR(AA157*SETTINGS!$C$9,"")</f>
        <v>2.5000000000000001E-2</v>
      </c>
      <c r="AC157" s="10">
        <f>IFERROR((AA157+AB157)*SETTINGS!$C$10,"")</f>
        <v>2.6250000000000002E-2</v>
      </c>
      <c r="AD157" s="24"/>
    </row>
    <row r="158" spans="1:30" ht="16" customHeight="1" x14ac:dyDescent="0.2">
      <c r="A158" s="17"/>
      <c r="B158" s="18"/>
      <c r="C158" s="7"/>
      <c r="D158" s="7"/>
      <c r="E158" s="7"/>
      <c r="F158" s="7"/>
      <c r="G158" s="7"/>
      <c r="H158" s="18" t="str">
        <f>IFERROR(VLOOKUP(G158,FILAMENTI_DB!$A:$C,3,FALSE),"")</f>
        <v/>
      </c>
      <c r="I158" s="18" t="str">
        <f>IFERROR(VLOOKUP(G158,FILAMENTI_DB!$A:$E,4,FALSE),"")</f>
        <v/>
      </c>
      <c r="J158" s="8"/>
      <c r="K158" s="6"/>
      <c r="L158" s="6"/>
      <c r="M158" s="16">
        <f t="shared" si="14"/>
        <v>0</v>
      </c>
      <c r="N158" s="20">
        <f t="shared" si="15"/>
        <v>0</v>
      </c>
      <c r="O158" s="8"/>
      <c r="P158" s="8"/>
      <c r="Q158" s="4"/>
      <c r="R158" s="10">
        <f t="shared" si="16"/>
        <v>0</v>
      </c>
      <c r="S158" s="10"/>
      <c r="T158" s="10">
        <f t="shared" si="17"/>
        <v>0</v>
      </c>
      <c r="U158" s="24" t="str">
        <f t="shared" si="18"/>
        <v/>
      </c>
      <c r="V158" s="10" t="str">
        <f>IFERROR(N158*VLOOKUP(G158,FILAMENTI_DB!$A:$J,10,FALSE),"")</f>
        <v/>
      </c>
      <c r="W158" s="10" t="str">
        <f>IFERROR((VLOOKUP(F158,STAMPANTI_DB!$A:$C,3,FALSE)/1000)*O158*SETTINGS!$C$6,"")</f>
        <v/>
      </c>
      <c r="X158" s="10" t="str">
        <f>IFERROR(O158*VLOOKUP(F158,STAMPANTI_DB!$A:$I,9,FALSE),"")</f>
        <v/>
      </c>
      <c r="Y158" s="10">
        <f>IFERROR(P158*SETTINGS!$C$7,"")</f>
        <v>0</v>
      </c>
      <c r="Z158" s="10">
        <f>SETTINGS!$C$11</f>
        <v>0.5</v>
      </c>
      <c r="AA158" s="10">
        <f t="shared" si="19"/>
        <v>0.5</v>
      </c>
      <c r="AB158" s="10">
        <f>IFERROR(AA158*SETTINGS!$C$9,"")</f>
        <v>2.5000000000000001E-2</v>
      </c>
      <c r="AC158" s="10">
        <f>IFERROR((AA158+AB158)*SETTINGS!$C$10,"")</f>
        <v>2.6250000000000002E-2</v>
      </c>
      <c r="AD158" s="24"/>
    </row>
    <row r="159" spans="1:30" ht="16" customHeight="1" x14ac:dyDescent="0.2">
      <c r="A159" s="17"/>
      <c r="B159" s="18"/>
      <c r="C159" s="7"/>
      <c r="D159" s="7"/>
      <c r="E159" s="7"/>
      <c r="F159" s="7"/>
      <c r="G159" s="7"/>
      <c r="H159" s="18" t="str">
        <f>IFERROR(VLOOKUP(G159,FILAMENTI_DB!$A:$C,3,FALSE),"")</f>
        <v/>
      </c>
      <c r="I159" s="18" t="str">
        <f>IFERROR(VLOOKUP(G159,FILAMENTI_DB!$A:$E,4,FALSE),"")</f>
        <v/>
      </c>
      <c r="J159" s="8"/>
      <c r="K159" s="6"/>
      <c r="L159" s="6"/>
      <c r="M159" s="16">
        <f t="shared" si="14"/>
        <v>0</v>
      </c>
      <c r="N159" s="20">
        <f t="shared" si="15"/>
        <v>0</v>
      </c>
      <c r="O159" s="8"/>
      <c r="P159" s="8"/>
      <c r="Q159" s="4"/>
      <c r="R159" s="10">
        <f t="shared" si="16"/>
        <v>0</v>
      </c>
      <c r="S159" s="10"/>
      <c r="T159" s="10">
        <f t="shared" si="17"/>
        <v>0</v>
      </c>
      <c r="U159" s="24" t="str">
        <f t="shared" si="18"/>
        <v/>
      </c>
      <c r="V159" s="10" t="str">
        <f>IFERROR(N159*VLOOKUP(G159,FILAMENTI_DB!$A:$J,10,FALSE),"")</f>
        <v/>
      </c>
      <c r="W159" s="10" t="str">
        <f>IFERROR((VLOOKUP(F159,STAMPANTI_DB!$A:$C,3,FALSE)/1000)*O159*SETTINGS!$C$6,"")</f>
        <v/>
      </c>
      <c r="X159" s="10" t="str">
        <f>IFERROR(O159*VLOOKUP(F159,STAMPANTI_DB!$A:$I,9,FALSE),"")</f>
        <v/>
      </c>
      <c r="Y159" s="10">
        <f>IFERROR(P159*SETTINGS!$C$7,"")</f>
        <v>0</v>
      </c>
      <c r="Z159" s="10">
        <f>SETTINGS!$C$11</f>
        <v>0.5</v>
      </c>
      <c r="AA159" s="10">
        <f t="shared" si="19"/>
        <v>0.5</v>
      </c>
      <c r="AB159" s="10">
        <f>IFERROR(AA159*SETTINGS!$C$9,"")</f>
        <v>2.5000000000000001E-2</v>
      </c>
      <c r="AC159" s="10">
        <f>IFERROR((AA159+AB159)*SETTINGS!$C$10,"")</f>
        <v>2.6250000000000002E-2</v>
      </c>
      <c r="AD159" s="24"/>
    </row>
    <row r="160" spans="1:30" ht="16" customHeight="1" x14ac:dyDescent="0.2">
      <c r="A160" s="17"/>
      <c r="B160" s="18"/>
      <c r="C160" s="7"/>
      <c r="D160" s="7"/>
      <c r="E160" s="7"/>
      <c r="F160" s="7"/>
      <c r="G160" s="7"/>
      <c r="H160" s="18" t="str">
        <f>IFERROR(VLOOKUP(G160,FILAMENTI_DB!$A:$C,3,FALSE),"")</f>
        <v/>
      </c>
      <c r="I160" s="18" t="str">
        <f>IFERROR(VLOOKUP(G160,FILAMENTI_DB!$A:$E,4,FALSE),"")</f>
        <v/>
      </c>
      <c r="J160" s="8"/>
      <c r="K160" s="6"/>
      <c r="L160" s="6"/>
      <c r="M160" s="16">
        <f t="shared" si="14"/>
        <v>0</v>
      </c>
      <c r="N160" s="20">
        <f t="shared" si="15"/>
        <v>0</v>
      </c>
      <c r="O160" s="8"/>
      <c r="P160" s="8"/>
      <c r="Q160" s="4"/>
      <c r="R160" s="10">
        <f t="shared" si="16"/>
        <v>0</v>
      </c>
      <c r="S160" s="10"/>
      <c r="T160" s="10">
        <f t="shared" si="17"/>
        <v>0</v>
      </c>
      <c r="U160" s="24" t="str">
        <f t="shared" si="18"/>
        <v/>
      </c>
      <c r="V160" s="10" t="str">
        <f>IFERROR(N160*VLOOKUP(G160,FILAMENTI_DB!$A:$J,10,FALSE),"")</f>
        <v/>
      </c>
      <c r="W160" s="10" t="str">
        <f>IFERROR((VLOOKUP(F160,STAMPANTI_DB!$A:$C,3,FALSE)/1000)*O160*SETTINGS!$C$6,"")</f>
        <v/>
      </c>
      <c r="X160" s="10" t="str">
        <f>IFERROR(O160*VLOOKUP(F160,STAMPANTI_DB!$A:$I,9,FALSE),"")</f>
        <v/>
      </c>
      <c r="Y160" s="10">
        <f>IFERROR(P160*SETTINGS!$C$7,"")</f>
        <v>0</v>
      </c>
      <c r="Z160" s="10">
        <f>SETTINGS!$C$11</f>
        <v>0.5</v>
      </c>
      <c r="AA160" s="10">
        <f t="shared" si="19"/>
        <v>0.5</v>
      </c>
      <c r="AB160" s="10">
        <f>IFERROR(AA160*SETTINGS!$C$9,"")</f>
        <v>2.5000000000000001E-2</v>
      </c>
      <c r="AC160" s="10">
        <f>IFERROR((AA160+AB160)*SETTINGS!$C$10,"")</f>
        <v>2.6250000000000002E-2</v>
      </c>
      <c r="AD160" s="24"/>
    </row>
    <row r="161" spans="1:30" ht="16" customHeight="1" x14ac:dyDescent="0.2">
      <c r="A161" s="17"/>
      <c r="B161" s="18"/>
      <c r="C161" s="7"/>
      <c r="D161" s="7"/>
      <c r="E161" s="7"/>
      <c r="F161" s="7"/>
      <c r="G161" s="7"/>
      <c r="H161" s="18" t="str">
        <f>IFERROR(VLOOKUP(G161,FILAMENTI_DB!$A:$C,3,FALSE),"")</f>
        <v/>
      </c>
      <c r="I161" s="18" t="str">
        <f>IFERROR(VLOOKUP(G161,FILAMENTI_DB!$A:$E,4,FALSE),"")</f>
        <v/>
      </c>
      <c r="J161" s="8"/>
      <c r="K161" s="6"/>
      <c r="L161" s="6"/>
      <c r="M161" s="16">
        <f t="shared" si="14"/>
        <v>0</v>
      </c>
      <c r="N161" s="20">
        <f t="shared" si="15"/>
        <v>0</v>
      </c>
      <c r="O161" s="8"/>
      <c r="P161" s="8"/>
      <c r="Q161" s="4"/>
      <c r="R161" s="10">
        <f t="shared" si="16"/>
        <v>0</v>
      </c>
      <c r="S161" s="10"/>
      <c r="T161" s="10">
        <f t="shared" si="17"/>
        <v>0</v>
      </c>
      <c r="U161" s="24" t="str">
        <f t="shared" si="18"/>
        <v/>
      </c>
      <c r="V161" s="10" t="str">
        <f>IFERROR(N161*VLOOKUP(G161,FILAMENTI_DB!$A:$J,10,FALSE),"")</f>
        <v/>
      </c>
      <c r="W161" s="10" t="str">
        <f>IFERROR((VLOOKUP(F161,STAMPANTI_DB!$A:$C,3,FALSE)/1000)*O161*SETTINGS!$C$6,"")</f>
        <v/>
      </c>
      <c r="X161" s="10" t="str">
        <f>IFERROR(O161*VLOOKUP(F161,STAMPANTI_DB!$A:$I,9,FALSE),"")</f>
        <v/>
      </c>
      <c r="Y161" s="10">
        <f>IFERROR(P161*SETTINGS!$C$7,"")</f>
        <v>0</v>
      </c>
      <c r="Z161" s="10">
        <f>SETTINGS!$C$11</f>
        <v>0.5</v>
      </c>
      <c r="AA161" s="10">
        <f t="shared" si="19"/>
        <v>0.5</v>
      </c>
      <c r="AB161" s="10">
        <f>IFERROR(AA161*SETTINGS!$C$9,"")</f>
        <v>2.5000000000000001E-2</v>
      </c>
      <c r="AC161" s="10">
        <f>IFERROR((AA161+AB161)*SETTINGS!$C$10,"")</f>
        <v>2.6250000000000002E-2</v>
      </c>
      <c r="AD161" s="24"/>
    </row>
    <row r="162" spans="1:30" ht="16" customHeight="1" x14ac:dyDescent="0.2">
      <c r="A162" s="17"/>
      <c r="B162" s="18"/>
      <c r="C162" s="7"/>
      <c r="D162" s="7"/>
      <c r="E162" s="7"/>
      <c r="F162" s="7"/>
      <c r="G162" s="7"/>
      <c r="H162" s="18" t="str">
        <f>IFERROR(VLOOKUP(G162,FILAMENTI_DB!$A:$C,3,FALSE),"")</f>
        <v/>
      </c>
      <c r="I162" s="18" t="str">
        <f>IFERROR(VLOOKUP(G162,FILAMENTI_DB!$A:$E,4,FALSE),"")</f>
        <v/>
      </c>
      <c r="J162" s="8"/>
      <c r="K162" s="6"/>
      <c r="L162" s="6"/>
      <c r="M162" s="16">
        <f t="shared" si="14"/>
        <v>0</v>
      </c>
      <c r="N162" s="20">
        <f t="shared" si="15"/>
        <v>0</v>
      </c>
      <c r="O162" s="8"/>
      <c r="P162" s="8"/>
      <c r="Q162" s="4"/>
      <c r="R162" s="10">
        <f t="shared" si="16"/>
        <v>0</v>
      </c>
      <c r="S162" s="10"/>
      <c r="T162" s="10">
        <f t="shared" si="17"/>
        <v>0</v>
      </c>
      <c r="U162" s="24" t="str">
        <f t="shared" si="18"/>
        <v/>
      </c>
      <c r="V162" s="10" t="str">
        <f>IFERROR(N162*VLOOKUP(G162,FILAMENTI_DB!$A:$J,10,FALSE),"")</f>
        <v/>
      </c>
      <c r="W162" s="10" t="str">
        <f>IFERROR((VLOOKUP(F162,STAMPANTI_DB!$A:$C,3,FALSE)/1000)*O162*SETTINGS!$C$6,"")</f>
        <v/>
      </c>
      <c r="X162" s="10" t="str">
        <f>IFERROR(O162*VLOOKUP(F162,STAMPANTI_DB!$A:$I,9,FALSE),"")</f>
        <v/>
      </c>
      <c r="Y162" s="10">
        <f>IFERROR(P162*SETTINGS!$C$7,"")</f>
        <v>0</v>
      </c>
      <c r="Z162" s="10">
        <f>SETTINGS!$C$11</f>
        <v>0.5</v>
      </c>
      <c r="AA162" s="10">
        <f t="shared" si="19"/>
        <v>0.5</v>
      </c>
      <c r="AB162" s="10">
        <f>IFERROR(AA162*SETTINGS!$C$9,"")</f>
        <v>2.5000000000000001E-2</v>
      </c>
      <c r="AC162" s="10">
        <f>IFERROR((AA162+AB162)*SETTINGS!$C$10,"")</f>
        <v>2.6250000000000002E-2</v>
      </c>
      <c r="AD162" s="24"/>
    </row>
    <row r="163" spans="1:30" ht="16" customHeight="1" x14ac:dyDescent="0.2">
      <c r="A163" s="17"/>
      <c r="B163" s="18"/>
      <c r="C163" s="7"/>
      <c r="D163" s="7"/>
      <c r="E163" s="7"/>
      <c r="F163" s="7"/>
      <c r="G163" s="7"/>
      <c r="H163" s="18" t="str">
        <f>IFERROR(VLOOKUP(G163,FILAMENTI_DB!$A:$C,3,FALSE),"")</f>
        <v/>
      </c>
      <c r="I163" s="18" t="str">
        <f>IFERROR(VLOOKUP(G163,FILAMENTI_DB!$A:$E,4,FALSE),"")</f>
        <v/>
      </c>
      <c r="J163" s="8"/>
      <c r="K163" s="6"/>
      <c r="L163" s="6"/>
      <c r="M163" s="16">
        <f t="shared" si="14"/>
        <v>0</v>
      </c>
      <c r="N163" s="20">
        <f t="shared" si="15"/>
        <v>0</v>
      </c>
      <c r="O163" s="8"/>
      <c r="P163" s="8"/>
      <c r="Q163" s="4"/>
      <c r="R163" s="10">
        <f t="shared" si="16"/>
        <v>0</v>
      </c>
      <c r="S163" s="10"/>
      <c r="T163" s="10">
        <f t="shared" si="17"/>
        <v>0</v>
      </c>
      <c r="U163" s="24" t="str">
        <f t="shared" si="18"/>
        <v/>
      </c>
      <c r="V163" s="10" t="str">
        <f>IFERROR(N163*VLOOKUP(G163,FILAMENTI_DB!$A:$J,10,FALSE),"")</f>
        <v/>
      </c>
      <c r="W163" s="10" t="str">
        <f>IFERROR((VLOOKUP(F163,STAMPANTI_DB!$A:$C,3,FALSE)/1000)*O163*SETTINGS!$C$6,"")</f>
        <v/>
      </c>
      <c r="X163" s="10" t="str">
        <f>IFERROR(O163*VLOOKUP(F163,STAMPANTI_DB!$A:$I,9,FALSE),"")</f>
        <v/>
      </c>
      <c r="Y163" s="10">
        <f>IFERROR(P163*SETTINGS!$C$7,"")</f>
        <v>0</v>
      </c>
      <c r="Z163" s="10">
        <f>SETTINGS!$C$11</f>
        <v>0.5</v>
      </c>
      <c r="AA163" s="10">
        <f t="shared" si="19"/>
        <v>0.5</v>
      </c>
      <c r="AB163" s="10">
        <f>IFERROR(AA163*SETTINGS!$C$9,"")</f>
        <v>2.5000000000000001E-2</v>
      </c>
      <c r="AC163" s="10">
        <f>IFERROR((AA163+AB163)*SETTINGS!$C$10,"")</f>
        <v>2.6250000000000002E-2</v>
      </c>
      <c r="AD163" s="24"/>
    </row>
    <row r="164" spans="1:30" ht="16" customHeight="1" x14ac:dyDescent="0.2">
      <c r="A164" s="17"/>
      <c r="B164" s="18"/>
      <c r="C164" s="7"/>
      <c r="D164" s="7"/>
      <c r="E164" s="7"/>
      <c r="F164" s="7"/>
      <c r="G164" s="7"/>
      <c r="H164" s="18" t="str">
        <f>IFERROR(VLOOKUP(G164,FILAMENTI_DB!$A:$C,3,FALSE),"")</f>
        <v/>
      </c>
      <c r="I164" s="18" t="str">
        <f>IFERROR(VLOOKUP(G164,FILAMENTI_DB!$A:$E,4,FALSE),"")</f>
        <v/>
      </c>
      <c r="J164" s="8"/>
      <c r="K164" s="6"/>
      <c r="L164" s="6"/>
      <c r="M164" s="16">
        <f t="shared" si="14"/>
        <v>0</v>
      </c>
      <c r="N164" s="20">
        <f t="shared" si="15"/>
        <v>0</v>
      </c>
      <c r="O164" s="8"/>
      <c r="P164" s="8"/>
      <c r="Q164" s="4"/>
      <c r="R164" s="10">
        <f t="shared" si="16"/>
        <v>0</v>
      </c>
      <c r="S164" s="10"/>
      <c r="T164" s="10">
        <f t="shared" si="17"/>
        <v>0</v>
      </c>
      <c r="U164" s="24" t="str">
        <f t="shared" si="18"/>
        <v/>
      </c>
      <c r="V164" s="10" t="str">
        <f>IFERROR(N164*VLOOKUP(G164,FILAMENTI_DB!$A:$J,10,FALSE),"")</f>
        <v/>
      </c>
      <c r="W164" s="10" t="str">
        <f>IFERROR((VLOOKUP(F164,STAMPANTI_DB!$A:$C,3,FALSE)/1000)*O164*SETTINGS!$C$6,"")</f>
        <v/>
      </c>
      <c r="X164" s="10" t="str">
        <f>IFERROR(O164*VLOOKUP(F164,STAMPANTI_DB!$A:$I,9,FALSE),"")</f>
        <v/>
      </c>
      <c r="Y164" s="10">
        <f>IFERROR(P164*SETTINGS!$C$7,"")</f>
        <v>0</v>
      </c>
      <c r="Z164" s="10">
        <f>SETTINGS!$C$11</f>
        <v>0.5</v>
      </c>
      <c r="AA164" s="10">
        <f t="shared" si="19"/>
        <v>0.5</v>
      </c>
      <c r="AB164" s="10">
        <f>IFERROR(AA164*SETTINGS!$C$9,"")</f>
        <v>2.5000000000000001E-2</v>
      </c>
      <c r="AC164" s="10">
        <f>IFERROR((AA164+AB164)*SETTINGS!$C$10,"")</f>
        <v>2.6250000000000002E-2</v>
      </c>
      <c r="AD164" s="24"/>
    </row>
    <row r="165" spans="1:30" ht="16" customHeight="1" x14ac:dyDescent="0.2">
      <c r="A165" s="17"/>
      <c r="B165" s="18"/>
      <c r="C165" s="7"/>
      <c r="D165" s="7"/>
      <c r="E165" s="7"/>
      <c r="F165" s="7"/>
      <c r="G165" s="7"/>
      <c r="H165" s="18" t="str">
        <f>IFERROR(VLOOKUP(G165,FILAMENTI_DB!$A:$C,3,FALSE),"")</f>
        <v/>
      </c>
      <c r="I165" s="18" t="str">
        <f>IFERROR(VLOOKUP(G165,FILAMENTI_DB!$A:$E,4,FALSE),"")</f>
        <v/>
      </c>
      <c r="J165" s="8"/>
      <c r="K165" s="6"/>
      <c r="L165" s="6"/>
      <c r="M165" s="16">
        <f t="shared" si="14"/>
        <v>0</v>
      </c>
      <c r="N165" s="20">
        <f t="shared" si="15"/>
        <v>0</v>
      </c>
      <c r="O165" s="8"/>
      <c r="P165" s="8"/>
      <c r="Q165" s="4"/>
      <c r="R165" s="10">
        <f t="shared" si="16"/>
        <v>0</v>
      </c>
      <c r="S165" s="10"/>
      <c r="T165" s="10">
        <f t="shared" si="17"/>
        <v>0</v>
      </c>
      <c r="U165" s="24" t="str">
        <f t="shared" si="18"/>
        <v/>
      </c>
      <c r="V165" s="10" t="str">
        <f>IFERROR(N165*VLOOKUP(G165,FILAMENTI_DB!$A:$J,10,FALSE),"")</f>
        <v/>
      </c>
      <c r="W165" s="10" t="str">
        <f>IFERROR((VLOOKUP(F165,STAMPANTI_DB!$A:$C,3,FALSE)/1000)*O165*SETTINGS!$C$6,"")</f>
        <v/>
      </c>
      <c r="X165" s="10" t="str">
        <f>IFERROR(O165*VLOOKUP(F165,STAMPANTI_DB!$A:$I,9,FALSE),"")</f>
        <v/>
      </c>
      <c r="Y165" s="10">
        <f>IFERROR(P165*SETTINGS!$C$7,"")</f>
        <v>0</v>
      </c>
      <c r="Z165" s="10">
        <f>SETTINGS!$C$11</f>
        <v>0.5</v>
      </c>
      <c r="AA165" s="10">
        <f t="shared" si="19"/>
        <v>0.5</v>
      </c>
      <c r="AB165" s="10">
        <f>IFERROR(AA165*SETTINGS!$C$9,"")</f>
        <v>2.5000000000000001E-2</v>
      </c>
      <c r="AC165" s="10">
        <f>IFERROR((AA165+AB165)*SETTINGS!$C$10,"")</f>
        <v>2.6250000000000002E-2</v>
      </c>
      <c r="AD165" s="24"/>
    </row>
    <row r="166" spans="1:30" ht="16" customHeight="1" x14ac:dyDescent="0.2">
      <c r="A166" s="17"/>
      <c r="B166" s="18"/>
      <c r="C166" s="7"/>
      <c r="D166" s="7"/>
      <c r="E166" s="7"/>
      <c r="F166" s="7"/>
      <c r="G166" s="7"/>
      <c r="H166" s="18" t="str">
        <f>IFERROR(VLOOKUP(G166,FILAMENTI_DB!$A:$C,3,FALSE),"")</f>
        <v/>
      </c>
      <c r="I166" s="18" t="str">
        <f>IFERROR(VLOOKUP(G166,FILAMENTI_DB!$A:$E,4,FALSE),"")</f>
        <v/>
      </c>
      <c r="J166" s="8"/>
      <c r="K166" s="6"/>
      <c r="L166" s="6"/>
      <c r="M166" s="16">
        <f t="shared" si="14"/>
        <v>0</v>
      </c>
      <c r="N166" s="20">
        <f t="shared" si="15"/>
        <v>0</v>
      </c>
      <c r="O166" s="8"/>
      <c r="P166" s="8"/>
      <c r="Q166" s="4"/>
      <c r="R166" s="10">
        <f t="shared" si="16"/>
        <v>0</v>
      </c>
      <c r="S166" s="10"/>
      <c r="T166" s="10">
        <f t="shared" si="17"/>
        <v>0</v>
      </c>
      <c r="U166" s="24" t="str">
        <f t="shared" si="18"/>
        <v/>
      </c>
      <c r="V166" s="10" t="str">
        <f>IFERROR(N166*VLOOKUP(G166,FILAMENTI_DB!$A:$J,10,FALSE),"")</f>
        <v/>
      </c>
      <c r="W166" s="10" t="str">
        <f>IFERROR((VLOOKUP(F166,STAMPANTI_DB!$A:$C,3,FALSE)/1000)*O166*SETTINGS!$C$6,"")</f>
        <v/>
      </c>
      <c r="X166" s="10" t="str">
        <f>IFERROR(O166*VLOOKUP(F166,STAMPANTI_DB!$A:$I,9,FALSE),"")</f>
        <v/>
      </c>
      <c r="Y166" s="10">
        <f>IFERROR(P166*SETTINGS!$C$7,"")</f>
        <v>0</v>
      </c>
      <c r="Z166" s="10">
        <f>SETTINGS!$C$11</f>
        <v>0.5</v>
      </c>
      <c r="AA166" s="10">
        <f t="shared" si="19"/>
        <v>0.5</v>
      </c>
      <c r="AB166" s="10">
        <f>IFERROR(AA166*SETTINGS!$C$9,"")</f>
        <v>2.5000000000000001E-2</v>
      </c>
      <c r="AC166" s="10">
        <f>IFERROR((AA166+AB166)*SETTINGS!$C$10,"")</f>
        <v>2.6250000000000002E-2</v>
      </c>
      <c r="AD166" s="24"/>
    </row>
    <row r="167" spans="1:30" ht="16" customHeight="1" x14ac:dyDescent="0.2">
      <c r="A167" s="17"/>
      <c r="B167" s="18"/>
      <c r="C167" s="7"/>
      <c r="D167" s="7"/>
      <c r="E167" s="7"/>
      <c r="F167" s="7"/>
      <c r="G167" s="7"/>
      <c r="H167" s="18" t="str">
        <f>IFERROR(VLOOKUP(G167,FILAMENTI_DB!$A:$C,3,FALSE),"")</f>
        <v/>
      </c>
      <c r="I167" s="18" t="str">
        <f>IFERROR(VLOOKUP(G167,FILAMENTI_DB!$A:$E,4,FALSE),"")</f>
        <v/>
      </c>
      <c r="J167" s="8"/>
      <c r="K167" s="6"/>
      <c r="L167" s="6"/>
      <c r="M167" s="16">
        <f t="shared" si="14"/>
        <v>0</v>
      </c>
      <c r="N167" s="20">
        <f t="shared" si="15"/>
        <v>0</v>
      </c>
      <c r="O167" s="8"/>
      <c r="P167" s="8"/>
      <c r="Q167" s="4"/>
      <c r="R167" s="10">
        <f t="shared" si="16"/>
        <v>0</v>
      </c>
      <c r="S167" s="10"/>
      <c r="T167" s="10">
        <f t="shared" si="17"/>
        <v>0</v>
      </c>
      <c r="U167" s="24" t="str">
        <f t="shared" si="18"/>
        <v/>
      </c>
      <c r="V167" s="10" t="str">
        <f>IFERROR(N167*VLOOKUP(G167,FILAMENTI_DB!$A:$J,10,FALSE),"")</f>
        <v/>
      </c>
      <c r="W167" s="10" t="str">
        <f>IFERROR((VLOOKUP(F167,STAMPANTI_DB!$A:$C,3,FALSE)/1000)*O167*SETTINGS!$C$6,"")</f>
        <v/>
      </c>
      <c r="X167" s="10" t="str">
        <f>IFERROR(O167*VLOOKUP(F167,STAMPANTI_DB!$A:$I,9,FALSE),"")</f>
        <v/>
      </c>
      <c r="Y167" s="10">
        <f>IFERROR(P167*SETTINGS!$C$7,"")</f>
        <v>0</v>
      </c>
      <c r="Z167" s="10">
        <f>SETTINGS!$C$11</f>
        <v>0.5</v>
      </c>
      <c r="AA167" s="10">
        <f t="shared" si="19"/>
        <v>0.5</v>
      </c>
      <c r="AB167" s="10">
        <f>IFERROR(AA167*SETTINGS!$C$9,"")</f>
        <v>2.5000000000000001E-2</v>
      </c>
      <c r="AC167" s="10">
        <f>IFERROR((AA167+AB167)*SETTINGS!$C$10,"")</f>
        <v>2.6250000000000002E-2</v>
      </c>
      <c r="AD167" s="24"/>
    </row>
    <row r="168" spans="1:30" ht="16" customHeight="1" x14ac:dyDescent="0.2">
      <c r="A168" s="17"/>
      <c r="B168" s="18"/>
      <c r="C168" s="7"/>
      <c r="D168" s="7"/>
      <c r="E168" s="7"/>
      <c r="F168" s="7"/>
      <c r="G168" s="7"/>
      <c r="H168" s="18" t="str">
        <f>IFERROR(VLOOKUP(G168,FILAMENTI_DB!$A:$C,3,FALSE),"")</f>
        <v/>
      </c>
      <c r="I168" s="18" t="str">
        <f>IFERROR(VLOOKUP(G168,FILAMENTI_DB!$A:$E,4,FALSE),"")</f>
        <v/>
      </c>
      <c r="J168" s="8"/>
      <c r="K168" s="6"/>
      <c r="L168" s="6"/>
      <c r="M168" s="16">
        <f t="shared" si="14"/>
        <v>0</v>
      </c>
      <c r="N168" s="20">
        <f t="shared" si="15"/>
        <v>0</v>
      </c>
      <c r="O168" s="8"/>
      <c r="P168" s="8"/>
      <c r="Q168" s="4"/>
      <c r="R168" s="10">
        <f t="shared" si="16"/>
        <v>0</v>
      </c>
      <c r="S168" s="10"/>
      <c r="T168" s="10">
        <f t="shared" si="17"/>
        <v>0</v>
      </c>
      <c r="U168" s="24" t="str">
        <f t="shared" si="18"/>
        <v/>
      </c>
      <c r="V168" s="10" t="str">
        <f>IFERROR(N168*VLOOKUP(G168,FILAMENTI_DB!$A:$J,10,FALSE),"")</f>
        <v/>
      </c>
      <c r="W168" s="10" t="str">
        <f>IFERROR((VLOOKUP(F168,STAMPANTI_DB!$A:$C,3,FALSE)/1000)*O168*SETTINGS!$C$6,"")</f>
        <v/>
      </c>
      <c r="X168" s="10" t="str">
        <f>IFERROR(O168*VLOOKUP(F168,STAMPANTI_DB!$A:$I,9,FALSE),"")</f>
        <v/>
      </c>
      <c r="Y168" s="10">
        <f>IFERROR(P168*SETTINGS!$C$7,"")</f>
        <v>0</v>
      </c>
      <c r="Z168" s="10">
        <f>SETTINGS!$C$11</f>
        <v>0.5</v>
      </c>
      <c r="AA168" s="10">
        <f t="shared" si="19"/>
        <v>0.5</v>
      </c>
      <c r="AB168" s="10">
        <f>IFERROR(AA168*SETTINGS!$C$9,"")</f>
        <v>2.5000000000000001E-2</v>
      </c>
      <c r="AC168" s="10">
        <f>IFERROR((AA168+AB168)*SETTINGS!$C$10,"")</f>
        <v>2.6250000000000002E-2</v>
      </c>
      <c r="AD168" s="24"/>
    </row>
    <row r="169" spans="1:30" ht="16" customHeight="1" x14ac:dyDescent="0.2">
      <c r="A169" s="17"/>
      <c r="B169" s="18"/>
      <c r="C169" s="7"/>
      <c r="D169" s="7"/>
      <c r="E169" s="7"/>
      <c r="F169" s="7"/>
      <c r="G169" s="7"/>
      <c r="H169" s="18" t="str">
        <f>IFERROR(VLOOKUP(G169,FILAMENTI_DB!$A:$C,3,FALSE),"")</f>
        <v/>
      </c>
      <c r="I169" s="18" t="str">
        <f>IFERROR(VLOOKUP(G169,FILAMENTI_DB!$A:$E,4,FALSE),"")</f>
        <v/>
      </c>
      <c r="J169" s="8"/>
      <c r="K169" s="6"/>
      <c r="L169" s="6"/>
      <c r="M169" s="16">
        <f t="shared" si="14"/>
        <v>0</v>
      </c>
      <c r="N169" s="20">
        <f t="shared" si="15"/>
        <v>0</v>
      </c>
      <c r="O169" s="8"/>
      <c r="P169" s="8"/>
      <c r="Q169" s="4"/>
      <c r="R169" s="10">
        <f t="shared" si="16"/>
        <v>0</v>
      </c>
      <c r="S169" s="10"/>
      <c r="T169" s="10">
        <f t="shared" si="17"/>
        <v>0</v>
      </c>
      <c r="U169" s="24" t="str">
        <f t="shared" si="18"/>
        <v/>
      </c>
      <c r="V169" s="10" t="str">
        <f>IFERROR(N169*VLOOKUP(G169,FILAMENTI_DB!$A:$J,10,FALSE),"")</f>
        <v/>
      </c>
      <c r="W169" s="10" t="str">
        <f>IFERROR((VLOOKUP(F169,STAMPANTI_DB!$A:$C,3,FALSE)/1000)*O169*SETTINGS!$C$6,"")</f>
        <v/>
      </c>
      <c r="X169" s="10" t="str">
        <f>IFERROR(O169*VLOOKUP(F169,STAMPANTI_DB!$A:$I,9,FALSE),"")</f>
        <v/>
      </c>
      <c r="Y169" s="10">
        <f>IFERROR(P169*SETTINGS!$C$7,"")</f>
        <v>0</v>
      </c>
      <c r="Z169" s="10">
        <f>SETTINGS!$C$11</f>
        <v>0.5</v>
      </c>
      <c r="AA169" s="10">
        <f t="shared" si="19"/>
        <v>0.5</v>
      </c>
      <c r="AB169" s="10">
        <f>IFERROR(AA169*SETTINGS!$C$9,"")</f>
        <v>2.5000000000000001E-2</v>
      </c>
      <c r="AC169" s="10">
        <f>IFERROR((AA169+AB169)*SETTINGS!$C$10,"")</f>
        <v>2.6250000000000002E-2</v>
      </c>
      <c r="AD169" s="24"/>
    </row>
    <row r="170" spans="1:30" ht="16" customHeight="1" x14ac:dyDescent="0.2">
      <c r="A170" s="17"/>
      <c r="B170" s="18"/>
      <c r="C170" s="7"/>
      <c r="D170" s="7"/>
      <c r="E170" s="7"/>
      <c r="F170" s="7"/>
      <c r="G170" s="7"/>
      <c r="H170" s="18" t="str">
        <f>IFERROR(VLOOKUP(G170,FILAMENTI_DB!$A:$C,3,FALSE),"")</f>
        <v/>
      </c>
      <c r="I170" s="18" t="str">
        <f>IFERROR(VLOOKUP(G170,FILAMENTI_DB!$A:$E,4,FALSE),"")</f>
        <v/>
      </c>
      <c r="J170" s="8"/>
      <c r="K170" s="6"/>
      <c r="L170" s="6"/>
      <c r="M170" s="16">
        <f t="shared" si="14"/>
        <v>0</v>
      </c>
      <c r="N170" s="20">
        <f t="shared" si="15"/>
        <v>0</v>
      </c>
      <c r="O170" s="8"/>
      <c r="P170" s="8"/>
      <c r="Q170" s="4"/>
      <c r="R170" s="10">
        <f t="shared" si="16"/>
        <v>0</v>
      </c>
      <c r="S170" s="10"/>
      <c r="T170" s="10">
        <f t="shared" si="17"/>
        <v>0</v>
      </c>
      <c r="U170" s="24" t="str">
        <f t="shared" si="18"/>
        <v/>
      </c>
      <c r="V170" s="10" t="str">
        <f>IFERROR(N170*VLOOKUP(G170,FILAMENTI_DB!$A:$J,10,FALSE),"")</f>
        <v/>
      </c>
      <c r="W170" s="10" t="str">
        <f>IFERROR((VLOOKUP(F170,STAMPANTI_DB!$A:$C,3,FALSE)/1000)*O170*SETTINGS!$C$6,"")</f>
        <v/>
      </c>
      <c r="X170" s="10" t="str">
        <f>IFERROR(O170*VLOOKUP(F170,STAMPANTI_DB!$A:$I,9,FALSE),"")</f>
        <v/>
      </c>
      <c r="Y170" s="10">
        <f>IFERROR(P170*SETTINGS!$C$7,"")</f>
        <v>0</v>
      </c>
      <c r="Z170" s="10">
        <f>SETTINGS!$C$11</f>
        <v>0.5</v>
      </c>
      <c r="AA170" s="10">
        <f t="shared" si="19"/>
        <v>0.5</v>
      </c>
      <c r="AB170" s="10">
        <f>IFERROR(AA170*SETTINGS!$C$9,"")</f>
        <v>2.5000000000000001E-2</v>
      </c>
      <c r="AC170" s="10">
        <f>IFERROR((AA170+AB170)*SETTINGS!$C$10,"")</f>
        <v>2.6250000000000002E-2</v>
      </c>
      <c r="AD170" s="24"/>
    </row>
    <row r="171" spans="1:30" ht="16" customHeight="1" x14ac:dyDescent="0.2">
      <c r="A171" s="17"/>
      <c r="B171" s="18"/>
      <c r="C171" s="7"/>
      <c r="D171" s="7"/>
      <c r="E171" s="7"/>
      <c r="F171" s="7"/>
      <c r="G171" s="7"/>
      <c r="H171" s="18" t="str">
        <f>IFERROR(VLOOKUP(G171,FILAMENTI_DB!$A:$C,3,FALSE),"")</f>
        <v/>
      </c>
      <c r="I171" s="18" t="str">
        <f>IFERROR(VLOOKUP(G171,FILAMENTI_DB!$A:$E,4,FALSE),"")</f>
        <v/>
      </c>
      <c r="J171" s="8"/>
      <c r="K171" s="6"/>
      <c r="L171" s="6"/>
      <c r="M171" s="16">
        <f t="shared" si="14"/>
        <v>0</v>
      </c>
      <c r="N171" s="20">
        <f t="shared" si="15"/>
        <v>0</v>
      </c>
      <c r="O171" s="8"/>
      <c r="P171" s="8"/>
      <c r="Q171" s="4"/>
      <c r="R171" s="10">
        <f t="shared" si="16"/>
        <v>0</v>
      </c>
      <c r="S171" s="10"/>
      <c r="T171" s="10">
        <f t="shared" si="17"/>
        <v>0</v>
      </c>
      <c r="U171" s="24" t="str">
        <f t="shared" si="18"/>
        <v/>
      </c>
      <c r="V171" s="10" t="str">
        <f>IFERROR(N171*VLOOKUP(G171,FILAMENTI_DB!$A:$J,10,FALSE),"")</f>
        <v/>
      </c>
      <c r="W171" s="10" t="str">
        <f>IFERROR((VLOOKUP(F171,STAMPANTI_DB!$A:$C,3,FALSE)/1000)*O171*SETTINGS!$C$6,"")</f>
        <v/>
      </c>
      <c r="X171" s="10" t="str">
        <f>IFERROR(O171*VLOOKUP(F171,STAMPANTI_DB!$A:$I,9,FALSE),"")</f>
        <v/>
      </c>
      <c r="Y171" s="10">
        <f>IFERROR(P171*SETTINGS!$C$7,"")</f>
        <v>0</v>
      </c>
      <c r="Z171" s="10">
        <f>SETTINGS!$C$11</f>
        <v>0.5</v>
      </c>
      <c r="AA171" s="10">
        <f t="shared" si="19"/>
        <v>0.5</v>
      </c>
      <c r="AB171" s="10">
        <f>IFERROR(AA171*SETTINGS!$C$9,"")</f>
        <v>2.5000000000000001E-2</v>
      </c>
      <c r="AC171" s="10">
        <f>IFERROR((AA171+AB171)*SETTINGS!$C$10,"")</f>
        <v>2.6250000000000002E-2</v>
      </c>
      <c r="AD171" s="24"/>
    </row>
    <row r="172" spans="1:30" ht="16" customHeight="1" x14ac:dyDescent="0.2">
      <c r="A172" s="17"/>
      <c r="B172" s="18"/>
      <c r="C172" s="7"/>
      <c r="D172" s="7"/>
      <c r="E172" s="7"/>
      <c r="F172" s="7"/>
      <c r="G172" s="7"/>
      <c r="H172" s="18" t="str">
        <f>IFERROR(VLOOKUP(G172,FILAMENTI_DB!$A:$C,3,FALSE),"")</f>
        <v/>
      </c>
      <c r="I172" s="18" t="str">
        <f>IFERROR(VLOOKUP(G172,FILAMENTI_DB!$A:$E,4,FALSE),"")</f>
        <v/>
      </c>
      <c r="J172" s="8"/>
      <c r="K172" s="6"/>
      <c r="L172" s="6"/>
      <c r="M172" s="16">
        <f t="shared" si="14"/>
        <v>0</v>
      </c>
      <c r="N172" s="20">
        <f t="shared" si="15"/>
        <v>0</v>
      </c>
      <c r="O172" s="8"/>
      <c r="P172" s="8"/>
      <c r="Q172" s="4"/>
      <c r="R172" s="10">
        <f t="shared" si="16"/>
        <v>0</v>
      </c>
      <c r="S172" s="10"/>
      <c r="T172" s="10">
        <f t="shared" si="17"/>
        <v>0</v>
      </c>
      <c r="U172" s="24" t="str">
        <f t="shared" si="18"/>
        <v/>
      </c>
      <c r="V172" s="10" t="str">
        <f>IFERROR(N172*VLOOKUP(G172,FILAMENTI_DB!$A:$J,10,FALSE),"")</f>
        <v/>
      </c>
      <c r="W172" s="10" t="str">
        <f>IFERROR((VLOOKUP(F172,STAMPANTI_DB!$A:$C,3,FALSE)/1000)*O172*SETTINGS!$C$6,"")</f>
        <v/>
      </c>
      <c r="X172" s="10" t="str">
        <f>IFERROR(O172*VLOOKUP(F172,STAMPANTI_DB!$A:$I,9,FALSE),"")</f>
        <v/>
      </c>
      <c r="Y172" s="10">
        <f>IFERROR(P172*SETTINGS!$C$7,"")</f>
        <v>0</v>
      </c>
      <c r="Z172" s="10">
        <f>SETTINGS!$C$11</f>
        <v>0.5</v>
      </c>
      <c r="AA172" s="10">
        <f t="shared" si="19"/>
        <v>0.5</v>
      </c>
      <c r="AB172" s="10">
        <f>IFERROR(AA172*SETTINGS!$C$9,"")</f>
        <v>2.5000000000000001E-2</v>
      </c>
      <c r="AC172" s="10">
        <f>IFERROR((AA172+AB172)*SETTINGS!$C$10,"")</f>
        <v>2.6250000000000002E-2</v>
      </c>
      <c r="AD172" s="24"/>
    </row>
    <row r="173" spans="1:30" ht="16" customHeight="1" x14ac:dyDescent="0.2">
      <c r="A173" s="17"/>
      <c r="B173" s="18"/>
      <c r="C173" s="7"/>
      <c r="D173" s="7"/>
      <c r="E173" s="7"/>
      <c r="F173" s="7"/>
      <c r="G173" s="7"/>
      <c r="H173" s="18" t="str">
        <f>IFERROR(VLOOKUP(G173,FILAMENTI_DB!$A:$C,3,FALSE),"")</f>
        <v/>
      </c>
      <c r="I173" s="18" t="str">
        <f>IFERROR(VLOOKUP(G173,FILAMENTI_DB!$A:$E,4,FALSE),"")</f>
        <v/>
      </c>
      <c r="J173" s="8"/>
      <c r="K173" s="6"/>
      <c r="L173" s="6"/>
      <c r="M173" s="16">
        <f t="shared" si="14"/>
        <v>0</v>
      </c>
      <c r="N173" s="20">
        <f t="shared" si="15"/>
        <v>0</v>
      </c>
      <c r="O173" s="8"/>
      <c r="P173" s="8"/>
      <c r="Q173" s="4"/>
      <c r="R173" s="10">
        <f t="shared" si="16"/>
        <v>0</v>
      </c>
      <c r="S173" s="10"/>
      <c r="T173" s="10">
        <f t="shared" si="17"/>
        <v>0</v>
      </c>
      <c r="U173" s="24" t="str">
        <f t="shared" si="18"/>
        <v/>
      </c>
      <c r="V173" s="10" t="str">
        <f>IFERROR(N173*VLOOKUP(G173,FILAMENTI_DB!$A:$J,10,FALSE),"")</f>
        <v/>
      </c>
      <c r="W173" s="10" t="str">
        <f>IFERROR((VLOOKUP(F173,STAMPANTI_DB!$A:$C,3,FALSE)/1000)*O173*SETTINGS!$C$6,"")</f>
        <v/>
      </c>
      <c r="X173" s="10" t="str">
        <f>IFERROR(O173*VLOOKUP(F173,STAMPANTI_DB!$A:$I,9,FALSE),"")</f>
        <v/>
      </c>
      <c r="Y173" s="10">
        <f>IFERROR(P173*SETTINGS!$C$7,"")</f>
        <v>0</v>
      </c>
      <c r="Z173" s="10">
        <f>SETTINGS!$C$11</f>
        <v>0.5</v>
      </c>
      <c r="AA173" s="10">
        <f t="shared" si="19"/>
        <v>0.5</v>
      </c>
      <c r="AB173" s="10">
        <f>IFERROR(AA173*SETTINGS!$C$9,"")</f>
        <v>2.5000000000000001E-2</v>
      </c>
      <c r="AC173" s="10">
        <f>IFERROR((AA173+AB173)*SETTINGS!$C$10,"")</f>
        <v>2.6250000000000002E-2</v>
      </c>
      <c r="AD173" s="24"/>
    </row>
    <row r="174" spans="1:30" ht="16" customHeight="1" x14ac:dyDescent="0.2">
      <c r="A174" s="17"/>
      <c r="B174" s="18"/>
      <c r="C174" s="7"/>
      <c r="D174" s="7"/>
      <c r="E174" s="7"/>
      <c r="F174" s="7"/>
      <c r="G174" s="7"/>
      <c r="H174" s="18" t="str">
        <f>IFERROR(VLOOKUP(G174,FILAMENTI_DB!$A:$C,3,FALSE),"")</f>
        <v/>
      </c>
      <c r="I174" s="18" t="str">
        <f>IFERROR(VLOOKUP(G174,FILAMENTI_DB!$A:$E,4,FALSE),"")</f>
        <v/>
      </c>
      <c r="J174" s="8"/>
      <c r="K174" s="6"/>
      <c r="L174" s="6"/>
      <c r="M174" s="16">
        <f t="shared" si="14"/>
        <v>0</v>
      </c>
      <c r="N174" s="20">
        <f t="shared" si="15"/>
        <v>0</v>
      </c>
      <c r="O174" s="8"/>
      <c r="P174" s="8"/>
      <c r="Q174" s="4"/>
      <c r="R174" s="10">
        <f t="shared" si="16"/>
        <v>0</v>
      </c>
      <c r="S174" s="10"/>
      <c r="T174" s="10">
        <f t="shared" si="17"/>
        <v>0</v>
      </c>
      <c r="U174" s="24" t="str">
        <f t="shared" si="18"/>
        <v/>
      </c>
      <c r="V174" s="10" t="str">
        <f>IFERROR(N174*VLOOKUP(G174,FILAMENTI_DB!$A:$J,10,FALSE),"")</f>
        <v/>
      </c>
      <c r="W174" s="10" t="str">
        <f>IFERROR((VLOOKUP(F174,STAMPANTI_DB!$A:$C,3,FALSE)/1000)*O174*SETTINGS!$C$6,"")</f>
        <v/>
      </c>
      <c r="X174" s="10" t="str">
        <f>IFERROR(O174*VLOOKUP(F174,STAMPANTI_DB!$A:$I,9,FALSE),"")</f>
        <v/>
      </c>
      <c r="Y174" s="10">
        <f>IFERROR(P174*SETTINGS!$C$7,"")</f>
        <v>0</v>
      </c>
      <c r="Z174" s="10">
        <f>SETTINGS!$C$11</f>
        <v>0.5</v>
      </c>
      <c r="AA174" s="10">
        <f t="shared" si="19"/>
        <v>0.5</v>
      </c>
      <c r="AB174" s="10">
        <f>IFERROR(AA174*SETTINGS!$C$9,"")</f>
        <v>2.5000000000000001E-2</v>
      </c>
      <c r="AC174" s="10">
        <f>IFERROR((AA174+AB174)*SETTINGS!$C$10,"")</f>
        <v>2.6250000000000002E-2</v>
      </c>
      <c r="AD174" s="24"/>
    </row>
    <row r="175" spans="1:30" ht="16" customHeight="1" x14ac:dyDescent="0.2">
      <c r="A175" s="17"/>
      <c r="B175" s="18"/>
      <c r="C175" s="7"/>
      <c r="D175" s="7"/>
      <c r="E175" s="7"/>
      <c r="F175" s="7"/>
      <c r="G175" s="7"/>
      <c r="H175" s="18" t="str">
        <f>IFERROR(VLOOKUP(G175,FILAMENTI_DB!$A:$C,3,FALSE),"")</f>
        <v/>
      </c>
      <c r="I175" s="18" t="str">
        <f>IFERROR(VLOOKUP(G175,FILAMENTI_DB!$A:$E,4,FALSE),"")</f>
        <v/>
      </c>
      <c r="J175" s="8"/>
      <c r="K175" s="6"/>
      <c r="L175" s="6"/>
      <c r="M175" s="16">
        <f t="shared" si="14"/>
        <v>0</v>
      </c>
      <c r="N175" s="20">
        <f t="shared" si="15"/>
        <v>0</v>
      </c>
      <c r="O175" s="8"/>
      <c r="P175" s="8"/>
      <c r="Q175" s="4"/>
      <c r="R175" s="10">
        <f t="shared" si="16"/>
        <v>0</v>
      </c>
      <c r="S175" s="10"/>
      <c r="T175" s="10">
        <f t="shared" si="17"/>
        <v>0</v>
      </c>
      <c r="U175" s="24" t="str">
        <f t="shared" si="18"/>
        <v/>
      </c>
      <c r="V175" s="10" t="str">
        <f>IFERROR(N175*VLOOKUP(G175,FILAMENTI_DB!$A:$J,10,FALSE),"")</f>
        <v/>
      </c>
      <c r="W175" s="10" t="str">
        <f>IFERROR((VLOOKUP(F175,STAMPANTI_DB!$A:$C,3,FALSE)/1000)*O175*SETTINGS!$C$6,"")</f>
        <v/>
      </c>
      <c r="X175" s="10" t="str">
        <f>IFERROR(O175*VLOOKUP(F175,STAMPANTI_DB!$A:$I,9,FALSE),"")</f>
        <v/>
      </c>
      <c r="Y175" s="10">
        <f>IFERROR(P175*SETTINGS!$C$7,"")</f>
        <v>0</v>
      </c>
      <c r="Z175" s="10">
        <f>SETTINGS!$C$11</f>
        <v>0.5</v>
      </c>
      <c r="AA175" s="10">
        <f t="shared" si="19"/>
        <v>0.5</v>
      </c>
      <c r="AB175" s="10">
        <f>IFERROR(AA175*SETTINGS!$C$9,"")</f>
        <v>2.5000000000000001E-2</v>
      </c>
      <c r="AC175" s="10">
        <f>IFERROR((AA175+AB175)*SETTINGS!$C$10,"")</f>
        <v>2.6250000000000002E-2</v>
      </c>
      <c r="AD175" s="24"/>
    </row>
    <row r="176" spans="1:30" ht="16" customHeight="1" x14ac:dyDescent="0.2">
      <c r="A176" s="17"/>
      <c r="B176" s="18"/>
      <c r="C176" s="7"/>
      <c r="D176" s="7"/>
      <c r="E176" s="7"/>
      <c r="F176" s="7"/>
      <c r="G176" s="7"/>
      <c r="H176" s="18" t="str">
        <f>IFERROR(VLOOKUP(G176,FILAMENTI_DB!$A:$C,3,FALSE),"")</f>
        <v/>
      </c>
      <c r="I176" s="18" t="str">
        <f>IFERROR(VLOOKUP(G176,FILAMENTI_DB!$A:$E,4,FALSE),"")</f>
        <v/>
      </c>
      <c r="J176" s="8"/>
      <c r="K176" s="6"/>
      <c r="L176" s="6"/>
      <c r="M176" s="16">
        <f t="shared" si="14"/>
        <v>0</v>
      </c>
      <c r="N176" s="20">
        <f t="shared" si="15"/>
        <v>0</v>
      </c>
      <c r="O176" s="8"/>
      <c r="P176" s="8"/>
      <c r="Q176" s="4"/>
      <c r="R176" s="10">
        <f t="shared" si="16"/>
        <v>0</v>
      </c>
      <c r="S176" s="10"/>
      <c r="T176" s="10">
        <f t="shared" si="17"/>
        <v>0</v>
      </c>
      <c r="U176" s="24" t="str">
        <f t="shared" si="18"/>
        <v/>
      </c>
      <c r="V176" s="10" t="str">
        <f>IFERROR(N176*VLOOKUP(G176,FILAMENTI_DB!$A:$J,10,FALSE),"")</f>
        <v/>
      </c>
      <c r="W176" s="10" t="str">
        <f>IFERROR((VLOOKUP(F176,STAMPANTI_DB!$A:$C,3,FALSE)/1000)*O176*SETTINGS!$C$6,"")</f>
        <v/>
      </c>
      <c r="X176" s="10" t="str">
        <f>IFERROR(O176*VLOOKUP(F176,STAMPANTI_DB!$A:$I,9,FALSE),"")</f>
        <v/>
      </c>
      <c r="Y176" s="10">
        <f>IFERROR(P176*SETTINGS!$C$7,"")</f>
        <v>0</v>
      </c>
      <c r="Z176" s="10">
        <f>SETTINGS!$C$11</f>
        <v>0.5</v>
      </c>
      <c r="AA176" s="10">
        <f t="shared" si="19"/>
        <v>0.5</v>
      </c>
      <c r="AB176" s="10">
        <f>IFERROR(AA176*SETTINGS!$C$9,"")</f>
        <v>2.5000000000000001E-2</v>
      </c>
      <c r="AC176" s="10">
        <f>IFERROR((AA176+AB176)*SETTINGS!$C$10,"")</f>
        <v>2.6250000000000002E-2</v>
      </c>
      <c r="AD176" s="24"/>
    </row>
    <row r="177" spans="1:30" ht="16" customHeight="1" x14ac:dyDescent="0.2">
      <c r="A177" s="17"/>
      <c r="B177" s="18"/>
      <c r="C177" s="7"/>
      <c r="D177" s="7"/>
      <c r="E177" s="7"/>
      <c r="F177" s="7"/>
      <c r="G177" s="7"/>
      <c r="H177" s="18" t="str">
        <f>IFERROR(VLOOKUP(G177,FILAMENTI_DB!$A:$C,3,FALSE),"")</f>
        <v/>
      </c>
      <c r="I177" s="18" t="str">
        <f>IFERROR(VLOOKUP(G177,FILAMENTI_DB!$A:$E,4,FALSE),"")</f>
        <v/>
      </c>
      <c r="J177" s="8"/>
      <c r="K177" s="6"/>
      <c r="L177" s="6"/>
      <c r="M177" s="16">
        <f t="shared" si="14"/>
        <v>0</v>
      </c>
      <c r="N177" s="20">
        <f t="shared" si="15"/>
        <v>0</v>
      </c>
      <c r="O177" s="8"/>
      <c r="P177" s="8"/>
      <c r="Q177" s="4"/>
      <c r="R177" s="10">
        <f t="shared" si="16"/>
        <v>0</v>
      </c>
      <c r="S177" s="10"/>
      <c r="T177" s="10">
        <f t="shared" si="17"/>
        <v>0</v>
      </c>
      <c r="U177" s="24" t="str">
        <f t="shared" si="18"/>
        <v/>
      </c>
      <c r="V177" s="10" t="str">
        <f>IFERROR(N177*VLOOKUP(G177,FILAMENTI_DB!$A:$J,10,FALSE),"")</f>
        <v/>
      </c>
      <c r="W177" s="10" t="str">
        <f>IFERROR((VLOOKUP(F177,STAMPANTI_DB!$A:$C,3,FALSE)/1000)*O177*SETTINGS!$C$6,"")</f>
        <v/>
      </c>
      <c r="X177" s="10" t="str">
        <f>IFERROR(O177*VLOOKUP(F177,STAMPANTI_DB!$A:$I,9,FALSE),"")</f>
        <v/>
      </c>
      <c r="Y177" s="10">
        <f>IFERROR(P177*SETTINGS!$C$7,"")</f>
        <v>0</v>
      </c>
      <c r="Z177" s="10">
        <f>SETTINGS!$C$11</f>
        <v>0.5</v>
      </c>
      <c r="AA177" s="10">
        <f t="shared" si="19"/>
        <v>0.5</v>
      </c>
      <c r="AB177" s="10">
        <f>IFERROR(AA177*SETTINGS!$C$9,"")</f>
        <v>2.5000000000000001E-2</v>
      </c>
      <c r="AC177" s="10">
        <f>IFERROR((AA177+AB177)*SETTINGS!$C$10,"")</f>
        <v>2.6250000000000002E-2</v>
      </c>
      <c r="AD177" s="24"/>
    </row>
    <row r="178" spans="1:30" ht="16" customHeight="1" x14ac:dyDescent="0.2">
      <c r="A178" s="17"/>
      <c r="B178" s="18"/>
      <c r="C178" s="7"/>
      <c r="D178" s="7"/>
      <c r="E178" s="7"/>
      <c r="F178" s="7"/>
      <c r="G178" s="7"/>
      <c r="H178" s="18" t="str">
        <f>IFERROR(VLOOKUP(G178,FILAMENTI_DB!$A:$C,3,FALSE),"")</f>
        <v/>
      </c>
      <c r="I178" s="18" t="str">
        <f>IFERROR(VLOOKUP(G178,FILAMENTI_DB!$A:$E,4,FALSE),"")</f>
        <v/>
      </c>
      <c r="J178" s="8"/>
      <c r="K178" s="6"/>
      <c r="L178" s="6"/>
      <c r="M178" s="16">
        <f t="shared" si="14"/>
        <v>0</v>
      </c>
      <c r="N178" s="20">
        <f t="shared" si="15"/>
        <v>0</v>
      </c>
      <c r="O178" s="8"/>
      <c r="P178" s="8"/>
      <c r="Q178" s="4"/>
      <c r="R178" s="10">
        <f t="shared" si="16"/>
        <v>0</v>
      </c>
      <c r="S178" s="10"/>
      <c r="T178" s="10">
        <f t="shared" si="17"/>
        <v>0</v>
      </c>
      <c r="U178" s="24" t="str">
        <f t="shared" si="18"/>
        <v/>
      </c>
      <c r="V178" s="10" t="str">
        <f>IFERROR(N178*VLOOKUP(G178,FILAMENTI_DB!$A:$J,10,FALSE),"")</f>
        <v/>
      </c>
      <c r="W178" s="10" t="str">
        <f>IFERROR((VLOOKUP(F178,STAMPANTI_DB!$A:$C,3,FALSE)/1000)*O178*SETTINGS!$C$6,"")</f>
        <v/>
      </c>
      <c r="X178" s="10" t="str">
        <f>IFERROR(O178*VLOOKUP(F178,STAMPANTI_DB!$A:$I,9,FALSE),"")</f>
        <v/>
      </c>
      <c r="Y178" s="10">
        <f>IFERROR(P178*SETTINGS!$C$7,"")</f>
        <v>0</v>
      </c>
      <c r="Z178" s="10">
        <f>SETTINGS!$C$11</f>
        <v>0.5</v>
      </c>
      <c r="AA178" s="10">
        <f t="shared" si="19"/>
        <v>0.5</v>
      </c>
      <c r="AB178" s="10">
        <f>IFERROR(AA178*SETTINGS!$C$9,"")</f>
        <v>2.5000000000000001E-2</v>
      </c>
      <c r="AC178" s="10">
        <f>IFERROR((AA178+AB178)*SETTINGS!$C$10,"")</f>
        <v>2.6250000000000002E-2</v>
      </c>
      <c r="AD178" s="24"/>
    </row>
    <row r="179" spans="1:30" ht="16" customHeight="1" x14ac:dyDescent="0.2">
      <c r="A179" s="17"/>
      <c r="B179" s="18"/>
      <c r="C179" s="7"/>
      <c r="D179" s="7"/>
      <c r="E179" s="7"/>
      <c r="F179" s="7"/>
      <c r="G179" s="7"/>
      <c r="H179" s="18" t="str">
        <f>IFERROR(VLOOKUP(G179,FILAMENTI_DB!$A:$C,3,FALSE),"")</f>
        <v/>
      </c>
      <c r="I179" s="18" t="str">
        <f>IFERROR(VLOOKUP(G179,FILAMENTI_DB!$A:$E,4,FALSE),"")</f>
        <v/>
      </c>
      <c r="J179" s="8"/>
      <c r="K179" s="6"/>
      <c r="L179" s="6"/>
      <c r="M179" s="16">
        <f t="shared" si="14"/>
        <v>0</v>
      </c>
      <c r="N179" s="20">
        <f t="shared" si="15"/>
        <v>0</v>
      </c>
      <c r="O179" s="8"/>
      <c r="P179" s="8"/>
      <c r="Q179" s="4"/>
      <c r="R179" s="10">
        <f t="shared" si="16"/>
        <v>0</v>
      </c>
      <c r="S179" s="10"/>
      <c r="T179" s="10">
        <f t="shared" si="17"/>
        <v>0</v>
      </c>
      <c r="U179" s="24" t="str">
        <f t="shared" si="18"/>
        <v/>
      </c>
      <c r="V179" s="10" t="str">
        <f>IFERROR(N179*VLOOKUP(G179,FILAMENTI_DB!$A:$J,10,FALSE),"")</f>
        <v/>
      </c>
      <c r="W179" s="10" t="str">
        <f>IFERROR((VLOOKUP(F179,STAMPANTI_DB!$A:$C,3,FALSE)/1000)*O179*SETTINGS!$C$6,"")</f>
        <v/>
      </c>
      <c r="X179" s="10" t="str">
        <f>IFERROR(O179*VLOOKUP(F179,STAMPANTI_DB!$A:$I,9,FALSE),"")</f>
        <v/>
      </c>
      <c r="Y179" s="10">
        <f>IFERROR(P179*SETTINGS!$C$7,"")</f>
        <v>0</v>
      </c>
      <c r="Z179" s="10">
        <f>SETTINGS!$C$11</f>
        <v>0.5</v>
      </c>
      <c r="AA179" s="10">
        <f t="shared" si="19"/>
        <v>0.5</v>
      </c>
      <c r="AB179" s="10">
        <f>IFERROR(AA179*SETTINGS!$C$9,"")</f>
        <v>2.5000000000000001E-2</v>
      </c>
      <c r="AC179" s="10">
        <f>IFERROR((AA179+AB179)*SETTINGS!$C$10,"")</f>
        <v>2.6250000000000002E-2</v>
      </c>
      <c r="AD179" s="24"/>
    </row>
    <row r="180" spans="1:30" ht="16" customHeight="1" x14ac:dyDescent="0.2">
      <c r="A180" s="17"/>
      <c r="B180" s="18"/>
      <c r="C180" s="7"/>
      <c r="D180" s="7"/>
      <c r="E180" s="7"/>
      <c r="F180" s="7"/>
      <c r="G180" s="7"/>
      <c r="H180" s="18" t="str">
        <f>IFERROR(VLOOKUP(G180,FILAMENTI_DB!$A:$C,3,FALSE),"")</f>
        <v/>
      </c>
      <c r="I180" s="18" t="str">
        <f>IFERROR(VLOOKUP(G180,FILAMENTI_DB!$A:$E,4,FALSE),"")</f>
        <v/>
      </c>
      <c r="J180" s="8"/>
      <c r="K180" s="6"/>
      <c r="L180" s="6"/>
      <c r="M180" s="16">
        <f t="shared" si="14"/>
        <v>0</v>
      </c>
      <c r="N180" s="20">
        <f t="shared" si="15"/>
        <v>0</v>
      </c>
      <c r="O180" s="8"/>
      <c r="P180" s="8"/>
      <c r="Q180" s="4"/>
      <c r="R180" s="10">
        <f t="shared" si="16"/>
        <v>0</v>
      </c>
      <c r="S180" s="10"/>
      <c r="T180" s="10">
        <f t="shared" si="17"/>
        <v>0</v>
      </c>
      <c r="U180" s="24" t="str">
        <f t="shared" si="18"/>
        <v/>
      </c>
      <c r="V180" s="10" t="str">
        <f>IFERROR(N180*VLOOKUP(G180,FILAMENTI_DB!$A:$J,10,FALSE),"")</f>
        <v/>
      </c>
      <c r="W180" s="10" t="str">
        <f>IFERROR((VLOOKUP(F180,STAMPANTI_DB!$A:$C,3,FALSE)/1000)*O180*SETTINGS!$C$6,"")</f>
        <v/>
      </c>
      <c r="X180" s="10" t="str">
        <f>IFERROR(O180*VLOOKUP(F180,STAMPANTI_DB!$A:$I,9,FALSE),"")</f>
        <v/>
      </c>
      <c r="Y180" s="10">
        <f>IFERROR(P180*SETTINGS!$C$7,"")</f>
        <v>0</v>
      </c>
      <c r="Z180" s="10">
        <f>SETTINGS!$C$11</f>
        <v>0.5</v>
      </c>
      <c r="AA180" s="10">
        <f t="shared" si="19"/>
        <v>0.5</v>
      </c>
      <c r="AB180" s="10">
        <f>IFERROR(AA180*SETTINGS!$C$9,"")</f>
        <v>2.5000000000000001E-2</v>
      </c>
      <c r="AC180" s="10">
        <f>IFERROR((AA180+AB180)*SETTINGS!$C$10,"")</f>
        <v>2.6250000000000002E-2</v>
      </c>
      <c r="AD180" s="24"/>
    </row>
    <row r="181" spans="1:30" ht="16" customHeight="1" x14ac:dyDescent="0.2">
      <c r="A181" s="17"/>
      <c r="B181" s="18"/>
      <c r="C181" s="7"/>
      <c r="D181" s="7"/>
      <c r="E181" s="7"/>
      <c r="F181" s="7"/>
      <c r="G181" s="7"/>
      <c r="H181" s="18" t="str">
        <f>IFERROR(VLOOKUP(G181,FILAMENTI_DB!$A:$C,3,FALSE),"")</f>
        <v/>
      </c>
      <c r="I181" s="18" t="str">
        <f>IFERROR(VLOOKUP(G181,FILAMENTI_DB!$A:$E,4,FALSE),"")</f>
        <v/>
      </c>
      <c r="J181" s="8"/>
      <c r="K181" s="6"/>
      <c r="L181" s="6"/>
      <c r="M181" s="16">
        <f t="shared" si="14"/>
        <v>0</v>
      </c>
      <c r="N181" s="20">
        <f t="shared" si="15"/>
        <v>0</v>
      </c>
      <c r="O181" s="8"/>
      <c r="P181" s="8"/>
      <c r="Q181" s="4"/>
      <c r="R181" s="10">
        <f t="shared" si="16"/>
        <v>0</v>
      </c>
      <c r="S181" s="10"/>
      <c r="T181" s="10">
        <f t="shared" si="17"/>
        <v>0</v>
      </c>
      <c r="U181" s="24" t="str">
        <f t="shared" si="18"/>
        <v/>
      </c>
      <c r="V181" s="10" t="str">
        <f>IFERROR(N181*VLOOKUP(G181,FILAMENTI_DB!$A:$J,10,FALSE),"")</f>
        <v/>
      </c>
      <c r="W181" s="10" t="str">
        <f>IFERROR((VLOOKUP(F181,STAMPANTI_DB!$A:$C,3,FALSE)/1000)*O181*SETTINGS!$C$6,"")</f>
        <v/>
      </c>
      <c r="X181" s="10" t="str">
        <f>IFERROR(O181*VLOOKUP(F181,STAMPANTI_DB!$A:$I,9,FALSE),"")</f>
        <v/>
      </c>
      <c r="Y181" s="10">
        <f>IFERROR(P181*SETTINGS!$C$7,"")</f>
        <v>0</v>
      </c>
      <c r="Z181" s="10">
        <f>SETTINGS!$C$11</f>
        <v>0.5</v>
      </c>
      <c r="AA181" s="10">
        <f t="shared" si="19"/>
        <v>0.5</v>
      </c>
      <c r="AB181" s="10">
        <f>IFERROR(AA181*SETTINGS!$C$9,"")</f>
        <v>2.5000000000000001E-2</v>
      </c>
      <c r="AC181" s="10">
        <f>IFERROR((AA181+AB181)*SETTINGS!$C$10,"")</f>
        <v>2.6250000000000002E-2</v>
      </c>
      <c r="AD181" s="24"/>
    </row>
    <row r="182" spans="1:30" ht="16" customHeight="1" x14ac:dyDescent="0.2">
      <c r="A182" s="17"/>
      <c r="B182" s="18"/>
      <c r="C182" s="7"/>
      <c r="D182" s="7"/>
      <c r="E182" s="7"/>
      <c r="F182" s="7"/>
      <c r="G182" s="7"/>
      <c r="H182" s="18" t="str">
        <f>IFERROR(VLOOKUP(G182,FILAMENTI_DB!$A:$C,3,FALSE),"")</f>
        <v/>
      </c>
      <c r="I182" s="18" t="str">
        <f>IFERROR(VLOOKUP(G182,FILAMENTI_DB!$A:$E,4,FALSE),"")</f>
        <v/>
      </c>
      <c r="J182" s="8"/>
      <c r="K182" s="6"/>
      <c r="L182" s="6"/>
      <c r="M182" s="16">
        <f t="shared" si="14"/>
        <v>0</v>
      </c>
      <c r="N182" s="20">
        <f t="shared" si="15"/>
        <v>0</v>
      </c>
      <c r="O182" s="8"/>
      <c r="P182" s="8"/>
      <c r="Q182" s="4"/>
      <c r="R182" s="10">
        <f t="shared" si="16"/>
        <v>0</v>
      </c>
      <c r="S182" s="10"/>
      <c r="T182" s="10">
        <f t="shared" si="17"/>
        <v>0</v>
      </c>
      <c r="U182" s="24" t="str">
        <f t="shared" si="18"/>
        <v/>
      </c>
      <c r="V182" s="10" t="str">
        <f>IFERROR(N182*VLOOKUP(G182,FILAMENTI_DB!$A:$J,10,FALSE),"")</f>
        <v/>
      </c>
      <c r="W182" s="10" t="str">
        <f>IFERROR((VLOOKUP(F182,STAMPANTI_DB!$A:$C,3,FALSE)/1000)*O182*SETTINGS!$C$6,"")</f>
        <v/>
      </c>
      <c r="X182" s="10" t="str">
        <f>IFERROR(O182*VLOOKUP(F182,STAMPANTI_DB!$A:$I,9,FALSE),"")</f>
        <v/>
      </c>
      <c r="Y182" s="10">
        <f>IFERROR(P182*SETTINGS!$C$7,"")</f>
        <v>0</v>
      </c>
      <c r="Z182" s="10">
        <f>SETTINGS!$C$11</f>
        <v>0.5</v>
      </c>
      <c r="AA182" s="10">
        <f t="shared" si="19"/>
        <v>0.5</v>
      </c>
      <c r="AB182" s="10">
        <f>IFERROR(AA182*SETTINGS!$C$9,"")</f>
        <v>2.5000000000000001E-2</v>
      </c>
      <c r="AC182" s="10">
        <f>IFERROR((AA182+AB182)*SETTINGS!$C$10,"")</f>
        <v>2.6250000000000002E-2</v>
      </c>
      <c r="AD182" s="24"/>
    </row>
    <row r="183" spans="1:30" ht="16" customHeight="1" x14ac:dyDescent="0.2">
      <c r="A183" s="17"/>
      <c r="B183" s="18"/>
      <c r="C183" s="7"/>
      <c r="D183" s="7"/>
      <c r="E183" s="7"/>
      <c r="F183" s="7"/>
      <c r="G183" s="7"/>
      <c r="H183" s="18" t="str">
        <f>IFERROR(VLOOKUP(G183,FILAMENTI_DB!$A:$C,3,FALSE),"")</f>
        <v/>
      </c>
      <c r="I183" s="18" t="str">
        <f>IFERROR(VLOOKUP(G183,FILAMENTI_DB!$A:$E,4,FALSE),"")</f>
        <v/>
      </c>
      <c r="J183" s="8"/>
      <c r="K183" s="6"/>
      <c r="L183" s="6"/>
      <c r="M183" s="16">
        <f t="shared" si="14"/>
        <v>0</v>
      </c>
      <c r="N183" s="20">
        <f t="shared" si="15"/>
        <v>0</v>
      </c>
      <c r="O183" s="8"/>
      <c r="P183" s="8"/>
      <c r="Q183" s="4"/>
      <c r="R183" s="10">
        <f t="shared" si="16"/>
        <v>0</v>
      </c>
      <c r="S183" s="10"/>
      <c r="T183" s="10">
        <f t="shared" si="17"/>
        <v>0</v>
      </c>
      <c r="U183" s="24" t="str">
        <f t="shared" si="18"/>
        <v/>
      </c>
      <c r="V183" s="10" t="str">
        <f>IFERROR(N183*VLOOKUP(G183,FILAMENTI_DB!$A:$J,10,FALSE),"")</f>
        <v/>
      </c>
      <c r="W183" s="10" t="str">
        <f>IFERROR((VLOOKUP(F183,STAMPANTI_DB!$A:$C,3,FALSE)/1000)*O183*SETTINGS!$C$6,"")</f>
        <v/>
      </c>
      <c r="X183" s="10" t="str">
        <f>IFERROR(O183*VLOOKUP(F183,STAMPANTI_DB!$A:$I,9,FALSE),"")</f>
        <v/>
      </c>
      <c r="Y183" s="10">
        <f>IFERROR(P183*SETTINGS!$C$7,"")</f>
        <v>0</v>
      </c>
      <c r="Z183" s="10">
        <f>SETTINGS!$C$11</f>
        <v>0.5</v>
      </c>
      <c r="AA183" s="10">
        <f t="shared" si="19"/>
        <v>0.5</v>
      </c>
      <c r="AB183" s="10">
        <f>IFERROR(AA183*SETTINGS!$C$9,"")</f>
        <v>2.5000000000000001E-2</v>
      </c>
      <c r="AC183" s="10">
        <f>IFERROR((AA183+AB183)*SETTINGS!$C$10,"")</f>
        <v>2.6250000000000002E-2</v>
      </c>
      <c r="AD183" s="24"/>
    </row>
    <row r="184" spans="1:30" ht="16" customHeight="1" x14ac:dyDescent="0.2">
      <c r="A184" s="17"/>
      <c r="B184" s="18"/>
      <c r="C184" s="7"/>
      <c r="D184" s="7"/>
      <c r="E184" s="7"/>
      <c r="F184" s="7"/>
      <c r="G184" s="7"/>
      <c r="H184" s="18" t="str">
        <f>IFERROR(VLOOKUP(G184,FILAMENTI_DB!$A:$C,3,FALSE),"")</f>
        <v/>
      </c>
      <c r="I184" s="18" t="str">
        <f>IFERROR(VLOOKUP(G184,FILAMENTI_DB!$A:$E,4,FALSE),"")</f>
        <v/>
      </c>
      <c r="J184" s="8"/>
      <c r="K184" s="6"/>
      <c r="L184" s="6"/>
      <c r="M184" s="16">
        <f t="shared" si="14"/>
        <v>0</v>
      </c>
      <c r="N184" s="20">
        <f t="shared" si="15"/>
        <v>0</v>
      </c>
      <c r="O184" s="8"/>
      <c r="P184" s="8"/>
      <c r="Q184" s="4"/>
      <c r="R184" s="10">
        <f t="shared" si="16"/>
        <v>0</v>
      </c>
      <c r="S184" s="10"/>
      <c r="T184" s="10">
        <f t="shared" si="17"/>
        <v>0</v>
      </c>
      <c r="U184" s="24" t="str">
        <f t="shared" si="18"/>
        <v/>
      </c>
      <c r="V184" s="10" t="str">
        <f>IFERROR(N184*VLOOKUP(G184,FILAMENTI_DB!$A:$J,10,FALSE),"")</f>
        <v/>
      </c>
      <c r="W184" s="10" t="str">
        <f>IFERROR((VLOOKUP(F184,STAMPANTI_DB!$A:$C,3,FALSE)/1000)*O184*SETTINGS!$C$6,"")</f>
        <v/>
      </c>
      <c r="X184" s="10" t="str">
        <f>IFERROR(O184*VLOOKUP(F184,STAMPANTI_DB!$A:$I,9,FALSE),"")</f>
        <v/>
      </c>
      <c r="Y184" s="10">
        <f>IFERROR(P184*SETTINGS!$C$7,"")</f>
        <v>0</v>
      </c>
      <c r="Z184" s="10">
        <f>SETTINGS!$C$11</f>
        <v>0.5</v>
      </c>
      <c r="AA184" s="10">
        <f t="shared" si="19"/>
        <v>0.5</v>
      </c>
      <c r="AB184" s="10">
        <f>IFERROR(AA184*SETTINGS!$C$9,"")</f>
        <v>2.5000000000000001E-2</v>
      </c>
      <c r="AC184" s="10">
        <f>IFERROR((AA184+AB184)*SETTINGS!$C$10,"")</f>
        <v>2.6250000000000002E-2</v>
      </c>
      <c r="AD184" s="24"/>
    </row>
    <row r="185" spans="1:30" ht="16" customHeight="1" x14ac:dyDescent="0.2">
      <c r="A185" s="17"/>
      <c r="B185" s="18"/>
      <c r="C185" s="7"/>
      <c r="D185" s="7"/>
      <c r="E185" s="7"/>
      <c r="F185" s="7"/>
      <c r="G185" s="7"/>
      <c r="H185" s="18" t="str">
        <f>IFERROR(VLOOKUP(G185,FILAMENTI_DB!$A:$C,3,FALSE),"")</f>
        <v/>
      </c>
      <c r="I185" s="18" t="str">
        <f>IFERROR(VLOOKUP(G185,FILAMENTI_DB!$A:$E,4,FALSE),"")</f>
        <v/>
      </c>
      <c r="J185" s="8"/>
      <c r="K185" s="6"/>
      <c r="L185" s="6"/>
      <c r="M185" s="16">
        <f t="shared" si="14"/>
        <v>0</v>
      </c>
      <c r="N185" s="20">
        <f t="shared" si="15"/>
        <v>0</v>
      </c>
      <c r="O185" s="8"/>
      <c r="P185" s="8"/>
      <c r="Q185" s="4"/>
      <c r="R185" s="10">
        <f t="shared" si="16"/>
        <v>0</v>
      </c>
      <c r="S185" s="10"/>
      <c r="T185" s="10">
        <f t="shared" si="17"/>
        <v>0</v>
      </c>
      <c r="U185" s="24" t="str">
        <f t="shared" si="18"/>
        <v/>
      </c>
      <c r="V185" s="10" t="str">
        <f>IFERROR(N185*VLOOKUP(G185,FILAMENTI_DB!$A:$J,10,FALSE),"")</f>
        <v/>
      </c>
      <c r="W185" s="10" t="str">
        <f>IFERROR((VLOOKUP(F185,STAMPANTI_DB!$A:$C,3,FALSE)/1000)*O185*SETTINGS!$C$6,"")</f>
        <v/>
      </c>
      <c r="X185" s="10" t="str">
        <f>IFERROR(O185*VLOOKUP(F185,STAMPANTI_DB!$A:$I,9,FALSE),"")</f>
        <v/>
      </c>
      <c r="Y185" s="10">
        <f>IFERROR(P185*SETTINGS!$C$7,"")</f>
        <v>0</v>
      </c>
      <c r="Z185" s="10">
        <f>SETTINGS!$C$11</f>
        <v>0.5</v>
      </c>
      <c r="AA185" s="10">
        <f t="shared" si="19"/>
        <v>0.5</v>
      </c>
      <c r="AB185" s="10">
        <f>IFERROR(AA185*SETTINGS!$C$9,"")</f>
        <v>2.5000000000000001E-2</v>
      </c>
      <c r="AC185" s="10">
        <f>IFERROR((AA185+AB185)*SETTINGS!$C$10,"")</f>
        <v>2.6250000000000002E-2</v>
      </c>
      <c r="AD185" s="24"/>
    </row>
    <row r="186" spans="1:30" ht="16" customHeight="1" x14ac:dyDescent="0.2">
      <c r="A186" s="17"/>
      <c r="B186" s="18"/>
      <c r="C186" s="7"/>
      <c r="D186" s="7"/>
      <c r="E186" s="7"/>
      <c r="F186" s="7"/>
      <c r="G186" s="7"/>
      <c r="H186" s="18" t="str">
        <f>IFERROR(VLOOKUP(G186,FILAMENTI_DB!$A:$C,3,FALSE),"")</f>
        <v/>
      </c>
      <c r="I186" s="18" t="str">
        <f>IFERROR(VLOOKUP(G186,FILAMENTI_DB!$A:$E,4,FALSE),"")</f>
        <v/>
      </c>
      <c r="J186" s="8"/>
      <c r="K186" s="6"/>
      <c r="L186" s="6"/>
      <c r="M186" s="16">
        <f t="shared" si="14"/>
        <v>0</v>
      </c>
      <c r="N186" s="20">
        <f t="shared" si="15"/>
        <v>0</v>
      </c>
      <c r="O186" s="8"/>
      <c r="P186" s="8"/>
      <c r="Q186" s="4"/>
      <c r="R186" s="10">
        <f t="shared" si="16"/>
        <v>0</v>
      </c>
      <c r="S186" s="10"/>
      <c r="T186" s="10">
        <f t="shared" si="17"/>
        <v>0</v>
      </c>
      <c r="U186" s="24" t="str">
        <f t="shared" si="18"/>
        <v/>
      </c>
      <c r="V186" s="10" t="str">
        <f>IFERROR(N186*VLOOKUP(G186,FILAMENTI_DB!$A:$J,10,FALSE),"")</f>
        <v/>
      </c>
      <c r="W186" s="10" t="str">
        <f>IFERROR((VLOOKUP(F186,STAMPANTI_DB!$A:$C,3,FALSE)/1000)*O186*SETTINGS!$C$6,"")</f>
        <v/>
      </c>
      <c r="X186" s="10" t="str">
        <f>IFERROR(O186*VLOOKUP(F186,STAMPANTI_DB!$A:$I,9,FALSE),"")</f>
        <v/>
      </c>
      <c r="Y186" s="10">
        <f>IFERROR(P186*SETTINGS!$C$7,"")</f>
        <v>0</v>
      </c>
      <c r="Z186" s="10">
        <f>SETTINGS!$C$11</f>
        <v>0.5</v>
      </c>
      <c r="AA186" s="10">
        <f t="shared" si="19"/>
        <v>0.5</v>
      </c>
      <c r="AB186" s="10">
        <f>IFERROR(AA186*SETTINGS!$C$9,"")</f>
        <v>2.5000000000000001E-2</v>
      </c>
      <c r="AC186" s="10">
        <f>IFERROR((AA186+AB186)*SETTINGS!$C$10,"")</f>
        <v>2.6250000000000002E-2</v>
      </c>
      <c r="AD186" s="24"/>
    </row>
    <row r="187" spans="1:30" ht="16" customHeight="1" x14ac:dyDescent="0.2">
      <c r="A187" s="17"/>
      <c r="B187" s="18"/>
      <c r="C187" s="7"/>
      <c r="D187" s="7"/>
      <c r="E187" s="7"/>
      <c r="F187" s="7"/>
      <c r="G187" s="7"/>
      <c r="H187" s="18" t="str">
        <f>IFERROR(VLOOKUP(G187,FILAMENTI_DB!$A:$C,3,FALSE),"")</f>
        <v/>
      </c>
      <c r="I187" s="18" t="str">
        <f>IFERROR(VLOOKUP(G187,FILAMENTI_DB!$A:$E,4,FALSE),"")</f>
        <v/>
      </c>
      <c r="J187" s="8"/>
      <c r="K187" s="6"/>
      <c r="L187" s="6"/>
      <c r="M187" s="16">
        <f t="shared" si="14"/>
        <v>0</v>
      </c>
      <c r="N187" s="20">
        <f t="shared" si="15"/>
        <v>0</v>
      </c>
      <c r="O187" s="8"/>
      <c r="P187" s="8"/>
      <c r="Q187" s="4"/>
      <c r="R187" s="10">
        <f t="shared" si="16"/>
        <v>0</v>
      </c>
      <c r="S187" s="10"/>
      <c r="T187" s="10">
        <f t="shared" si="17"/>
        <v>0</v>
      </c>
      <c r="U187" s="24" t="str">
        <f t="shared" si="18"/>
        <v/>
      </c>
      <c r="V187" s="10" t="str">
        <f>IFERROR(N187*VLOOKUP(G187,FILAMENTI_DB!$A:$J,10,FALSE),"")</f>
        <v/>
      </c>
      <c r="W187" s="10" t="str">
        <f>IFERROR((VLOOKUP(F187,STAMPANTI_DB!$A:$C,3,FALSE)/1000)*O187*SETTINGS!$C$6,"")</f>
        <v/>
      </c>
      <c r="X187" s="10" t="str">
        <f>IFERROR(O187*VLOOKUP(F187,STAMPANTI_DB!$A:$I,9,FALSE),"")</f>
        <v/>
      </c>
      <c r="Y187" s="10">
        <f>IFERROR(P187*SETTINGS!$C$7,"")</f>
        <v>0</v>
      </c>
      <c r="Z187" s="10">
        <f>SETTINGS!$C$11</f>
        <v>0.5</v>
      </c>
      <c r="AA187" s="10">
        <f t="shared" si="19"/>
        <v>0.5</v>
      </c>
      <c r="AB187" s="10">
        <f>IFERROR(AA187*SETTINGS!$C$9,"")</f>
        <v>2.5000000000000001E-2</v>
      </c>
      <c r="AC187" s="10">
        <f>IFERROR((AA187+AB187)*SETTINGS!$C$10,"")</f>
        <v>2.6250000000000002E-2</v>
      </c>
      <c r="AD187" s="24"/>
    </row>
    <row r="188" spans="1:30" ht="16" customHeight="1" x14ac:dyDescent="0.2">
      <c r="A188" s="17"/>
      <c r="B188" s="18"/>
      <c r="C188" s="7"/>
      <c r="D188" s="7"/>
      <c r="E188" s="7"/>
      <c r="F188" s="7"/>
      <c r="G188" s="7"/>
      <c r="H188" s="18" t="str">
        <f>IFERROR(VLOOKUP(G188,FILAMENTI_DB!$A:$C,3,FALSE),"")</f>
        <v/>
      </c>
      <c r="I188" s="18" t="str">
        <f>IFERROR(VLOOKUP(G188,FILAMENTI_DB!$A:$E,4,FALSE),"")</f>
        <v/>
      </c>
      <c r="J188" s="8"/>
      <c r="K188" s="6"/>
      <c r="L188" s="6"/>
      <c r="M188" s="16">
        <f t="shared" si="14"/>
        <v>0</v>
      </c>
      <c r="N188" s="20">
        <f t="shared" si="15"/>
        <v>0</v>
      </c>
      <c r="O188" s="8"/>
      <c r="P188" s="8"/>
      <c r="Q188" s="4"/>
      <c r="R188" s="10">
        <f t="shared" si="16"/>
        <v>0</v>
      </c>
      <c r="S188" s="10"/>
      <c r="T188" s="10">
        <f t="shared" si="17"/>
        <v>0</v>
      </c>
      <c r="U188" s="24" t="str">
        <f t="shared" si="18"/>
        <v/>
      </c>
      <c r="V188" s="10" t="str">
        <f>IFERROR(N188*VLOOKUP(G188,FILAMENTI_DB!$A:$J,10,FALSE),"")</f>
        <v/>
      </c>
      <c r="W188" s="10" t="str">
        <f>IFERROR((VLOOKUP(F188,STAMPANTI_DB!$A:$C,3,FALSE)/1000)*O188*SETTINGS!$C$6,"")</f>
        <v/>
      </c>
      <c r="X188" s="10" t="str">
        <f>IFERROR(O188*VLOOKUP(F188,STAMPANTI_DB!$A:$I,9,FALSE),"")</f>
        <v/>
      </c>
      <c r="Y188" s="10">
        <f>IFERROR(P188*SETTINGS!$C$7,"")</f>
        <v>0</v>
      </c>
      <c r="Z188" s="10">
        <f>SETTINGS!$C$11</f>
        <v>0.5</v>
      </c>
      <c r="AA188" s="10">
        <f t="shared" si="19"/>
        <v>0.5</v>
      </c>
      <c r="AB188" s="10">
        <f>IFERROR(AA188*SETTINGS!$C$9,"")</f>
        <v>2.5000000000000001E-2</v>
      </c>
      <c r="AC188" s="10">
        <f>IFERROR((AA188+AB188)*SETTINGS!$C$10,"")</f>
        <v>2.6250000000000002E-2</v>
      </c>
      <c r="AD188" s="24"/>
    </row>
    <row r="189" spans="1:30" ht="16" customHeight="1" x14ac:dyDescent="0.2">
      <c r="A189" s="17"/>
      <c r="B189" s="18"/>
      <c r="C189" s="7"/>
      <c r="D189" s="7"/>
      <c r="E189" s="7"/>
      <c r="F189" s="7"/>
      <c r="G189" s="7"/>
      <c r="H189" s="18" t="str">
        <f>IFERROR(VLOOKUP(G189,FILAMENTI_DB!$A:$C,3,FALSE),"")</f>
        <v/>
      </c>
      <c r="I189" s="18" t="str">
        <f>IFERROR(VLOOKUP(G189,FILAMENTI_DB!$A:$E,4,FALSE),"")</f>
        <v/>
      </c>
      <c r="J189" s="8"/>
      <c r="K189" s="6"/>
      <c r="L189" s="6"/>
      <c r="M189" s="16">
        <f t="shared" si="14"/>
        <v>0</v>
      </c>
      <c r="N189" s="20">
        <f t="shared" si="15"/>
        <v>0</v>
      </c>
      <c r="O189" s="8"/>
      <c r="P189" s="8"/>
      <c r="Q189" s="4"/>
      <c r="R189" s="10">
        <f t="shared" si="16"/>
        <v>0</v>
      </c>
      <c r="S189" s="10"/>
      <c r="T189" s="10">
        <f t="shared" si="17"/>
        <v>0</v>
      </c>
      <c r="U189" s="24" t="str">
        <f t="shared" si="18"/>
        <v/>
      </c>
      <c r="V189" s="10" t="str">
        <f>IFERROR(N189*VLOOKUP(G189,FILAMENTI_DB!$A:$J,10,FALSE),"")</f>
        <v/>
      </c>
      <c r="W189" s="10" t="str">
        <f>IFERROR((VLOOKUP(F189,STAMPANTI_DB!$A:$C,3,FALSE)/1000)*O189*SETTINGS!$C$6,"")</f>
        <v/>
      </c>
      <c r="X189" s="10" t="str">
        <f>IFERROR(O189*VLOOKUP(F189,STAMPANTI_DB!$A:$I,9,FALSE),"")</f>
        <v/>
      </c>
      <c r="Y189" s="10">
        <f>IFERROR(P189*SETTINGS!$C$7,"")</f>
        <v>0</v>
      </c>
      <c r="Z189" s="10">
        <f>SETTINGS!$C$11</f>
        <v>0.5</v>
      </c>
      <c r="AA189" s="10">
        <f t="shared" si="19"/>
        <v>0.5</v>
      </c>
      <c r="AB189" s="10">
        <f>IFERROR(AA189*SETTINGS!$C$9,"")</f>
        <v>2.5000000000000001E-2</v>
      </c>
      <c r="AC189" s="10">
        <f>IFERROR((AA189+AB189)*SETTINGS!$C$10,"")</f>
        <v>2.6250000000000002E-2</v>
      </c>
      <c r="AD189" s="24"/>
    </row>
    <row r="190" spans="1:30" ht="16" customHeight="1" x14ac:dyDescent="0.2">
      <c r="A190" s="17"/>
      <c r="B190" s="18"/>
      <c r="C190" s="7"/>
      <c r="D190" s="7"/>
      <c r="E190" s="7"/>
      <c r="F190" s="7"/>
      <c r="G190" s="7"/>
      <c r="H190" s="18" t="str">
        <f>IFERROR(VLOOKUP(G190,FILAMENTI_DB!$A:$C,3,FALSE),"")</f>
        <v/>
      </c>
      <c r="I190" s="18" t="str">
        <f>IFERROR(VLOOKUP(G190,FILAMENTI_DB!$A:$E,4,FALSE),"")</f>
        <v/>
      </c>
      <c r="J190" s="8"/>
      <c r="K190" s="6"/>
      <c r="L190" s="6"/>
      <c r="M190" s="16">
        <f t="shared" si="14"/>
        <v>0</v>
      </c>
      <c r="N190" s="20">
        <f t="shared" si="15"/>
        <v>0</v>
      </c>
      <c r="O190" s="8"/>
      <c r="P190" s="8"/>
      <c r="Q190" s="4"/>
      <c r="R190" s="10">
        <f t="shared" si="16"/>
        <v>0</v>
      </c>
      <c r="S190" s="10"/>
      <c r="T190" s="10">
        <f t="shared" si="17"/>
        <v>0</v>
      </c>
      <c r="U190" s="24" t="str">
        <f t="shared" si="18"/>
        <v/>
      </c>
      <c r="V190" s="10" t="str">
        <f>IFERROR(N190*VLOOKUP(G190,FILAMENTI_DB!$A:$J,10,FALSE),"")</f>
        <v/>
      </c>
      <c r="W190" s="10" t="str">
        <f>IFERROR((VLOOKUP(F190,STAMPANTI_DB!$A:$C,3,FALSE)/1000)*O190*SETTINGS!$C$6,"")</f>
        <v/>
      </c>
      <c r="X190" s="10" t="str">
        <f>IFERROR(O190*VLOOKUP(F190,STAMPANTI_DB!$A:$I,9,FALSE),"")</f>
        <v/>
      </c>
      <c r="Y190" s="10">
        <f>IFERROR(P190*SETTINGS!$C$7,"")</f>
        <v>0</v>
      </c>
      <c r="Z190" s="10">
        <f>SETTINGS!$C$11</f>
        <v>0.5</v>
      </c>
      <c r="AA190" s="10">
        <f t="shared" si="19"/>
        <v>0.5</v>
      </c>
      <c r="AB190" s="10">
        <f>IFERROR(AA190*SETTINGS!$C$9,"")</f>
        <v>2.5000000000000001E-2</v>
      </c>
      <c r="AC190" s="10">
        <f>IFERROR((AA190+AB190)*SETTINGS!$C$10,"")</f>
        <v>2.6250000000000002E-2</v>
      </c>
      <c r="AD190" s="24"/>
    </row>
    <row r="191" spans="1:30" ht="16" customHeight="1" x14ac:dyDescent="0.2">
      <c r="A191" s="17"/>
      <c r="B191" s="18"/>
      <c r="C191" s="7"/>
      <c r="D191" s="7"/>
      <c r="E191" s="7"/>
      <c r="F191" s="7"/>
      <c r="G191" s="7"/>
      <c r="H191" s="18" t="str">
        <f>IFERROR(VLOOKUP(G191,FILAMENTI_DB!$A:$C,3,FALSE),"")</f>
        <v/>
      </c>
      <c r="I191" s="18" t="str">
        <f>IFERROR(VLOOKUP(G191,FILAMENTI_DB!$A:$E,4,FALSE),"")</f>
        <v/>
      </c>
      <c r="J191" s="8"/>
      <c r="K191" s="6"/>
      <c r="L191" s="6"/>
      <c r="M191" s="16">
        <f t="shared" si="14"/>
        <v>0</v>
      </c>
      <c r="N191" s="20">
        <f t="shared" si="15"/>
        <v>0</v>
      </c>
      <c r="O191" s="8"/>
      <c r="P191" s="8"/>
      <c r="Q191" s="4"/>
      <c r="R191" s="10">
        <f t="shared" si="16"/>
        <v>0</v>
      </c>
      <c r="S191" s="10"/>
      <c r="T191" s="10">
        <f t="shared" si="17"/>
        <v>0</v>
      </c>
      <c r="U191" s="24" t="str">
        <f t="shared" si="18"/>
        <v/>
      </c>
      <c r="V191" s="10" t="str">
        <f>IFERROR(N191*VLOOKUP(G191,FILAMENTI_DB!$A:$J,10,FALSE),"")</f>
        <v/>
      </c>
      <c r="W191" s="10" t="str">
        <f>IFERROR((VLOOKUP(F191,STAMPANTI_DB!$A:$C,3,FALSE)/1000)*O191*SETTINGS!$C$6,"")</f>
        <v/>
      </c>
      <c r="X191" s="10" t="str">
        <f>IFERROR(O191*VLOOKUP(F191,STAMPANTI_DB!$A:$I,9,FALSE),"")</f>
        <v/>
      </c>
      <c r="Y191" s="10">
        <f>IFERROR(P191*SETTINGS!$C$7,"")</f>
        <v>0</v>
      </c>
      <c r="Z191" s="10">
        <f>SETTINGS!$C$11</f>
        <v>0.5</v>
      </c>
      <c r="AA191" s="10">
        <f t="shared" si="19"/>
        <v>0.5</v>
      </c>
      <c r="AB191" s="10">
        <f>IFERROR(AA191*SETTINGS!$C$9,"")</f>
        <v>2.5000000000000001E-2</v>
      </c>
      <c r="AC191" s="10">
        <f>IFERROR((AA191+AB191)*SETTINGS!$C$10,"")</f>
        <v>2.6250000000000002E-2</v>
      </c>
      <c r="AD191" s="24"/>
    </row>
    <row r="192" spans="1:30" ht="16" customHeight="1" x14ac:dyDescent="0.2">
      <c r="A192" s="17"/>
      <c r="B192" s="18"/>
      <c r="C192" s="7"/>
      <c r="D192" s="7"/>
      <c r="E192" s="7"/>
      <c r="F192" s="7"/>
      <c r="G192" s="7"/>
      <c r="H192" s="18" t="str">
        <f>IFERROR(VLOOKUP(G192,FILAMENTI_DB!$A:$C,3,FALSE),"")</f>
        <v/>
      </c>
      <c r="I192" s="18" t="str">
        <f>IFERROR(VLOOKUP(G192,FILAMENTI_DB!$A:$E,4,FALSE),"")</f>
        <v/>
      </c>
      <c r="J192" s="8"/>
      <c r="K192" s="6"/>
      <c r="L192" s="6"/>
      <c r="M192" s="16">
        <f t="shared" si="14"/>
        <v>0</v>
      </c>
      <c r="N192" s="20">
        <f t="shared" si="15"/>
        <v>0</v>
      </c>
      <c r="O192" s="8"/>
      <c r="P192" s="8"/>
      <c r="Q192" s="4"/>
      <c r="R192" s="10">
        <f t="shared" si="16"/>
        <v>0</v>
      </c>
      <c r="S192" s="10"/>
      <c r="T192" s="10">
        <f t="shared" si="17"/>
        <v>0</v>
      </c>
      <c r="U192" s="24" t="str">
        <f t="shared" si="18"/>
        <v/>
      </c>
      <c r="V192" s="10" t="str">
        <f>IFERROR(N192*VLOOKUP(G192,FILAMENTI_DB!$A:$J,10,FALSE),"")</f>
        <v/>
      </c>
      <c r="W192" s="10" t="str">
        <f>IFERROR((VLOOKUP(F192,STAMPANTI_DB!$A:$C,3,FALSE)/1000)*O192*SETTINGS!$C$6,"")</f>
        <v/>
      </c>
      <c r="X192" s="10" t="str">
        <f>IFERROR(O192*VLOOKUP(F192,STAMPANTI_DB!$A:$I,9,FALSE),"")</f>
        <v/>
      </c>
      <c r="Y192" s="10">
        <f>IFERROR(P192*SETTINGS!$C$7,"")</f>
        <v>0</v>
      </c>
      <c r="Z192" s="10">
        <f>SETTINGS!$C$11</f>
        <v>0.5</v>
      </c>
      <c r="AA192" s="10">
        <f t="shared" si="19"/>
        <v>0.5</v>
      </c>
      <c r="AB192" s="10">
        <f>IFERROR(AA192*SETTINGS!$C$9,"")</f>
        <v>2.5000000000000001E-2</v>
      </c>
      <c r="AC192" s="10">
        <f>IFERROR((AA192+AB192)*SETTINGS!$C$10,"")</f>
        <v>2.6250000000000002E-2</v>
      </c>
      <c r="AD192" s="24"/>
    </row>
    <row r="193" spans="1:30" ht="16" customHeight="1" x14ac:dyDescent="0.2">
      <c r="A193" s="17"/>
      <c r="B193" s="18"/>
      <c r="C193" s="7"/>
      <c r="D193" s="7"/>
      <c r="E193" s="7"/>
      <c r="F193" s="7"/>
      <c r="G193" s="7"/>
      <c r="H193" s="18" t="str">
        <f>IFERROR(VLOOKUP(G193,FILAMENTI_DB!$A:$C,3,FALSE),"")</f>
        <v/>
      </c>
      <c r="I193" s="18" t="str">
        <f>IFERROR(VLOOKUP(G193,FILAMENTI_DB!$A:$E,4,FALSE),"")</f>
        <v/>
      </c>
      <c r="J193" s="8"/>
      <c r="K193" s="6"/>
      <c r="L193" s="6"/>
      <c r="M193" s="16">
        <f t="shared" si="14"/>
        <v>0</v>
      </c>
      <c r="N193" s="20">
        <f t="shared" si="15"/>
        <v>0</v>
      </c>
      <c r="O193" s="8"/>
      <c r="P193" s="8"/>
      <c r="Q193" s="4"/>
      <c r="R193" s="10">
        <f t="shared" si="16"/>
        <v>0</v>
      </c>
      <c r="S193" s="10"/>
      <c r="T193" s="10">
        <f t="shared" si="17"/>
        <v>0</v>
      </c>
      <c r="U193" s="24" t="str">
        <f t="shared" si="18"/>
        <v/>
      </c>
      <c r="V193" s="10" t="str">
        <f>IFERROR(N193*VLOOKUP(G193,FILAMENTI_DB!$A:$J,10,FALSE),"")</f>
        <v/>
      </c>
      <c r="W193" s="10" t="str">
        <f>IFERROR((VLOOKUP(F193,STAMPANTI_DB!$A:$C,3,FALSE)/1000)*O193*SETTINGS!$C$6,"")</f>
        <v/>
      </c>
      <c r="X193" s="10" t="str">
        <f>IFERROR(O193*VLOOKUP(F193,STAMPANTI_DB!$A:$I,9,FALSE),"")</f>
        <v/>
      </c>
      <c r="Y193" s="10">
        <f>IFERROR(P193*SETTINGS!$C$7,"")</f>
        <v>0</v>
      </c>
      <c r="Z193" s="10">
        <f>SETTINGS!$C$11</f>
        <v>0.5</v>
      </c>
      <c r="AA193" s="10">
        <f t="shared" si="19"/>
        <v>0.5</v>
      </c>
      <c r="AB193" s="10">
        <f>IFERROR(AA193*SETTINGS!$C$9,"")</f>
        <v>2.5000000000000001E-2</v>
      </c>
      <c r="AC193" s="10">
        <f>IFERROR((AA193+AB193)*SETTINGS!$C$10,"")</f>
        <v>2.6250000000000002E-2</v>
      </c>
      <c r="AD193" s="24"/>
    </row>
    <row r="194" spans="1:30" ht="16" customHeight="1" x14ac:dyDescent="0.2">
      <c r="A194" s="17"/>
      <c r="B194" s="18"/>
      <c r="C194" s="7"/>
      <c r="D194" s="7"/>
      <c r="E194" s="7"/>
      <c r="F194" s="7"/>
      <c r="G194" s="7"/>
      <c r="H194" s="18" t="str">
        <f>IFERROR(VLOOKUP(G194,FILAMENTI_DB!$A:$C,3,FALSE),"")</f>
        <v/>
      </c>
      <c r="I194" s="18" t="str">
        <f>IFERROR(VLOOKUP(G194,FILAMENTI_DB!$A:$E,4,FALSE),"")</f>
        <v/>
      </c>
      <c r="J194" s="8"/>
      <c r="K194" s="6"/>
      <c r="L194" s="6"/>
      <c r="M194" s="16">
        <f t="shared" si="14"/>
        <v>0</v>
      </c>
      <c r="N194" s="20">
        <f t="shared" si="15"/>
        <v>0</v>
      </c>
      <c r="O194" s="8"/>
      <c r="P194" s="8"/>
      <c r="Q194" s="4"/>
      <c r="R194" s="10">
        <f t="shared" si="16"/>
        <v>0</v>
      </c>
      <c r="S194" s="10"/>
      <c r="T194" s="10">
        <f t="shared" si="17"/>
        <v>0</v>
      </c>
      <c r="U194" s="24" t="str">
        <f t="shared" si="18"/>
        <v/>
      </c>
      <c r="V194" s="10" t="str">
        <f>IFERROR(N194*VLOOKUP(G194,FILAMENTI_DB!$A:$J,10,FALSE),"")</f>
        <v/>
      </c>
      <c r="W194" s="10" t="str">
        <f>IFERROR((VLOOKUP(F194,STAMPANTI_DB!$A:$C,3,FALSE)/1000)*O194*SETTINGS!$C$6,"")</f>
        <v/>
      </c>
      <c r="X194" s="10" t="str">
        <f>IFERROR(O194*VLOOKUP(F194,STAMPANTI_DB!$A:$I,9,FALSE),"")</f>
        <v/>
      </c>
      <c r="Y194" s="10">
        <f>IFERROR(P194*SETTINGS!$C$7,"")</f>
        <v>0</v>
      </c>
      <c r="Z194" s="10">
        <f>SETTINGS!$C$11</f>
        <v>0.5</v>
      </c>
      <c r="AA194" s="10">
        <f t="shared" si="19"/>
        <v>0.5</v>
      </c>
      <c r="AB194" s="10">
        <f>IFERROR(AA194*SETTINGS!$C$9,"")</f>
        <v>2.5000000000000001E-2</v>
      </c>
      <c r="AC194" s="10">
        <f>IFERROR((AA194+AB194)*SETTINGS!$C$10,"")</f>
        <v>2.6250000000000002E-2</v>
      </c>
      <c r="AD194" s="24"/>
    </row>
    <row r="195" spans="1:30" ht="16" customHeight="1" x14ac:dyDescent="0.2">
      <c r="A195" s="17"/>
      <c r="B195" s="18"/>
      <c r="C195" s="7"/>
      <c r="D195" s="7"/>
      <c r="E195" s="7"/>
      <c r="F195" s="7"/>
      <c r="G195" s="7"/>
      <c r="H195" s="18" t="str">
        <f>IFERROR(VLOOKUP(G195,FILAMENTI_DB!$A:$C,3,FALSE),"")</f>
        <v/>
      </c>
      <c r="I195" s="18" t="str">
        <f>IFERROR(VLOOKUP(G195,FILAMENTI_DB!$A:$E,4,FALSE),"")</f>
        <v/>
      </c>
      <c r="J195" s="8"/>
      <c r="K195" s="6"/>
      <c r="L195" s="6"/>
      <c r="M195" s="16">
        <f t="shared" si="14"/>
        <v>0</v>
      </c>
      <c r="N195" s="20">
        <f t="shared" si="15"/>
        <v>0</v>
      </c>
      <c r="O195" s="8"/>
      <c r="P195" s="8"/>
      <c r="Q195" s="4"/>
      <c r="R195" s="10">
        <f t="shared" si="16"/>
        <v>0</v>
      </c>
      <c r="S195" s="10"/>
      <c r="T195" s="10">
        <f t="shared" si="17"/>
        <v>0</v>
      </c>
      <c r="U195" s="24" t="str">
        <f t="shared" si="18"/>
        <v/>
      </c>
      <c r="V195" s="10" t="str">
        <f>IFERROR(N195*VLOOKUP(G195,FILAMENTI_DB!$A:$J,10,FALSE),"")</f>
        <v/>
      </c>
      <c r="W195" s="10" t="str">
        <f>IFERROR((VLOOKUP(F195,STAMPANTI_DB!$A:$C,3,FALSE)/1000)*O195*SETTINGS!$C$6,"")</f>
        <v/>
      </c>
      <c r="X195" s="10" t="str">
        <f>IFERROR(O195*VLOOKUP(F195,STAMPANTI_DB!$A:$I,9,FALSE),"")</f>
        <v/>
      </c>
      <c r="Y195" s="10">
        <f>IFERROR(P195*SETTINGS!$C$7,"")</f>
        <v>0</v>
      </c>
      <c r="Z195" s="10">
        <f>SETTINGS!$C$11</f>
        <v>0.5</v>
      </c>
      <c r="AA195" s="10">
        <f t="shared" si="19"/>
        <v>0.5</v>
      </c>
      <c r="AB195" s="10">
        <f>IFERROR(AA195*SETTINGS!$C$9,"")</f>
        <v>2.5000000000000001E-2</v>
      </c>
      <c r="AC195" s="10">
        <f>IFERROR((AA195+AB195)*SETTINGS!$C$10,"")</f>
        <v>2.6250000000000002E-2</v>
      </c>
      <c r="AD195" s="24"/>
    </row>
    <row r="196" spans="1:30" ht="16" customHeight="1" x14ac:dyDescent="0.2">
      <c r="A196" s="17"/>
      <c r="B196" s="18"/>
      <c r="C196" s="7"/>
      <c r="D196" s="7"/>
      <c r="E196" s="7"/>
      <c r="F196" s="7"/>
      <c r="G196" s="7"/>
      <c r="H196" s="18" t="str">
        <f>IFERROR(VLOOKUP(G196,FILAMENTI_DB!$A:$C,3,FALSE),"")</f>
        <v/>
      </c>
      <c r="I196" s="18" t="str">
        <f>IFERROR(VLOOKUP(G196,FILAMENTI_DB!$A:$E,4,FALSE),"")</f>
        <v/>
      </c>
      <c r="J196" s="8"/>
      <c r="K196" s="6"/>
      <c r="L196" s="6"/>
      <c r="M196" s="16">
        <f t="shared" si="14"/>
        <v>0</v>
      </c>
      <c r="N196" s="20">
        <f t="shared" si="15"/>
        <v>0</v>
      </c>
      <c r="O196" s="8"/>
      <c r="P196" s="8"/>
      <c r="Q196" s="4"/>
      <c r="R196" s="10">
        <f t="shared" si="16"/>
        <v>0</v>
      </c>
      <c r="S196" s="10"/>
      <c r="T196" s="10">
        <f t="shared" si="17"/>
        <v>0</v>
      </c>
      <c r="U196" s="24" t="str">
        <f t="shared" si="18"/>
        <v/>
      </c>
      <c r="V196" s="10" t="str">
        <f>IFERROR(N196*VLOOKUP(G196,FILAMENTI_DB!$A:$J,10,FALSE),"")</f>
        <v/>
      </c>
      <c r="W196" s="10" t="str">
        <f>IFERROR((VLOOKUP(F196,STAMPANTI_DB!$A:$C,3,FALSE)/1000)*O196*SETTINGS!$C$6,"")</f>
        <v/>
      </c>
      <c r="X196" s="10" t="str">
        <f>IFERROR(O196*VLOOKUP(F196,STAMPANTI_DB!$A:$I,9,FALSE),"")</f>
        <v/>
      </c>
      <c r="Y196" s="10">
        <f>IFERROR(P196*SETTINGS!$C$7,"")</f>
        <v>0</v>
      </c>
      <c r="Z196" s="10">
        <f>SETTINGS!$C$11</f>
        <v>0.5</v>
      </c>
      <c r="AA196" s="10">
        <f t="shared" si="19"/>
        <v>0.5</v>
      </c>
      <c r="AB196" s="10">
        <f>IFERROR(AA196*SETTINGS!$C$9,"")</f>
        <v>2.5000000000000001E-2</v>
      </c>
      <c r="AC196" s="10">
        <f>IFERROR((AA196+AB196)*SETTINGS!$C$10,"")</f>
        <v>2.6250000000000002E-2</v>
      </c>
      <c r="AD196" s="24"/>
    </row>
    <row r="197" spans="1:30" ht="16" customHeight="1" x14ac:dyDescent="0.2">
      <c r="A197" s="17"/>
      <c r="B197" s="18"/>
      <c r="C197" s="7"/>
      <c r="D197" s="7"/>
      <c r="E197" s="7"/>
      <c r="F197" s="7"/>
      <c r="G197" s="7"/>
      <c r="H197" s="18" t="str">
        <f>IFERROR(VLOOKUP(G197,FILAMENTI_DB!$A:$C,3,FALSE),"")</f>
        <v/>
      </c>
      <c r="I197" s="18" t="str">
        <f>IFERROR(VLOOKUP(G197,FILAMENTI_DB!$A:$E,4,FALSE),"")</f>
        <v/>
      </c>
      <c r="J197" s="8"/>
      <c r="K197" s="6"/>
      <c r="L197" s="6"/>
      <c r="M197" s="16">
        <f t="shared" ref="M197:M260" si="20">IFERROR(K197+L197,"")</f>
        <v>0</v>
      </c>
      <c r="N197" s="20">
        <f t="shared" ref="N197:N260" si="21">IFERROR(J197*M197,"")</f>
        <v>0</v>
      </c>
      <c r="O197" s="8"/>
      <c r="P197" s="8"/>
      <c r="Q197" s="4"/>
      <c r="R197" s="10">
        <f t="shared" ref="R197:R260" si="22">IFERROR(Q197*K197,"")</f>
        <v>0</v>
      </c>
      <c r="S197" s="10"/>
      <c r="T197" s="10">
        <f t="shared" ref="T197:T260" si="23">IFERROR(R197-S197,"")</f>
        <v>0</v>
      </c>
      <c r="U197" s="24" t="str">
        <f t="shared" ref="U197:U260" si="24">IFERROR(T197/R197,"")</f>
        <v/>
      </c>
      <c r="V197" s="10" t="str">
        <f>IFERROR(N197*VLOOKUP(G197,FILAMENTI_DB!$A:$J,10,FALSE),"")</f>
        <v/>
      </c>
      <c r="W197" s="10" t="str">
        <f>IFERROR((VLOOKUP(F197,STAMPANTI_DB!$A:$C,3,FALSE)/1000)*O197*SETTINGS!$C$6,"")</f>
        <v/>
      </c>
      <c r="X197" s="10" t="str">
        <f>IFERROR(O197*VLOOKUP(F197,STAMPANTI_DB!$A:$I,9,FALSE),"")</f>
        <v/>
      </c>
      <c r="Y197" s="10">
        <f>IFERROR(P197*SETTINGS!$C$7,"")</f>
        <v>0</v>
      </c>
      <c r="Z197" s="10">
        <f>SETTINGS!$C$11</f>
        <v>0.5</v>
      </c>
      <c r="AA197" s="10">
        <f t="shared" ref="AA197:AA260" si="25">IFERROR(SUM(V197:Z197),"")</f>
        <v>0.5</v>
      </c>
      <c r="AB197" s="10">
        <f>IFERROR(AA197*SETTINGS!$C$9,"")</f>
        <v>2.5000000000000001E-2</v>
      </c>
      <c r="AC197" s="10">
        <f>IFERROR((AA197+AB197)*SETTINGS!$C$10,"")</f>
        <v>2.6250000000000002E-2</v>
      </c>
      <c r="AD197" s="24"/>
    </row>
    <row r="198" spans="1:30" ht="16" customHeight="1" x14ac:dyDescent="0.2">
      <c r="A198" s="17"/>
      <c r="B198" s="18"/>
      <c r="C198" s="7"/>
      <c r="D198" s="7"/>
      <c r="E198" s="7"/>
      <c r="F198" s="7"/>
      <c r="G198" s="7"/>
      <c r="H198" s="18" t="str">
        <f>IFERROR(VLOOKUP(G198,FILAMENTI_DB!$A:$C,3,FALSE),"")</f>
        <v/>
      </c>
      <c r="I198" s="18" t="str">
        <f>IFERROR(VLOOKUP(G198,FILAMENTI_DB!$A:$E,4,FALSE),"")</f>
        <v/>
      </c>
      <c r="J198" s="8"/>
      <c r="K198" s="6"/>
      <c r="L198" s="6"/>
      <c r="M198" s="16">
        <f t="shared" si="20"/>
        <v>0</v>
      </c>
      <c r="N198" s="20">
        <f t="shared" si="21"/>
        <v>0</v>
      </c>
      <c r="O198" s="8"/>
      <c r="P198" s="8"/>
      <c r="Q198" s="4"/>
      <c r="R198" s="10">
        <f t="shared" si="22"/>
        <v>0</v>
      </c>
      <c r="S198" s="10"/>
      <c r="T198" s="10">
        <f t="shared" si="23"/>
        <v>0</v>
      </c>
      <c r="U198" s="24" t="str">
        <f t="shared" si="24"/>
        <v/>
      </c>
      <c r="V198" s="10" t="str">
        <f>IFERROR(N198*VLOOKUP(G198,FILAMENTI_DB!$A:$J,10,FALSE),"")</f>
        <v/>
      </c>
      <c r="W198" s="10" t="str">
        <f>IFERROR((VLOOKUP(F198,STAMPANTI_DB!$A:$C,3,FALSE)/1000)*O198*SETTINGS!$C$6,"")</f>
        <v/>
      </c>
      <c r="X198" s="10" t="str">
        <f>IFERROR(O198*VLOOKUP(F198,STAMPANTI_DB!$A:$I,9,FALSE),"")</f>
        <v/>
      </c>
      <c r="Y198" s="10">
        <f>IFERROR(P198*SETTINGS!$C$7,"")</f>
        <v>0</v>
      </c>
      <c r="Z198" s="10">
        <f>SETTINGS!$C$11</f>
        <v>0.5</v>
      </c>
      <c r="AA198" s="10">
        <f t="shared" si="25"/>
        <v>0.5</v>
      </c>
      <c r="AB198" s="10">
        <f>IFERROR(AA198*SETTINGS!$C$9,"")</f>
        <v>2.5000000000000001E-2</v>
      </c>
      <c r="AC198" s="10">
        <f>IFERROR((AA198+AB198)*SETTINGS!$C$10,"")</f>
        <v>2.6250000000000002E-2</v>
      </c>
      <c r="AD198" s="24"/>
    </row>
    <row r="199" spans="1:30" ht="16" customHeight="1" x14ac:dyDescent="0.2">
      <c r="A199" s="17"/>
      <c r="B199" s="18"/>
      <c r="C199" s="7"/>
      <c r="D199" s="7"/>
      <c r="E199" s="7"/>
      <c r="F199" s="7"/>
      <c r="G199" s="7"/>
      <c r="H199" s="18" t="str">
        <f>IFERROR(VLOOKUP(G199,FILAMENTI_DB!$A:$C,3,FALSE),"")</f>
        <v/>
      </c>
      <c r="I199" s="18" t="str">
        <f>IFERROR(VLOOKUP(G199,FILAMENTI_DB!$A:$E,4,FALSE),"")</f>
        <v/>
      </c>
      <c r="J199" s="8"/>
      <c r="K199" s="6"/>
      <c r="L199" s="6"/>
      <c r="M199" s="16">
        <f t="shared" si="20"/>
        <v>0</v>
      </c>
      <c r="N199" s="20">
        <f t="shared" si="21"/>
        <v>0</v>
      </c>
      <c r="O199" s="8"/>
      <c r="P199" s="8"/>
      <c r="Q199" s="4"/>
      <c r="R199" s="10">
        <f t="shared" si="22"/>
        <v>0</v>
      </c>
      <c r="S199" s="10"/>
      <c r="T199" s="10">
        <f t="shared" si="23"/>
        <v>0</v>
      </c>
      <c r="U199" s="24" t="str">
        <f t="shared" si="24"/>
        <v/>
      </c>
      <c r="V199" s="10" t="str">
        <f>IFERROR(N199*VLOOKUP(G199,FILAMENTI_DB!$A:$J,10,FALSE),"")</f>
        <v/>
      </c>
      <c r="W199" s="10" t="str">
        <f>IFERROR((VLOOKUP(F199,STAMPANTI_DB!$A:$C,3,FALSE)/1000)*O199*SETTINGS!$C$6,"")</f>
        <v/>
      </c>
      <c r="X199" s="10" t="str">
        <f>IFERROR(O199*VLOOKUP(F199,STAMPANTI_DB!$A:$I,9,FALSE),"")</f>
        <v/>
      </c>
      <c r="Y199" s="10">
        <f>IFERROR(P199*SETTINGS!$C$7,"")</f>
        <v>0</v>
      </c>
      <c r="Z199" s="10">
        <f>SETTINGS!$C$11</f>
        <v>0.5</v>
      </c>
      <c r="AA199" s="10">
        <f t="shared" si="25"/>
        <v>0.5</v>
      </c>
      <c r="AB199" s="10">
        <f>IFERROR(AA199*SETTINGS!$C$9,"")</f>
        <v>2.5000000000000001E-2</v>
      </c>
      <c r="AC199" s="10">
        <f>IFERROR((AA199+AB199)*SETTINGS!$C$10,"")</f>
        <v>2.6250000000000002E-2</v>
      </c>
      <c r="AD199" s="24"/>
    </row>
    <row r="200" spans="1:30" ht="16" customHeight="1" x14ac:dyDescent="0.2">
      <c r="A200" s="17"/>
      <c r="B200" s="18"/>
      <c r="C200" s="7"/>
      <c r="D200" s="7"/>
      <c r="E200" s="7"/>
      <c r="F200" s="7"/>
      <c r="G200" s="7"/>
      <c r="H200" s="18" t="str">
        <f>IFERROR(VLOOKUP(G200,FILAMENTI_DB!$A:$C,3,FALSE),"")</f>
        <v/>
      </c>
      <c r="I200" s="18" t="str">
        <f>IFERROR(VLOOKUP(G200,FILAMENTI_DB!$A:$E,4,FALSE),"")</f>
        <v/>
      </c>
      <c r="J200" s="8"/>
      <c r="K200" s="6"/>
      <c r="L200" s="6"/>
      <c r="M200" s="16">
        <f t="shared" si="20"/>
        <v>0</v>
      </c>
      <c r="N200" s="20">
        <f t="shared" si="21"/>
        <v>0</v>
      </c>
      <c r="O200" s="8"/>
      <c r="P200" s="8"/>
      <c r="Q200" s="4"/>
      <c r="R200" s="10">
        <f t="shared" si="22"/>
        <v>0</v>
      </c>
      <c r="S200" s="10"/>
      <c r="T200" s="10">
        <f t="shared" si="23"/>
        <v>0</v>
      </c>
      <c r="U200" s="24" t="str">
        <f t="shared" si="24"/>
        <v/>
      </c>
      <c r="V200" s="10" t="str">
        <f>IFERROR(N200*VLOOKUP(G200,FILAMENTI_DB!$A:$J,10,FALSE),"")</f>
        <v/>
      </c>
      <c r="W200" s="10" t="str">
        <f>IFERROR((VLOOKUP(F200,STAMPANTI_DB!$A:$C,3,FALSE)/1000)*O200*SETTINGS!$C$6,"")</f>
        <v/>
      </c>
      <c r="X200" s="10" t="str">
        <f>IFERROR(O200*VLOOKUP(F200,STAMPANTI_DB!$A:$I,9,FALSE),"")</f>
        <v/>
      </c>
      <c r="Y200" s="10">
        <f>IFERROR(P200*SETTINGS!$C$7,"")</f>
        <v>0</v>
      </c>
      <c r="Z200" s="10">
        <f>SETTINGS!$C$11</f>
        <v>0.5</v>
      </c>
      <c r="AA200" s="10">
        <f t="shared" si="25"/>
        <v>0.5</v>
      </c>
      <c r="AB200" s="10">
        <f>IFERROR(AA200*SETTINGS!$C$9,"")</f>
        <v>2.5000000000000001E-2</v>
      </c>
      <c r="AC200" s="10">
        <f>IFERROR((AA200+AB200)*SETTINGS!$C$10,"")</f>
        <v>2.6250000000000002E-2</v>
      </c>
      <c r="AD200" s="24"/>
    </row>
    <row r="201" spans="1:30" ht="16" customHeight="1" x14ac:dyDescent="0.2">
      <c r="A201" s="17"/>
      <c r="B201" s="18"/>
      <c r="C201" s="7"/>
      <c r="D201" s="7"/>
      <c r="E201" s="7"/>
      <c r="F201" s="7"/>
      <c r="G201" s="7"/>
      <c r="H201" s="18" t="str">
        <f>IFERROR(VLOOKUP(G201,FILAMENTI_DB!$A:$C,3,FALSE),"")</f>
        <v/>
      </c>
      <c r="I201" s="18" t="str">
        <f>IFERROR(VLOOKUP(G201,FILAMENTI_DB!$A:$E,4,FALSE),"")</f>
        <v/>
      </c>
      <c r="J201" s="8"/>
      <c r="K201" s="6"/>
      <c r="L201" s="6"/>
      <c r="M201" s="16">
        <f t="shared" si="20"/>
        <v>0</v>
      </c>
      <c r="N201" s="20">
        <f t="shared" si="21"/>
        <v>0</v>
      </c>
      <c r="O201" s="8"/>
      <c r="P201" s="8"/>
      <c r="Q201" s="4"/>
      <c r="R201" s="10">
        <f t="shared" si="22"/>
        <v>0</v>
      </c>
      <c r="S201" s="10"/>
      <c r="T201" s="10">
        <f t="shared" si="23"/>
        <v>0</v>
      </c>
      <c r="U201" s="24" t="str">
        <f t="shared" si="24"/>
        <v/>
      </c>
      <c r="V201" s="10" t="str">
        <f>IFERROR(N201*VLOOKUP(G201,FILAMENTI_DB!$A:$J,10,FALSE),"")</f>
        <v/>
      </c>
      <c r="W201" s="10" t="str">
        <f>IFERROR((VLOOKUP(F201,STAMPANTI_DB!$A:$C,3,FALSE)/1000)*O201*SETTINGS!$C$6,"")</f>
        <v/>
      </c>
      <c r="X201" s="10" t="str">
        <f>IFERROR(O201*VLOOKUP(F201,STAMPANTI_DB!$A:$I,9,FALSE),"")</f>
        <v/>
      </c>
      <c r="Y201" s="10">
        <f>IFERROR(P201*SETTINGS!$C$7,"")</f>
        <v>0</v>
      </c>
      <c r="Z201" s="10">
        <f>SETTINGS!$C$11</f>
        <v>0.5</v>
      </c>
      <c r="AA201" s="10">
        <f t="shared" si="25"/>
        <v>0.5</v>
      </c>
      <c r="AB201" s="10">
        <f>IFERROR(AA201*SETTINGS!$C$9,"")</f>
        <v>2.5000000000000001E-2</v>
      </c>
      <c r="AC201" s="10">
        <f>IFERROR((AA201+AB201)*SETTINGS!$C$10,"")</f>
        <v>2.6250000000000002E-2</v>
      </c>
      <c r="AD201" s="24"/>
    </row>
    <row r="202" spans="1:30" ht="16" customHeight="1" x14ac:dyDescent="0.2">
      <c r="A202" s="17"/>
      <c r="B202" s="18"/>
      <c r="C202" s="7"/>
      <c r="D202" s="7"/>
      <c r="E202" s="7"/>
      <c r="F202" s="7"/>
      <c r="G202" s="7"/>
      <c r="H202" s="18" t="str">
        <f>IFERROR(VLOOKUP(G202,FILAMENTI_DB!$A:$C,3,FALSE),"")</f>
        <v/>
      </c>
      <c r="I202" s="18" t="str">
        <f>IFERROR(VLOOKUP(G202,FILAMENTI_DB!$A:$E,4,FALSE),"")</f>
        <v/>
      </c>
      <c r="J202" s="8"/>
      <c r="K202" s="6"/>
      <c r="L202" s="6"/>
      <c r="M202" s="16">
        <f t="shared" si="20"/>
        <v>0</v>
      </c>
      <c r="N202" s="20">
        <f t="shared" si="21"/>
        <v>0</v>
      </c>
      <c r="O202" s="8"/>
      <c r="P202" s="8"/>
      <c r="Q202" s="4"/>
      <c r="R202" s="10">
        <f t="shared" si="22"/>
        <v>0</v>
      </c>
      <c r="S202" s="10"/>
      <c r="T202" s="10">
        <f t="shared" si="23"/>
        <v>0</v>
      </c>
      <c r="U202" s="24" t="str">
        <f t="shared" si="24"/>
        <v/>
      </c>
      <c r="V202" s="10" t="str">
        <f>IFERROR(N202*VLOOKUP(G202,FILAMENTI_DB!$A:$J,10,FALSE),"")</f>
        <v/>
      </c>
      <c r="W202" s="10" t="str">
        <f>IFERROR((VLOOKUP(F202,STAMPANTI_DB!$A:$C,3,FALSE)/1000)*O202*SETTINGS!$C$6,"")</f>
        <v/>
      </c>
      <c r="X202" s="10" t="str">
        <f>IFERROR(O202*VLOOKUP(F202,STAMPANTI_DB!$A:$I,9,FALSE),"")</f>
        <v/>
      </c>
      <c r="Y202" s="10">
        <f>IFERROR(P202*SETTINGS!$C$7,"")</f>
        <v>0</v>
      </c>
      <c r="Z202" s="10">
        <f>SETTINGS!$C$11</f>
        <v>0.5</v>
      </c>
      <c r="AA202" s="10">
        <f t="shared" si="25"/>
        <v>0.5</v>
      </c>
      <c r="AB202" s="10">
        <f>IFERROR(AA202*SETTINGS!$C$9,"")</f>
        <v>2.5000000000000001E-2</v>
      </c>
      <c r="AC202" s="10">
        <f>IFERROR((AA202+AB202)*SETTINGS!$C$10,"")</f>
        <v>2.6250000000000002E-2</v>
      </c>
      <c r="AD202" s="24"/>
    </row>
    <row r="203" spans="1:30" ht="16" customHeight="1" x14ac:dyDescent="0.2">
      <c r="A203" s="17"/>
      <c r="B203" s="18"/>
      <c r="C203" s="7"/>
      <c r="D203" s="7"/>
      <c r="E203" s="7"/>
      <c r="F203" s="7"/>
      <c r="G203" s="7"/>
      <c r="H203" s="18" t="str">
        <f>IFERROR(VLOOKUP(G203,FILAMENTI_DB!$A:$C,3,FALSE),"")</f>
        <v/>
      </c>
      <c r="I203" s="18" t="str">
        <f>IFERROR(VLOOKUP(G203,FILAMENTI_DB!$A:$E,4,FALSE),"")</f>
        <v/>
      </c>
      <c r="J203" s="8"/>
      <c r="K203" s="6"/>
      <c r="L203" s="6"/>
      <c r="M203" s="16">
        <f t="shared" si="20"/>
        <v>0</v>
      </c>
      <c r="N203" s="20">
        <f t="shared" si="21"/>
        <v>0</v>
      </c>
      <c r="O203" s="8"/>
      <c r="P203" s="8"/>
      <c r="Q203" s="4"/>
      <c r="R203" s="10">
        <f t="shared" si="22"/>
        <v>0</v>
      </c>
      <c r="S203" s="10"/>
      <c r="T203" s="10">
        <f t="shared" si="23"/>
        <v>0</v>
      </c>
      <c r="U203" s="24" t="str">
        <f t="shared" si="24"/>
        <v/>
      </c>
      <c r="V203" s="10" t="str">
        <f>IFERROR(N203*VLOOKUP(G203,FILAMENTI_DB!$A:$J,10,FALSE),"")</f>
        <v/>
      </c>
      <c r="W203" s="10" t="str">
        <f>IFERROR((VLOOKUP(F203,STAMPANTI_DB!$A:$C,3,FALSE)/1000)*O203*SETTINGS!$C$6,"")</f>
        <v/>
      </c>
      <c r="X203" s="10" t="str">
        <f>IFERROR(O203*VLOOKUP(F203,STAMPANTI_DB!$A:$I,9,FALSE),"")</f>
        <v/>
      </c>
      <c r="Y203" s="10">
        <f>IFERROR(P203*SETTINGS!$C$7,"")</f>
        <v>0</v>
      </c>
      <c r="Z203" s="10">
        <f>SETTINGS!$C$11</f>
        <v>0.5</v>
      </c>
      <c r="AA203" s="10">
        <f t="shared" si="25"/>
        <v>0.5</v>
      </c>
      <c r="AB203" s="10">
        <f>IFERROR(AA203*SETTINGS!$C$9,"")</f>
        <v>2.5000000000000001E-2</v>
      </c>
      <c r="AC203" s="10">
        <f>IFERROR((AA203+AB203)*SETTINGS!$C$10,"")</f>
        <v>2.6250000000000002E-2</v>
      </c>
      <c r="AD203" s="24"/>
    </row>
    <row r="204" spans="1:30" ht="16" x14ac:dyDescent="0.2">
      <c r="A204" s="25"/>
      <c r="H204" t="str">
        <f>IFERROR(VLOOKUP(G204,FILAMENTI_DB!$A:$C,3,FALSE),"")</f>
        <v/>
      </c>
      <c r="I204" t="str">
        <f>IFERROR(VLOOKUP(G204,FILAMENTI_DB!$A:$E,4,FALSE),"")</f>
        <v/>
      </c>
      <c r="J204" s="26"/>
      <c r="K204" s="27"/>
      <c r="L204" s="27"/>
      <c r="M204" s="27">
        <f t="shared" si="20"/>
        <v>0</v>
      </c>
      <c r="N204" s="26">
        <f t="shared" si="21"/>
        <v>0</v>
      </c>
      <c r="O204" s="26"/>
      <c r="P204" s="26"/>
      <c r="Q204" s="23"/>
      <c r="R204" s="23">
        <f t="shared" si="22"/>
        <v>0</v>
      </c>
      <c r="S204" s="23"/>
      <c r="T204" s="23">
        <f t="shared" si="23"/>
        <v>0</v>
      </c>
      <c r="U204" s="28" t="str">
        <f t="shared" si="24"/>
        <v/>
      </c>
      <c r="V204" s="10" t="str">
        <f>IFERROR(N204*VLOOKUP(G204,FILAMENTI_DB!$A:$J,10,FALSE),"")</f>
        <v/>
      </c>
      <c r="W204" s="23" t="str">
        <f>IFERROR((VLOOKUP(F204,STAMPANTI_DB!$A:$C,3,FALSE)/1000)*O204*SETTINGS!$C$6,"")</f>
        <v/>
      </c>
      <c r="X204" s="23" t="str">
        <f>IFERROR(O204*VLOOKUP(F204,STAMPANTI_DB!$A:$I,9,FALSE),"")</f>
        <v/>
      </c>
      <c r="Y204" s="23">
        <f>IFERROR(P204*SETTINGS!$C$7,"")</f>
        <v>0</v>
      </c>
      <c r="Z204" s="23">
        <f>SETTINGS!$C$11</f>
        <v>0.5</v>
      </c>
      <c r="AA204" s="23">
        <f t="shared" si="25"/>
        <v>0.5</v>
      </c>
      <c r="AB204" s="23">
        <f>IFERROR(AA204*SETTINGS!$C$9,"")</f>
        <v>2.5000000000000001E-2</v>
      </c>
      <c r="AC204" s="23">
        <f>IFERROR((AA204+AB204)*SETTINGS!$C$10,"")</f>
        <v>2.6250000000000002E-2</v>
      </c>
    </row>
    <row r="205" spans="1:30" ht="16" x14ac:dyDescent="0.2">
      <c r="A205" s="25"/>
      <c r="H205" t="str">
        <f>IFERROR(VLOOKUP(G205,FILAMENTI_DB!$A:$C,3,FALSE),"")</f>
        <v/>
      </c>
      <c r="I205" t="str">
        <f>IFERROR(VLOOKUP(G205,FILAMENTI_DB!$A:$E,4,FALSE),"")</f>
        <v/>
      </c>
      <c r="J205" s="26"/>
      <c r="K205" s="27"/>
      <c r="L205" s="27"/>
      <c r="M205" s="27">
        <f t="shared" si="20"/>
        <v>0</v>
      </c>
      <c r="N205" s="26">
        <f t="shared" si="21"/>
        <v>0</v>
      </c>
      <c r="O205" s="26"/>
      <c r="P205" s="26"/>
      <c r="Q205" s="23"/>
      <c r="R205" s="23">
        <f t="shared" si="22"/>
        <v>0</v>
      </c>
      <c r="S205" s="23"/>
      <c r="T205" s="23">
        <f t="shared" si="23"/>
        <v>0</v>
      </c>
      <c r="U205" s="28" t="str">
        <f t="shared" si="24"/>
        <v/>
      </c>
      <c r="V205" s="10" t="str">
        <f>IFERROR(N205*VLOOKUP(G205,FILAMENTI_DB!$A:$J,10,FALSE),"")</f>
        <v/>
      </c>
      <c r="W205" s="23" t="str">
        <f>IFERROR((VLOOKUP(F205,STAMPANTI_DB!$A:$C,3,FALSE)/1000)*O205*SETTINGS!$C$6,"")</f>
        <v/>
      </c>
      <c r="X205" s="23" t="str">
        <f>IFERROR(O205*VLOOKUP(F205,STAMPANTI_DB!$A:$I,9,FALSE),"")</f>
        <v/>
      </c>
      <c r="Y205" s="23">
        <f>IFERROR(P205*SETTINGS!$C$7,"")</f>
        <v>0</v>
      </c>
      <c r="Z205" s="23">
        <f>SETTINGS!$C$11</f>
        <v>0.5</v>
      </c>
      <c r="AA205" s="23">
        <f t="shared" si="25"/>
        <v>0.5</v>
      </c>
      <c r="AB205" s="23">
        <f>IFERROR(AA205*SETTINGS!$C$9,"")</f>
        <v>2.5000000000000001E-2</v>
      </c>
      <c r="AC205" s="23">
        <f>IFERROR((AA205+AB205)*SETTINGS!$C$10,"")</f>
        <v>2.6250000000000002E-2</v>
      </c>
    </row>
    <row r="206" spans="1:30" ht="16" x14ac:dyDescent="0.2">
      <c r="A206" s="25"/>
      <c r="H206" t="str">
        <f>IFERROR(VLOOKUP(G206,FILAMENTI_DB!$A:$C,3,FALSE),"")</f>
        <v/>
      </c>
      <c r="I206" t="str">
        <f>IFERROR(VLOOKUP(G206,FILAMENTI_DB!$A:$E,4,FALSE),"")</f>
        <v/>
      </c>
      <c r="J206" s="26"/>
      <c r="K206" s="27"/>
      <c r="L206" s="27"/>
      <c r="M206" s="27">
        <f t="shared" si="20"/>
        <v>0</v>
      </c>
      <c r="N206" s="26">
        <f t="shared" si="21"/>
        <v>0</v>
      </c>
      <c r="O206" s="26"/>
      <c r="P206" s="26"/>
      <c r="Q206" s="23"/>
      <c r="R206" s="23">
        <f t="shared" si="22"/>
        <v>0</v>
      </c>
      <c r="S206" s="23"/>
      <c r="T206" s="23">
        <f t="shared" si="23"/>
        <v>0</v>
      </c>
      <c r="U206" s="28" t="str">
        <f t="shared" si="24"/>
        <v/>
      </c>
      <c r="V206" s="10" t="str">
        <f>IFERROR(N206*VLOOKUP(G206,FILAMENTI_DB!$A:$J,10,FALSE),"")</f>
        <v/>
      </c>
      <c r="W206" s="23" t="str">
        <f>IFERROR((VLOOKUP(F206,STAMPANTI_DB!$A:$C,3,FALSE)/1000)*O206*SETTINGS!$C$6,"")</f>
        <v/>
      </c>
      <c r="X206" s="23" t="str">
        <f>IFERROR(O206*VLOOKUP(F206,STAMPANTI_DB!$A:$I,9,FALSE),"")</f>
        <v/>
      </c>
      <c r="Y206" s="23">
        <f>IFERROR(P206*SETTINGS!$C$7,"")</f>
        <v>0</v>
      </c>
      <c r="Z206" s="23">
        <f>SETTINGS!$C$11</f>
        <v>0.5</v>
      </c>
      <c r="AA206" s="23">
        <f t="shared" si="25"/>
        <v>0.5</v>
      </c>
      <c r="AB206" s="23">
        <f>IFERROR(AA206*SETTINGS!$C$9,"")</f>
        <v>2.5000000000000001E-2</v>
      </c>
      <c r="AC206" s="23">
        <f>IFERROR((AA206+AB206)*SETTINGS!$C$10,"")</f>
        <v>2.6250000000000002E-2</v>
      </c>
    </row>
    <row r="207" spans="1:30" ht="16" x14ac:dyDescent="0.2">
      <c r="A207" s="25"/>
      <c r="H207" t="str">
        <f>IFERROR(VLOOKUP(G207,FILAMENTI_DB!$A:$C,3,FALSE),"")</f>
        <v/>
      </c>
      <c r="I207" t="str">
        <f>IFERROR(VLOOKUP(G207,FILAMENTI_DB!$A:$E,4,FALSE),"")</f>
        <v/>
      </c>
      <c r="J207" s="26"/>
      <c r="K207" s="27"/>
      <c r="L207" s="27"/>
      <c r="M207" s="27">
        <f t="shared" si="20"/>
        <v>0</v>
      </c>
      <c r="N207" s="26">
        <f t="shared" si="21"/>
        <v>0</v>
      </c>
      <c r="O207" s="26"/>
      <c r="P207" s="26"/>
      <c r="Q207" s="23"/>
      <c r="R207" s="23">
        <f t="shared" si="22"/>
        <v>0</v>
      </c>
      <c r="S207" s="23"/>
      <c r="T207" s="23">
        <f t="shared" si="23"/>
        <v>0</v>
      </c>
      <c r="U207" s="28" t="str">
        <f t="shared" si="24"/>
        <v/>
      </c>
      <c r="V207" s="10" t="str">
        <f>IFERROR(N207*VLOOKUP(G207,FILAMENTI_DB!$A:$J,10,FALSE),"")</f>
        <v/>
      </c>
      <c r="W207" s="23" t="str">
        <f>IFERROR((VLOOKUP(F207,STAMPANTI_DB!$A:$C,3,FALSE)/1000)*O207*SETTINGS!$C$6,"")</f>
        <v/>
      </c>
      <c r="X207" s="23" t="str">
        <f>IFERROR(O207*VLOOKUP(F207,STAMPANTI_DB!$A:$I,9,FALSE),"")</f>
        <v/>
      </c>
      <c r="Y207" s="23">
        <f>IFERROR(P207*SETTINGS!$C$7,"")</f>
        <v>0</v>
      </c>
      <c r="Z207" s="23">
        <f>SETTINGS!$C$11</f>
        <v>0.5</v>
      </c>
      <c r="AA207" s="23">
        <f t="shared" si="25"/>
        <v>0.5</v>
      </c>
      <c r="AB207" s="23">
        <f>IFERROR(AA207*SETTINGS!$C$9,"")</f>
        <v>2.5000000000000001E-2</v>
      </c>
      <c r="AC207" s="23">
        <f>IFERROR((AA207+AB207)*SETTINGS!$C$10,"")</f>
        <v>2.6250000000000002E-2</v>
      </c>
    </row>
    <row r="208" spans="1:30" ht="16" x14ac:dyDescent="0.2">
      <c r="A208" s="25"/>
      <c r="H208" t="str">
        <f>IFERROR(VLOOKUP(G208,FILAMENTI_DB!$A:$C,3,FALSE),"")</f>
        <v/>
      </c>
      <c r="I208" t="str">
        <f>IFERROR(VLOOKUP(G208,FILAMENTI_DB!$A:$E,4,FALSE),"")</f>
        <v/>
      </c>
      <c r="J208" s="26"/>
      <c r="K208" s="27"/>
      <c r="L208" s="27"/>
      <c r="M208" s="27">
        <f t="shared" si="20"/>
        <v>0</v>
      </c>
      <c r="N208" s="26">
        <f t="shared" si="21"/>
        <v>0</v>
      </c>
      <c r="O208" s="26"/>
      <c r="P208" s="26"/>
      <c r="Q208" s="23"/>
      <c r="R208" s="23">
        <f t="shared" si="22"/>
        <v>0</v>
      </c>
      <c r="S208" s="23"/>
      <c r="T208" s="23">
        <f t="shared" si="23"/>
        <v>0</v>
      </c>
      <c r="U208" s="28" t="str">
        <f t="shared" si="24"/>
        <v/>
      </c>
      <c r="V208" s="10" t="str">
        <f>IFERROR(N208*VLOOKUP(G208,FILAMENTI_DB!$A:$J,10,FALSE),"")</f>
        <v/>
      </c>
      <c r="W208" s="23" t="str">
        <f>IFERROR((VLOOKUP(F208,STAMPANTI_DB!$A:$C,3,FALSE)/1000)*O208*SETTINGS!$C$6,"")</f>
        <v/>
      </c>
      <c r="X208" s="23" t="str">
        <f>IFERROR(O208*VLOOKUP(F208,STAMPANTI_DB!$A:$I,9,FALSE),"")</f>
        <v/>
      </c>
      <c r="Y208" s="23">
        <f>IFERROR(P208*SETTINGS!$C$7,"")</f>
        <v>0</v>
      </c>
      <c r="Z208" s="23">
        <f>SETTINGS!$C$11</f>
        <v>0.5</v>
      </c>
      <c r="AA208" s="23">
        <f t="shared" si="25"/>
        <v>0.5</v>
      </c>
      <c r="AB208" s="23">
        <f>IFERROR(AA208*SETTINGS!$C$9,"")</f>
        <v>2.5000000000000001E-2</v>
      </c>
      <c r="AC208" s="23">
        <f>IFERROR((AA208+AB208)*SETTINGS!$C$10,"")</f>
        <v>2.6250000000000002E-2</v>
      </c>
    </row>
    <row r="209" spans="1:29" ht="16" x14ac:dyDescent="0.2">
      <c r="A209" s="25"/>
      <c r="H209" t="str">
        <f>IFERROR(VLOOKUP(G209,FILAMENTI_DB!$A:$C,3,FALSE),"")</f>
        <v/>
      </c>
      <c r="I209" t="str">
        <f>IFERROR(VLOOKUP(G209,FILAMENTI_DB!$A:$E,4,FALSE),"")</f>
        <v/>
      </c>
      <c r="J209" s="26"/>
      <c r="K209" s="27"/>
      <c r="L209" s="27"/>
      <c r="M209" s="27">
        <f t="shared" si="20"/>
        <v>0</v>
      </c>
      <c r="N209" s="26">
        <f t="shared" si="21"/>
        <v>0</v>
      </c>
      <c r="O209" s="26"/>
      <c r="P209" s="26"/>
      <c r="Q209" s="23"/>
      <c r="R209" s="23">
        <f t="shared" si="22"/>
        <v>0</v>
      </c>
      <c r="S209" s="23"/>
      <c r="T209" s="23">
        <f t="shared" si="23"/>
        <v>0</v>
      </c>
      <c r="U209" s="28" t="str">
        <f t="shared" si="24"/>
        <v/>
      </c>
      <c r="V209" s="10" t="str">
        <f>IFERROR(N209*VLOOKUP(G209,FILAMENTI_DB!$A:$J,10,FALSE),"")</f>
        <v/>
      </c>
      <c r="W209" s="23" t="str">
        <f>IFERROR((VLOOKUP(F209,STAMPANTI_DB!$A:$C,3,FALSE)/1000)*O209*SETTINGS!$C$6,"")</f>
        <v/>
      </c>
      <c r="X209" s="23" t="str">
        <f>IFERROR(O209*VLOOKUP(F209,STAMPANTI_DB!$A:$I,9,FALSE),"")</f>
        <v/>
      </c>
      <c r="Y209" s="23">
        <f>IFERROR(P209*SETTINGS!$C$7,"")</f>
        <v>0</v>
      </c>
      <c r="Z209" s="23">
        <f>SETTINGS!$C$11</f>
        <v>0.5</v>
      </c>
      <c r="AA209" s="23">
        <f t="shared" si="25"/>
        <v>0.5</v>
      </c>
      <c r="AB209" s="23">
        <f>IFERROR(AA209*SETTINGS!$C$9,"")</f>
        <v>2.5000000000000001E-2</v>
      </c>
      <c r="AC209" s="23">
        <f>IFERROR((AA209+AB209)*SETTINGS!$C$10,"")</f>
        <v>2.6250000000000002E-2</v>
      </c>
    </row>
    <row r="210" spans="1:29" ht="16" x14ac:dyDescent="0.2">
      <c r="A210" s="25"/>
      <c r="H210" t="str">
        <f>IFERROR(VLOOKUP(G210,FILAMENTI_DB!$A:$C,3,FALSE),"")</f>
        <v/>
      </c>
      <c r="I210" t="str">
        <f>IFERROR(VLOOKUP(G210,FILAMENTI_DB!$A:$E,4,FALSE),"")</f>
        <v/>
      </c>
      <c r="J210" s="26"/>
      <c r="K210" s="27"/>
      <c r="L210" s="27"/>
      <c r="M210" s="27">
        <f t="shared" si="20"/>
        <v>0</v>
      </c>
      <c r="N210" s="26">
        <f t="shared" si="21"/>
        <v>0</v>
      </c>
      <c r="O210" s="26"/>
      <c r="P210" s="26"/>
      <c r="Q210" s="23"/>
      <c r="R210" s="23">
        <f t="shared" si="22"/>
        <v>0</v>
      </c>
      <c r="S210" s="23"/>
      <c r="T210" s="23">
        <f t="shared" si="23"/>
        <v>0</v>
      </c>
      <c r="U210" s="28" t="str">
        <f t="shared" si="24"/>
        <v/>
      </c>
      <c r="V210" s="10" t="str">
        <f>IFERROR(N210*VLOOKUP(G210,FILAMENTI_DB!$A:$J,10,FALSE),"")</f>
        <v/>
      </c>
      <c r="W210" s="23" t="str">
        <f>IFERROR((VLOOKUP(F210,STAMPANTI_DB!$A:$C,3,FALSE)/1000)*O210*SETTINGS!$C$6,"")</f>
        <v/>
      </c>
      <c r="X210" s="23" t="str">
        <f>IFERROR(O210*VLOOKUP(F210,STAMPANTI_DB!$A:$I,9,FALSE),"")</f>
        <v/>
      </c>
      <c r="Y210" s="23">
        <f>IFERROR(P210*SETTINGS!$C$7,"")</f>
        <v>0</v>
      </c>
      <c r="Z210" s="23">
        <f>SETTINGS!$C$11</f>
        <v>0.5</v>
      </c>
      <c r="AA210" s="23">
        <f t="shared" si="25"/>
        <v>0.5</v>
      </c>
      <c r="AB210" s="23">
        <f>IFERROR(AA210*SETTINGS!$C$9,"")</f>
        <v>2.5000000000000001E-2</v>
      </c>
      <c r="AC210" s="23">
        <f>IFERROR((AA210+AB210)*SETTINGS!$C$10,"")</f>
        <v>2.6250000000000002E-2</v>
      </c>
    </row>
    <row r="211" spans="1:29" ht="16" x14ac:dyDescent="0.2">
      <c r="A211" s="25"/>
      <c r="H211" t="str">
        <f>IFERROR(VLOOKUP(G211,FILAMENTI_DB!$A:$C,3,FALSE),"")</f>
        <v/>
      </c>
      <c r="I211" t="str">
        <f>IFERROR(VLOOKUP(G211,FILAMENTI_DB!$A:$E,4,FALSE),"")</f>
        <v/>
      </c>
      <c r="J211" s="26"/>
      <c r="K211" s="27"/>
      <c r="L211" s="27"/>
      <c r="M211" s="27">
        <f t="shared" si="20"/>
        <v>0</v>
      </c>
      <c r="N211" s="26">
        <f t="shared" si="21"/>
        <v>0</v>
      </c>
      <c r="O211" s="26"/>
      <c r="P211" s="26"/>
      <c r="Q211" s="23"/>
      <c r="R211" s="23">
        <f t="shared" si="22"/>
        <v>0</v>
      </c>
      <c r="S211" s="23"/>
      <c r="T211" s="23">
        <f t="shared" si="23"/>
        <v>0</v>
      </c>
      <c r="U211" s="28" t="str">
        <f t="shared" si="24"/>
        <v/>
      </c>
      <c r="V211" s="10" t="str">
        <f>IFERROR(N211*VLOOKUP(G211,FILAMENTI_DB!$A:$J,10,FALSE),"")</f>
        <v/>
      </c>
      <c r="W211" s="23" t="str">
        <f>IFERROR((VLOOKUP(F211,STAMPANTI_DB!$A:$C,3,FALSE)/1000)*O211*SETTINGS!$C$6,"")</f>
        <v/>
      </c>
      <c r="X211" s="23" t="str">
        <f>IFERROR(O211*VLOOKUP(F211,STAMPANTI_DB!$A:$I,9,FALSE),"")</f>
        <v/>
      </c>
      <c r="Y211" s="23">
        <f>IFERROR(P211*SETTINGS!$C$7,"")</f>
        <v>0</v>
      </c>
      <c r="Z211" s="23">
        <f>SETTINGS!$C$11</f>
        <v>0.5</v>
      </c>
      <c r="AA211" s="23">
        <f t="shared" si="25"/>
        <v>0.5</v>
      </c>
      <c r="AB211" s="23">
        <f>IFERROR(AA211*SETTINGS!$C$9,"")</f>
        <v>2.5000000000000001E-2</v>
      </c>
      <c r="AC211" s="23">
        <f>IFERROR((AA211+AB211)*SETTINGS!$C$10,"")</f>
        <v>2.6250000000000002E-2</v>
      </c>
    </row>
    <row r="212" spans="1:29" ht="16" x14ac:dyDescent="0.2">
      <c r="A212" s="25"/>
      <c r="H212" t="str">
        <f>IFERROR(VLOOKUP(G212,FILAMENTI_DB!$A:$C,3,FALSE),"")</f>
        <v/>
      </c>
      <c r="I212" t="str">
        <f>IFERROR(VLOOKUP(G212,FILAMENTI_DB!$A:$E,4,FALSE),"")</f>
        <v/>
      </c>
      <c r="J212" s="26"/>
      <c r="K212" s="27"/>
      <c r="L212" s="27"/>
      <c r="M212" s="27">
        <f t="shared" si="20"/>
        <v>0</v>
      </c>
      <c r="N212" s="26">
        <f t="shared" si="21"/>
        <v>0</v>
      </c>
      <c r="O212" s="26"/>
      <c r="P212" s="26"/>
      <c r="Q212" s="23"/>
      <c r="R212" s="23">
        <f t="shared" si="22"/>
        <v>0</v>
      </c>
      <c r="S212" s="23"/>
      <c r="T212" s="23">
        <f t="shared" si="23"/>
        <v>0</v>
      </c>
      <c r="U212" s="28" t="str">
        <f t="shared" si="24"/>
        <v/>
      </c>
      <c r="V212" s="10" t="str">
        <f>IFERROR(N212*VLOOKUP(G212,FILAMENTI_DB!$A:$J,10,FALSE),"")</f>
        <v/>
      </c>
      <c r="W212" s="23" t="str">
        <f>IFERROR((VLOOKUP(F212,STAMPANTI_DB!$A:$C,3,FALSE)/1000)*O212*SETTINGS!$C$6,"")</f>
        <v/>
      </c>
      <c r="X212" s="23" t="str">
        <f>IFERROR(O212*VLOOKUP(F212,STAMPANTI_DB!$A:$I,9,FALSE),"")</f>
        <v/>
      </c>
      <c r="Y212" s="23">
        <f>IFERROR(P212*SETTINGS!$C$7,"")</f>
        <v>0</v>
      </c>
      <c r="Z212" s="23">
        <f>SETTINGS!$C$11</f>
        <v>0.5</v>
      </c>
      <c r="AA212" s="23">
        <f t="shared" si="25"/>
        <v>0.5</v>
      </c>
      <c r="AB212" s="23">
        <f>IFERROR(AA212*SETTINGS!$C$9,"")</f>
        <v>2.5000000000000001E-2</v>
      </c>
      <c r="AC212" s="23">
        <f>IFERROR((AA212+AB212)*SETTINGS!$C$10,"")</f>
        <v>2.6250000000000002E-2</v>
      </c>
    </row>
    <row r="213" spans="1:29" ht="16" x14ac:dyDescent="0.2">
      <c r="A213" s="25"/>
      <c r="H213" t="str">
        <f>IFERROR(VLOOKUP(G213,FILAMENTI_DB!$A:$C,3,FALSE),"")</f>
        <v/>
      </c>
      <c r="I213" t="str">
        <f>IFERROR(VLOOKUP(G213,FILAMENTI_DB!$A:$E,4,FALSE),"")</f>
        <v/>
      </c>
      <c r="J213" s="26"/>
      <c r="K213" s="27"/>
      <c r="L213" s="27"/>
      <c r="M213" s="27">
        <f t="shared" si="20"/>
        <v>0</v>
      </c>
      <c r="N213" s="26">
        <f t="shared" si="21"/>
        <v>0</v>
      </c>
      <c r="O213" s="26"/>
      <c r="P213" s="26"/>
      <c r="Q213" s="23"/>
      <c r="R213" s="23">
        <f t="shared" si="22"/>
        <v>0</v>
      </c>
      <c r="S213" s="23"/>
      <c r="T213" s="23">
        <f t="shared" si="23"/>
        <v>0</v>
      </c>
      <c r="U213" s="28" t="str">
        <f t="shared" si="24"/>
        <v/>
      </c>
      <c r="V213" s="10" t="str">
        <f>IFERROR(N213*VLOOKUP(G213,FILAMENTI_DB!$A:$J,10,FALSE),"")</f>
        <v/>
      </c>
      <c r="W213" s="23" t="str">
        <f>IFERROR((VLOOKUP(F213,STAMPANTI_DB!$A:$C,3,FALSE)/1000)*O213*SETTINGS!$C$6,"")</f>
        <v/>
      </c>
      <c r="X213" s="23" t="str">
        <f>IFERROR(O213*VLOOKUP(F213,STAMPANTI_DB!$A:$I,9,FALSE),"")</f>
        <v/>
      </c>
      <c r="Y213" s="23">
        <f>IFERROR(P213*SETTINGS!$C$7,"")</f>
        <v>0</v>
      </c>
      <c r="Z213" s="23">
        <f>SETTINGS!$C$11</f>
        <v>0.5</v>
      </c>
      <c r="AA213" s="23">
        <f t="shared" si="25"/>
        <v>0.5</v>
      </c>
      <c r="AB213" s="23">
        <f>IFERROR(AA213*SETTINGS!$C$9,"")</f>
        <v>2.5000000000000001E-2</v>
      </c>
      <c r="AC213" s="23">
        <f>IFERROR((AA213+AB213)*SETTINGS!$C$10,"")</f>
        <v>2.6250000000000002E-2</v>
      </c>
    </row>
    <row r="214" spans="1:29" ht="16" x14ac:dyDescent="0.2">
      <c r="A214" s="25"/>
      <c r="H214" t="str">
        <f>IFERROR(VLOOKUP(G214,FILAMENTI_DB!$A:$C,3,FALSE),"")</f>
        <v/>
      </c>
      <c r="I214" t="str">
        <f>IFERROR(VLOOKUP(G214,FILAMENTI_DB!$A:$E,4,FALSE),"")</f>
        <v/>
      </c>
      <c r="J214" s="26"/>
      <c r="K214" s="27"/>
      <c r="L214" s="27"/>
      <c r="M214" s="27">
        <f t="shared" si="20"/>
        <v>0</v>
      </c>
      <c r="N214" s="26">
        <f t="shared" si="21"/>
        <v>0</v>
      </c>
      <c r="O214" s="26"/>
      <c r="P214" s="26"/>
      <c r="Q214" s="23"/>
      <c r="R214" s="23">
        <f t="shared" si="22"/>
        <v>0</v>
      </c>
      <c r="S214" s="23"/>
      <c r="T214" s="23">
        <f t="shared" si="23"/>
        <v>0</v>
      </c>
      <c r="U214" s="28" t="str">
        <f t="shared" si="24"/>
        <v/>
      </c>
      <c r="V214" s="10" t="str">
        <f>IFERROR(N214*VLOOKUP(G214,FILAMENTI_DB!$A:$J,10,FALSE),"")</f>
        <v/>
      </c>
      <c r="W214" s="23" t="str">
        <f>IFERROR((VLOOKUP(F214,STAMPANTI_DB!$A:$C,3,FALSE)/1000)*O214*SETTINGS!$C$6,"")</f>
        <v/>
      </c>
      <c r="X214" s="23" t="str">
        <f>IFERROR(O214*VLOOKUP(F214,STAMPANTI_DB!$A:$I,9,FALSE),"")</f>
        <v/>
      </c>
      <c r="Y214" s="23">
        <f>IFERROR(P214*SETTINGS!$C$7,"")</f>
        <v>0</v>
      </c>
      <c r="Z214" s="23">
        <f>SETTINGS!$C$11</f>
        <v>0.5</v>
      </c>
      <c r="AA214" s="23">
        <f t="shared" si="25"/>
        <v>0.5</v>
      </c>
      <c r="AB214" s="23">
        <f>IFERROR(AA214*SETTINGS!$C$9,"")</f>
        <v>2.5000000000000001E-2</v>
      </c>
      <c r="AC214" s="23">
        <f>IFERROR((AA214+AB214)*SETTINGS!$C$10,"")</f>
        <v>2.6250000000000002E-2</v>
      </c>
    </row>
    <row r="215" spans="1:29" ht="16" x14ac:dyDescent="0.2">
      <c r="A215" s="25"/>
      <c r="H215" t="str">
        <f>IFERROR(VLOOKUP(G215,FILAMENTI_DB!$A:$C,3,FALSE),"")</f>
        <v/>
      </c>
      <c r="I215" t="str">
        <f>IFERROR(VLOOKUP(G215,FILAMENTI_DB!$A:$E,4,FALSE),"")</f>
        <v/>
      </c>
      <c r="J215" s="26"/>
      <c r="K215" s="27"/>
      <c r="L215" s="27"/>
      <c r="M215" s="27">
        <f t="shared" si="20"/>
        <v>0</v>
      </c>
      <c r="N215" s="26">
        <f t="shared" si="21"/>
        <v>0</v>
      </c>
      <c r="O215" s="26"/>
      <c r="P215" s="26"/>
      <c r="Q215" s="23"/>
      <c r="R215" s="23">
        <f t="shared" si="22"/>
        <v>0</v>
      </c>
      <c r="S215" s="23"/>
      <c r="T215" s="23">
        <f t="shared" si="23"/>
        <v>0</v>
      </c>
      <c r="U215" s="28" t="str">
        <f t="shared" si="24"/>
        <v/>
      </c>
      <c r="V215" s="10" t="str">
        <f>IFERROR(N215*VLOOKUP(G215,FILAMENTI_DB!$A:$J,10,FALSE),"")</f>
        <v/>
      </c>
      <c r="W215" s="23" t="str">
        <f>IFERROR((VLOOKUP(F215,STAMPANTI_DB!$A:$C,3,FALSE)/1000)*O215*SETTINGS!$C$6,"")</f>
        <v/>
      </c>
      <c r="X215" s="23" t="str">
        <f>IFERROR(O215*VLOOKUP(F215,STAMPANTI_DB!$A:$I,9,FALSE),"")</f>
        <v/>
      </c>
      <c r="Y215" s="23">
        <f>IFERROR(P215*SETTINGS!$C$7,"")</f>
        <v>0</v>
      </c>
      <c r="Z215" s="23">
        <f>SETTINGS!$C$11</f>
        <v>0.5</v>
      </c>
      <c r="AA215" s="23">
        <f t="shared" si="25"/>
        <v>0.5</v>
      </c>
      <c r="AB215" s="23">
        <f>IFERROR(AA215*SETTINGS!$C$9,"")</f>
        <v>2.5000000000000001E-2</v>
      </c>
      <c r="AC215" s="23">
        <f>IFERROR((AA215+AB215)*SETTINGS!$C$10,"")</f>
        <v>2.6250000000000002E-2</v>
      </c>
    </row>
    <row r="216" spans="1:29" ht="16" x14ac:dyDescent="0.2">
      <c r="A216" s="25"/>
      <c r="H216" t="str">
        <f>IFERROR(VLOOKUP(G216,FILAMENTI_DB!$A:$C,3,FALSE),"")</f>
        <v/>
      </c>
      <c r="I216" t="str">
        <f>IFERROR(VLOOKUP(G216,FILAMENTI_DB!$A:$E,4,FALSE),"")</f>
        <v/>
      </c>
      <c r="J216" s="26"/>
      <c r="K216" s="27"/>
      <c r="L216" s="27"/>
      <c r="M216" s="27">
        <f t="shared" si="20"/>
        <v>0</v>
      </c>
      <c r="N216" s="26">
        <f t="shared" si="21"/>
        <v>0</v>
      </c>
      <c r="O216" s="26"/>
      <c r="P216" s="26"/>
      <c r="Q216" s="23"/>
      <c r="R216" s="23">
        <f t="shared" si="22"/>
        <v>0</v>
      </c>
      <c r="S216" s="23"/>
      <c r="T216" s="23">
        <f t="shared" si="23"/>
        <v>0</v>
      </c>
      <c r="U216" s="28" t="str">
        <f t="shared" si="24"/>
        <v/>
      </c>
      <c r="V216" s="10" t="str">
        <f>IFERROR(N216*VLOOKUP(G216,FILAMENTI_DB!$A:$J,10,FALSE),"")</f>
        <v/>
      </c>
      <c r="W216" s="23" t="str">
        <f>IFERROR((VLOOKUP(F216,STAMPANTI_DB!$A:$C,3,FALSE)/1000)*O216*SETTINGS!$C$6,"")</f>
        <v/>
      </c>
      <c r="X216" s="23" t="str">
        <f>IFERROR(O216*VLOOKUP(F216,STAMPANTI_DB!$A:$I,9,FALSE),"")</f>
        <v/>
      </c>
      <c r="Y216" s="23">
        <f>IFERROR(P216*SETTINGS!$C$7,"")</f>
        <v>0</v>
      </c>
      <c r="Z216" s="23">
        <f>SETTINGS!$C$11</f>
        <v>0.5</v>
      </c>
      <c r="AA216" s="23">
        <f t="shared" si="25"/>
        <v>0.5</v>
      </c>
      <c r="AB216" s="23">
        <f>IFERROR(AA216*SETTINGS!$C$9,"")</f>
        <v>2.5000000000000001E-2</v>
      </c>
      <c r="AC216" s="23">
        <f>IFERROR((AA216+AB216)*SETTINGS!$C$10,"")</f>
        <v>2.6250000000000002E-2</v>
      </c>
    </row>
    <row r="217" spans="1:29" ht="16" x14ac:dyDescent="0.2">
      <c r="A217" s="25"/>
      <c r="H217" t="str">
        <f>IFERROR(VLOOKUP(G217,FILAMENTI_DB!$A:$C,3,FALSE),"")</f>
        <v/>
      </c>
      <c r="I217" t="str">
        <f>IFERROR(VLOOKUP(G217,FILAMENTI_DB!$A:$E,4,FALSE),"")</f>
        <v/>
      </c>
      <c r="J217" s="26"/>
      <c r="K217" s="27"/>
      <c r="L217" s="27"/>
      <c r="M217" s="27">
        <f t="shared" si="20"/>
        <v>0</v>
      </c>
      <c r="N217" s="26">
        <f t="shared" si="21"/>
        <v>0</v>
      </c>
      <c r="O217" s="26"/>
      <c r="P217" s="26"/>
      <c r="Q217" s="23"/>
      <c r="R217" s="23">
        <f t="shared" si="22"/>
        <v>0</v>
      </c>
      <c r="S217" s="23"/>
      <c r="T217" s="23">
        <f t="shared" si="23"/>
        <v>0</v>
      </c>
      <c r="U217" s="28" t="str">
        <f t="shared" si="24"/>
        <v/>
      </c>
      <c r="V217" s="10" t="str">
        <f>IFERROR(N217*VLOOKUP(G217,FILAMENTI_DB!$A:$J,10,FALSE),"")</f>
        <v/>
      </c>
      <c r="W217" s="23" t="str">
        <f>IFERROR((VLOOKUP(F217,STAMPANTI_DB!$A:$C,3,FALSE)/1000)*O217*SETTINGS!$C$6,"")</f>
        <v/>
      </c>
      <c r="X217" s="23" t="str">
        <f>IFERROR(O217*VLOOKUP(F217,STAMPANTI_DB!$A:$I,9,FALSE),"")</f>
        <v/>
      </c>
      <c r="Y217" s="23">
        <f>IFERROR(P217*SETTINGS!$C$7,"")</f>
        <v>0</v>
      </c>
      <c r="Z217" s="23">
        <f>SETTINGS!$C$11</f>
        <v>0.5</v>
      </c>
      <c r="AA217" s="23">
        <f t="shared" si="25"/>
        <v>0.5</v>
      </c>
      <c r="AB217" s="23">
        <f>IFERROR(AA217*SETTINGS!$C$9,"")</f>
        <v>2.5000000000000001E-2</v>
      </c>
      <c r="AC217" s="23">
        <f>IFERROR((AA217+AB217)*SETTINGS!$C$10,"")</f>
        <v>2.6250000000000002E-2</v>
      </c>
    </row>
    <row r="218" spans="1:29" ht="16" x14ac:dyDescent="0.2">
      <c r="A218" s="25"/>
      <c r="H218" t="str">
        <f>IFERROR(VLOOKUP(G218,FILAMENTI_DB!$A:$C,3,FALSE),"")</f>
        <v/>
      </c>
      <c r="I218" t="str">
        <f>IFERROR(VLOOKUP(G218,FILAMENTI_DB!$A:$E,4,FALSE),"")</f>
        <v/>
      </c>
      <c r="J218" s="26"/>
      <c r="K218" s="27"/>
      <c r="L218" s="27"/>
      <c r="M218" s="27">
        <f t="shared" si="20"/>
        <v>0</v>
      </c>
      <c r="N218" s="26">
        <f t="shared" si="21"/>
        <v>0</v>
      </c>
      <c r="O218" s="26"/>
      <c r="P218" s="26"/>
      <c r="Q218" s="23"/>
      <c r="R218" s="23">
        <f t="shared" si="22"/>
        <v>0</v>
      </c>
      <c r="S218" s="23"/>
      <c r="T218" s="23">
        <f t="shared" si="23"/>
        <v>0</v>
      </c>
      <c r="U218" s="28" t="str">
        <f t="shared" si="24"/>
        <v/>
      </c>
      <c r="V218" s="10" t="str">
        <f>IFERROR(N218*VLOOKUP(G218,FILAMENTI_DB!$A:$J,10,FALSE),"")</f>
        <v/>
      </c>
      <c r="W218" s="23" t="str">
        <f>IFERROR((VLOOKUP(F218,STAMPANTI_DB!$A:$C,3,FALSE)/1000)*O218*SETTINGS!$C$6,"")</f>
        <v/>
      </c>
      <c r="X218" s="23" t="str">
        <f>IFERROR(O218*VLOOKUP(F218,STAMPANTI_DB!$A:$I,9,FALSE),"")</f>
        <v/>
      </c>
      <c r="Y218" s="23">
        <f>IFERROR(P218*SETTINGS!$C$7,"")</f>
        <v>0</v>
      </c>
      <c r="Z218" s="23">
        <f>SETTINGS!$C$11</f>
        <v>0.5</v>
      </c>
      <c r="AA218" s="23">
        <f t="shared" si="25"/>
        <v>0.5</v>
      </c>
      <c r="AB218" s="23">
        <f>IFERROR(AA218*SETTINGS!$C$9,"")</f>
        <v>2.5000000000000001E-2</v>
      </c>
      <c r="AC218" s="23">
        <f>IFERROR((AA218+AB218)*SETTINGS!$C$10,"")</f>
        <v>2.6250000000000002E-2</v>
      </c>
    </row>
    <row r="219" spans="1:29" ht="16" x14ac:dyDescent="0.2">
      <c r="A219" s="25"/>
      <c r="H219" t="str">
        <f>IFERROR(VLOOKUP(G219,FILAMENTI_DB!$A:$C,3,FALSE),"")</f>
        <v/>
      </c>
      <c r="I219" t="str">
        <f>IFERROR(VLOOKUP(G219,FILAMENTI_DB!$A:$E,4,FALSE),"")</f>
        <v/>
      </c>
      <c r="J219" s="26"/>
      <c r="K219" s="27"/>
      <c r="L219" s="27"/>
      <c r="M219" s="27">
        <f t="shared" si="20"/>
        <v>0</v>
      </c>
      <c r="N219" s="26">
        <f t="shared" si="21"/>
        <v>0</v>
      </c>
      <c r="O219" s="26"/>
      <c r="P219" s="26"/>
      <c r="Q219" s="23"/>
      <c r="R219" s="23">
        <f t="shared" si="22"/>
        <v>0</v>
      </c>
      <c r="S219" s="23"/>
      <c r="T219" s="23">
        <f t="shared" si="23"/>
        <v>0</v>
      </c>
      <c r="U219" s="28" t="str">
        <f t="shared" si="24"/>
        <v/>
      </c>
      <c r="V219" s="10" t="str">
        <f>IFERROR(N219*VLOOKUP(G219,FILAMENTI_DB!$A:$J,10,FALSE),"")</f>
        <v/>
      </c>
      <c r="W219" s="23" t="str">
        <f>IFERROR((VLOOKUP(F219,STAMPANTI_DB!$A:$C,3,FALSE)/1000)*O219*SETTINGS!$C$6,"")</f>
        <v/>
      </c>
      <c r="X219" s="23" t="str">
        <f>IFERROR(O219*VLOOKUP(F219,STAMPANTI_DB!$A:$I,9,FALSE),"")</f>
        <v/>
      </c>
      <c r="Y219" s="23">
        <f>IFERROR(P219*SETTINGS!$C$7,"")</f>
        <v>0</v>
      </c>
      <c r="Z219" s="23">
        <f>SETTINGS!$C$11</f>
        <v>0.5</v>
      </c>
      <c r="AA219" s="23">
        <f t="shared" si="25"/>
        <v>0.5</v>
      </c>
      <c r="AB219" s="23">
        <f>IFERROR(AA219*SETTINGS!$C$9,"")</f>
        <v>2.5000000000000001E-2</v>
      </c>
      <c r="AC219" s="23">
        <f>IFERROR((AA219+AB219)*SETTINGS!$C$10,"")</f>
        <v>2.6250000000000002E-2</v>
      </c>
    </row>
    <row r="220" spans="1:29" ht="16" x14ac:dyDescent="0.2">
      <c r="A220" s="25"/>
      <c r="H220" t="str">
        <f>IFERROR(VLOOKUP(G220,FILAMENTI_DB!$A:$C,3,FALSE),"")</f>
        <v/>
      </c>
      <c r="I220" t="str">
        <f>IFERROR(VLOOKUP(G220,FILAMENTI_DB!$A:$E,4,FALSE),"")</f>
        <v/>
      </c>
      <c r="J220" s="26"/>
      <c r="K220" s="27"/>
      <c r="L220" s="27"/>
      <c r="M220" s="27">
        <f t="shared" si="20"/>
        <v>0</v>
      </c>
      <c r="N220" s="26">
        <f t="shared" si="21"/>
        <v>0</v>
      </c>
      <c r="O220" s="26"/>
      <c r="P220" s="26"/>
      <c r="Q220" s="23"/>
      <c r="R220" s="23">
        <f t="shared" si="22"/>
        <v>0</v>
      </c>
      <c r="S220" s="23"/>
      <c r="T220" s="23">
        <f t="shared" si="23"/>
        <v>0</v>
      </c>
      <c r="U220" s="28" t="str">
        <f t="shared" si="24"/>
        <v/>
      </c>
      <c r="V220" s="10" t="str">
        <f>IFERROR(N220*VLOOKUP(G220,FILAMENTI_DB!$A:$J,10,FALSE),"")</f>
        <v/>
      </c>
      <c r="W220" s="23" t="str">
        <f>IFERROR((VLOOKUP(F220,STAMPANTI_DB!$A:$C,3,FALSE)/1000)*O220*SETTINGS!$C$6,"")</f>
        <v/>
      </c>
      <c r="X220" s="23" t="str">
        <f>IFERROR(O220*VLOOKUP(F220,STAMPANTI_DB!$A:$I,9,FALSE),"")</f>
        <v/>
      </c>
      <c r="Y220" s="23">
        <f>IFERROR(P220*SETTINGS!$C$7,"")</f>
        <v>0</v>
      </c>
      <c r="Z220" s="23">
        <f>SETTINGS!$C$11</f>
        <v>0.5</v>
      </c>
      <c r="AA220" s="23">
        <f t="shared" si="25"/>
        <v>0.5</v>
      </c>
      <c r="AB220" s="23">
        <f>IFERROR(AA220*SETTINGS!$C$9,"")</f>
        <v>2.5000000000000001E-2</v>
      </c>
      <c r="AC220" s="23">
        <f>IFERROR((AA220+AB220)*SETTINGS!$C$10,"")</f>
        <v>2.6250000000000002E-2</v>
      </c>
    </row>
    <row r="221" spans="1:29" ht="16" x14ac:dyDescent="0.2">
      <c r="A221" s="25"/>
      <c r="H221" t="str">
        <f>IFERROR(VLOOKUP(G221,FILAMENTI_DB!$A:$C,3,FALSE),"")</f>
        <v/>
      </c>
      <c r="I221" t="str">
        <f>IFERROR(VLOOKUP(G221,FILAMENTI_DB!$A:$E,4,FALSE),"")</f>
        <v/>
      </c>
      <c r="J221" s="26"/>
      <c r="K221" s="27"/>
      <c r="L221" s="27"/>
      <c r="M221" s="27">
        <f t="shared" si="20"/>
        <v>0</v>
      </c>
      <c r="N221" s="26">
        <f t="shared" si="21"/>
        <v>0</v>
      </c>
      <c r="O221" s="26"/>
      <c r="P221" s="26"/>
      <c r="Q221" s="23"/>
      <c r="R221" s="23">
        <f t="shared" si="22"/>
        <v>0</v>
      </c>
      <c r="S221" s="23"/>
      <c r="T221" s="23">
        <f t="shared" si="23"/>
        <v>0</v>
      </c>
      <c r="U221" s="28" t="str">
        <f t="shared" si="24"/>
        <v/>
      </c>
      <c r="V221" s="10" t="str">
        <f>IFERROR(N221*VLOOKUP(G221,FILAMENTI_DB!$A:$J,10,FALSE),"")</f>
        <v/>
      </c>
      <c r="W221" s="23" t="str">
        <f>IFERROR((VLOOKUP(F221,STAMPANTI_DB!$A:$C,3,FALSE)/1000)*O221*SETTINGS!$C$6,"")</f>
        <v/>
      </c>
      <c r="X221" s="23" t="str">
        <f>IFERROR(O221*VLOOKUP(F221,STAMPANTI_DB!$A:$I,9,FALSE),"")</f>
        <v/>
      </c>
      <c r="Y221" s="23">
        <f>IFERROR(P221*SETTINGS!$C$7,"")</f>
        <v>0</v>
      </c>
      <c r="Z221" s="23">
        <f>SETTINGS!$C$11</f>
        <v>0.5</v>
      </c>
      <c r="AA221" s="23">
        <f t="shared" si="25"/>
        <v>0.5</v>
      </c>
      <c r="AB221" s="23">
        <f>IFERROR(AA221*SETTINGS!$C$9,"")</f>
        <v>2.5000000000000001E-2</v>
      </c>
      <c r="AC221" s="23">
        <f>IFERROR((AA221+AB221)*SETTINGS!$C$10,"")</f>
        <v>2.6250000000000002E-2</v>
      </c>
    </row>
    <row r="222" spans="1:29" ht="16" x14ac:dyDescent="0.2">
      <c r="A222" s="25"/>
      <c r="H222" t="str">
        <f>IFERROR(VLOOKUP(G222,FILAMENTI_DB!$A:$C,3,FALSE),"")</f>
        <v/>
      </c>
      <c r="I222" t="str">
        <f>IFERROR(VLOOKUP(G222,FILAMENTI_DB!$A:$E,4,FALSE),"")</f>
        <v/>
      </c>
      <c r="J222" s="26"/>
      <c r="K222" s="27"/>
      <c r="L222" s="27"/>
      <c r="M222" s="27">
        <f t="shared" si="20"/>
        <v>0</v>
      </c>
      <c r="N222" s="26">
        <f t="shared" si="21"/>
        <v>0</v>
      </c>
      <c r="O222" s="26"/>
      <c r="P222" s="26"/>
      <c r="Q222" s="23"/>
      <c r="R222" s="23">
        <f t="shared" si="22"/>
        <v>0</v>
      </c>
      <c r="S222" s="23"/>
      <c r="T222" s="23">
        <f t="shared" si="23"/>
        <v>0</v>
      </c>
      <c r="U222" s="28" t="str">
        <f t="shared" si="24"/>
        <v/>
      </c>
      <c r="V222" s="10" t="str">
        <f>IFERROR(N222*VLOOKUP(G222,FILAMENTI_DB!$A:$J,10,FALSE),"")</f>
        <v/>
      </c>
      <c r="W222" s="23" t="str">
        <f>IFERROR((VLOOKUP(F222,STAMPANTI_DB!$A:$C,3,FALSE)/1000)*O222*SETTINGS!$C$6,"")</f>
        <v/>
      </c>
      <c r="X222" s="23" t="str">
        <f>IFERROR(O222*VLOOKUP(F222,STAMPANTI_DB!$A:$I,9,FALSE),"")</f>
        <v/>
      </c>
      <c r="Y222" s="23">
        <f>IFERROR(P222*SETTINGS!$C$7,"")</f>
        <v>0</v>
      </c>
      <c r="Z222" s="23">
        <f>SETTINGS!$C$11</f>
        <v>0.5</v>
      </c>
      <c r="AA222" s="23">
        <f t="shared" si="25"/>
        <v>0.5</v>
      </c>
      <c r="AB222" s="23">
        <f>IFERROR(AA222*SETTINGS!$C$9,"")</f>
        <v>2.5000000000000001E-2</v>
      </c>
      <c r="AC222" s="23">
        <f>IFERROR((AA222+AB222)*SETTINGS!$C$10,"")</f>
        <v>2.6250000000000002E-2</v>
      </c>
    </row>
    <row r="223" spans="1:29" ht="16" x14ac:dyDescent="0.2">
      <c r="A223" s="25"/>
      <c r="H223" t="str">
        <f>IFERROR(VLOOKUP(G223,FILAMENTI_DB!$A:$C,3,FALSE),"")</f>
        <v/>
      </c>
      <c r="I223" t="str">
        <f>IFERROR(VLOOKUP(G223,FILAMENTI_DB!$A:$E,4,FALSE),"")</f>
        <v/>
      </c>
      <c r="J223" s="26"/>
      <c r="K223" s="27"/>
      <c r="L223" s="27"/>
      <c r="M223" s="27">
        <f t="shared" si="20"/>
        <v>0</v>
      </c>
      <c r="N223" s="26">
        <f t="shared" si="21"/>
        <v>0</v>
      </c>
      <c r="O223" s="26"/>
      <c r="P223" s="26"/>
      <c r="Q223" s="23"/>
      <c r="R223" s="23">
        <f t="shared" si="22"/>
        <v>0</v>
      </c>
      <c r="S223" s="23"/>
      <c r="T223" s="23">
        <f t="shared" si="23"/>
        <v>0</v>
      </c>
      <c r="U223" s="28" t="str">
        <f t="shared" si="24"/>
        <v/>
      </c>
      <c r="V223" s="10" t="str">
        <f>IFERROR(N223*VLOOKUP(G223,FILAMENTI_DB!$A:$J,10,FALSE),"")</f>
        <v/>
      </c>
      <c r="W223" s="23" t="str">
        <f>IFERROR((VLOOKUP(F223,STAMPANTI_DB!$A:$C,3,FALSE)/1000)*O223*SETTINGS!$C$6,"")</f>
        <v/>
      </c>
      <c r="X223" s="23" t="str">
        <f>IFERROR(O223*VLOOKUP(F223,STAMPANTI_DB!$A:$I,9,FALSE),"")</f>
        <v/>
      </c>
      <c r="Y223" s="23">
        <f>IFERROR(P223*SETTINGS!$C$7,"")</f>
        <v>0</v>
      </c>
      <c r="Z223" s="23">
        <f>SETTINGS!$C$11</f>
        <v>0.5</v>
      </c>
      <c r="AA223" s="23">
        <f t="shared" si="25"/>
        <v>0.5</v>
      </c>
      <c r="AB223" s="23">
        <f>IFERROR(AA223*SETTINGS!$C$9,"")</f>
        <v>2.5000000000000001E-2</v>
      </c>
      <c r="AC223" s="23">
        <f>IFERROR((AA223+AB223)*SETTINGS!$C$10,"")</f>
        <v>2.6250000000000002E-2</v>
      </c>
    </row>
    <row r="224" spans="1:29" ht="16" x14ac:dyDescent="0.2">
      <c r="A224" s="25"/>
      <c r="H224" t="str">
        <f>IFERROR(VLOOKUP(G224,FILAMENTI_DB!$A:$C,3,FALSE),"")</f>
        <v/>
      </c>
      <c r="I224" t="str">
        <f>IFERROR(VLOOKUP(G224,FILAMENTI_DB!$A:$E,4,FALSE),"")</f>
        <v/>
      </c>
      <c r="J224" s="26"/>
      <c r="K224" s="27"/>
      <c r="L224" s="27"/>
      <c r="M224" s="27">
        <f t="shared" si="20"/>
        <v>0</v>
      </c>
      <c r="N224" s="26">
        <f t="shared" si="21"/>
        <v>0</v>
      </c>
      <c r="O224" s="26"/>
      <c r="P224" s="26"/>
      <c r="Q224" s="23"/>
      <c r="R224" s="23">
        <f t="shared" si="22"/>
        <v>0</v>
      </c>
      <c r="S224" s="23"/>
      <c r="T224" s="23">
        <f t="shared" si="23"/>
        <v>0</v>
      </c>
      <c r="U224" s="28" t="str">
        <f t="shared" si="24"/>
        <v/>
      </c>
      <c r="V224" s="10" t="str">
        <f>IFERROR(N224*VLOOKUP(G224,FILAMENTI_DB!$A:$J,10,FALSE),"")</f>
        <v/>
      </c>
      <c r="W224" s="23" t="str">
        <f>IFERROR((VLOOKUP(F224,STAMPANTI_DB!$A:$C,3,FALSE)/1000)*O224*SETTINGS!$C$6,"")</f>
        <v/>
      </c>
      <c r="X224" s="23" t="str">
        <f>IFERROR(O224*VLOOKUP(F224,STAMPANTI_DB!$A:$I,9,FALSE),"")</f>
        <v/>
      </c>
      <c r="Y224" s="23">
        <f>IFERROR(P224*SETTINGS!$C$7,"")</f>
        <v>0</v>
      </c>
      <c r="Z224" s="23">
        <f>SETTINGS!$C$11</f>
        <v>0.5</v>
      </c>
      <c r="AA224" s="23">
        <f t="shared" si="25"/>
        <v>0.5</v>
      </c>
      <c r="AB224" s="23">
        <f>IFERROR(AA224*SETTINGS!$C$9,"")</f>
        <v>2.5000000000000001E-2</v>
      </c>
      <c r="AC224" s="23">
        <f>IFERROR((AA224+AB224)*SETTINGS!$C$10,"")</f>
        <v>2.6250000000000002E-2</v>
      </c>
    </row>
    <row r="225" spans="1:29" ht="16" x14ac:dyDescent="0.2">
      <c r="A225" s="25"/>
      <c r="H225" t="str">
        <f>IFERROR(VLOOKUP(G225,FILAMENTI_DB!$A:$C,3,FALSE),"")</f>
        <v/>
      </c>
      <c r="I225" t="str">
        <f>IFERROR(VLOOKUP(G225,FILAMENTI_DB!$A:$E,4,FALSE),"")</f>
        <v/>
      </c>
      <c r="J225" s="26"/>
      <c r="K225" s="27"/>
      <c r="L225" s="27"/>
      <c r="M225" s="27">
        <f t="shared" si="20"/>
        <v>0</v>
      </c>
      <c r="N225" s="26">
        <f t="shared" si="21"/>
        <v>0</v>
      </c>
      <c r="O225" s="26"/>
      <c r="P225" s="26"/>
      <c r="Q225" s="23"/>
      <c r="R225" s="23">
        <f t="shared" si="22"/>
        <v>0</v>
      </c>
      <c r="S225" s="23"/>
      <c r="T225" s="23">
        <f t="shared" si="23"/>
        <v>0</v>
      </c>
      <c r="U225" s="28" t="str">
        <f t="shared" si="24"/>
        <v/>
      </c>
      <c r="V225" s="10" t="str">
        <f>IFERROR(N225*VLOOKUP(G225,FILAMENTI_DB!$A:$J,10,FALSE),"")</f>
        <v/>
      </c>
      <c r="W225" s="23" t="str">
        <f>IFERROR((VLOOKUP(F225,STAMPANTI_DB!$A:$C,3,FALSE)/1000)*O225*SETTINGS!$C$6,"")</f>
        <v/>
      </c>
      <c r="X225" s="23" t="str">
        <f>IFERROR(O225*VLOOKUP(F225,STAMPANTI_DB!$A:$I,9,FALSE),"")</f>
        <v/>
      </c>
      <c r="Y225" s="23">
        <f>IFERROR(P225*SETTINGS!$C$7,"")</f>
        <v>0</v>
      </c>
      <c r="Z225" s="23">
        <f>SETTINGS!$C$11</f>
        <v>0.5</v>
      </c>
      <c r="AA225" s="23">
        <f t="shared" si="25"/>
        <v>0.5</v>
      </c>
      <c r="AB225" s="23">
        <f>IFERROR(AA225*SETTINGS!$C$9,"")</f>
        <v>2.5000000000000001E-2</v>
      </c>
      <c r="AC225" s="23">
        <f>IFERROR((AA225+AB225)*SETTINGS!$C$10,"")</f>
        <v>2.6250000000000002E-2</v>
      </c>
    </row>
    <row r="226" spans="1:29" ht="16" x14ac:dyDescent="0.2">
      <c r="A226" s="25"/>
      <c r="H226" t="str">
        <f>IFERROR(VLOOKUP(G226,FILAMENTI_DB!$A:$C,3,FALSE),"")</f>
        <v/>
      </c>
      <c r="I226" t="str">
        <f>IFERROR(VLOOKUP(G226,FILAMENTI_DB!$A:$E,4,FALSE),"")</f>
        <v/>
      </c>
      <c r="J226" s="26"/>
      <c r="K226" s="27"/>
      <c r="L226" s="27"/>
      <c r="M226" s="27">
        <f t="shared" si="20"/>
        <v>0</v>
      </c>
      <c r="N226" s="26">
        <f t="shared" si="21"/>
        <v>0</v>
      </c>
      <c r="O226" s="26"/>
      <c r="P226" s="26"/>
      <c r="Q226" s="23"/>
      <c r="R226" s="23">
        <f t="shared" si="22"/>
        <v>0</v>
      </c>
      <c r="S226" s="23"/>
      <c r="T226" s="23">
        <f t="shared" si="23"/>
        <v>0</v>
      </c>
      <c r="U226" s="28" t="str">
        <f t="shared" si="24"/>
        <v/>
      </c>
      <c r="V226" s="10" t="str">
        <f>IFERROR(N226*VLOOKUP(G226,FILAMENTI_DB!$A:$J,10,FALSE),"")</f>
        <v/>
      </c>
      <c r="W226" s="23" t="str">
        <f>IFERROR((VLOOKUP(F226,STAMPANTI_DB!$A:$C,3,FALSE)/1000)*O226*SETTINGS!$C$6,"")</f>
        <v/>
      </c>
      <c r="X226" s="23" t="str">
        <f>IFERROR(O226*VLOOKUP(F226,STAMPANTI_DB!$A:$I,9,FALSE),"")</f>
        <v/>
      </c>
      <c r="Y226" s="23">
        <f>IFERROR(P226*SETTINGS!$C$7,"")</f>
        <v>0</v>
      </c>
      <c r="Z226" s="23">
        <f>SETTINGS!$C$11</f>
        <v>0.5</v>
      </c>
      <c r="AA226" s="23">
        <f t="shared" si="25"/>
        <v>0.5</v>
      </c>
      <c r="AB226" s="23">
        <f>IFERROR(AA226*SETTINGS!$C$9,"")</f>
        <v>2.5000000000000001E-2</v>
      </c>
      <c r="AC226" s="23">
        <f>IFERROR((AA226+AB226)*SETTINGS!$C$10,"")</f>
        <v>2.6250000000000002E-2</v>
      </c>
    </row>
    <row r="227" spans="1:29" ht="16" x14ac:dyDescent="0.2">
      <c r="A227" s="25"/>
      <c r="H227" t="str">
        <f>IFERROR(VLOOKUP(G227,FILAMENTI_DB!$A:$C,3,FALSE),"")</f>
        <v/>
      </c>
      <c r="I227" t="str">
        <f>IFERROR(VLOOKUP(G227,FILAMENTI_DB!$A:$E,4,FALSE),"")</f>
        <v/>
      </c>
      <c r="J227" s="26"/>
      <c r="K227" s="27"/>
      <c r="L227" s="27"/>
      <c r="M227" s="27">
        <f t="shared" si="20"/>
        <v>0</v>
      </c>
      <c r="N227" s="26">
        <f t="shared" si="21"/>
        <v>0</v>
      </c>
      <c r="O227" s="26"/>
      <c r="P227" s="26"/>
      <c r="Q227" s="23"/>
      <c r="R227" s="23">
        <f t="shared" si="22"/>
        <v>0</v>
      </c>
      <c r="S227" s="23"/>
      <c r="T227" s="23">
        <f t="shared" si="23"/>
        <v>0</v>
      </c>
      <c r="U227" s="28" t="str">
        <f t="shared" si="24"/>
        <v/>
      </c>
      <c r="V227" s="10" t="str">
        <f>IFERROR(N227*VLOOKUP(G227,FILAMENTI_DB!$A:$J,10,FALSE),"")</f>
        <v/>
      </c>
      <c r="W227" s="23" t="str">
        <f>IFERROR((VLOOKUP(F227,STAMPANTI_DB!$A:$C,3,FALSE)/1000)*O227*SETTINGS!$C$6,"")</f>
        <v/>
      </c>
      <c r="X227" s="23" t="str">
        <f>IFERROR(O227*VLOOKUP(F227,STAMPANTI_DB!$A:$I,9,FALSE),"")</f>
        <v/>
      </c>
      <c r="Y227" s="23">
        <f>IFERROR(P227*SETTINGS!$C$7,"")</f>
        <v>0</v>
      </c>
      <c r="Z227" s="23">
        <f>SETTINGS!$C$11</f>
        <v>0.5</v>
      </c>
      <c r="AA227" s="23">
        <f t="shared" si="25"/>
        <v>0.5</v>
      </c>
      <c r="AB227" s="23">
        <f>IFERROR(AA227*SETTINGS!$C$9,"")</f>
        <v>2.5000000000000001E-2</v>
      </c>
      <c r="AC227" s="23">
        <f>IFERROR((AA227+AB227)*SETTINGS!$C$10,"")</f>
        <v>2.6250000000000002E-2</v>
      </c>
    </row>
    <row r="228" spans="1:29" ht="16" x14ac:dyDescent="0.2">
      <c r="A228" s="25"/>
      <c r="H228" t="str">
        <f>IFERROR(VLOOKUP(G228,FILAMENTI_DB!$A:$C,3,FALSE),"")</f>
        <v/>
      </c>
      <c r="I228" t="str">
        <f>IFERROR(VLOOKUP(G228,FILAMENTI_DB!$A:$E,4,FALSE),"")</f>
        <v/>
      </c>
      <c r="J228" s="26"/>
      <c r="K228" s="27"/>
      <c r="L228" s="27"/>
      <c r="M228" s="27">
        <f t="shared" si="20"/>
        <v>0</v>
      </c>
      <c r="N228" s="26">
        <f t="shared" si="21"/>
        <v>0</v>
      </c>
      <c r="O228" s="26"/>
      <c r="P228" s="26"/>
      <c r="Q228" s="23"/>
      <c r="R228" s="23">
        <f t="shared" si="22"/>
        <v>0</v>
      </c>
      <c r="S228" s="23"/>
      <c r="T228" s="23">
        <f t="shared" si="23"/>
        <v>0</v>
      </c>
      <c r="U228" s="28" t="str">
        <f t="shared" si="24"/>
        <v/>
      </c>
      <c r="V228" s="10" t="str">
        <f>IFERROR(N228*VLOOKUP(G228,FILAMENTI_DB!$A:$J,10,FALSE),"")</f>
        <v/>
      </c>
      <c r="W228" s="23" t="str">
        <f>IFERROR((VLOOKUP(F228,STAMPANTI_DB!$A:$C,3,FALSE)/1000)*O228*SETTINGS!$C$6,"")</f>
        <v/>
      </c>
      <c r="X228" s="23" t="str">
        <f>IFERROR(O228*VLOOKUP(F228,STAMPANTI_DB!$A:$I,9,FALSE),"")</f>
        <v/>
      </c>
      <c r="Y228" s="23">
        <f>IFERROR(P228*SETTINGS!$C$7,"")</f>
        <v>0</v>
      </c>
      <c r="Z228" s="23">
        <f>SETTINGS!$C$11</f>
        <v>0.5</v>
      </c>
      <c r="AA228" s="23">
        <f t="shared" si="25"/>
        <v>0.5</v>
      </c>
      <c r="AB228" s="23">
        <f>IFERROR(AA228*SETTINGS!$C$9,"")</f>
        <v>2.5000000000000001E-2</v>
      </c>
      <c r="AC228" s="23">
        <f>IFERROR((AA228+AB228)*SETTINGS!$C$10,"")</f>
        <v>2.6250000000000002E-2</v>
      </c>
    </row>
    <row r="229" spans="1:29" ht="16" x14ac:dyDescent="0.2">
      <c r="A229" s="25"/>
      <c r="H229" t="str">
        <f>IFERROR(VLOOKUP(G229,FILAMENTI_DB!$A:$C,3,FALSE),"")</f>
        <v/>
      </c>
      <c r="I229" t="str">
        <f>IFERROR(VLOOKUP(G229,FILAMENTI_DB!$A:$E,4,FALSE),"")</f>
        <v/>
      </c>
      <c r="J229" s="26"/>
      <c r="K229" s="27"/>
      <c r="L229" s="27"/>
      <c r="M229" s="27">
        <f t="shared" si="20"/>
        <v>0</v>
      </c>
      <c r="N229" s="26">
        <f t="shared" si="21"/>
        <v>0</v>
      </c>
      <c r="O229" s="26"/>
      <c r="P229" s="26"/>
      <c r="Q229" s="23"/>
      <c r="R229" s="23">
        <f t="shared" si="22"/>
        <v>0</v>
      </c>
      <c r="S229" s="23"/>
      <c r="T229" s="23">
        <f t="shared" si="23"/>
        <v>0</v>
      </c>
      <c r="U229" s="28" t="str">
        <f t="shared" si="24"/>
        <v/>
      </c>
      <c r="V229" s="10" t="str">
        <f>IFERROR(N229*VLOOKUP(G229,FILAMENTI_DB!$A:$J,10,FALSE),"")</f>
        <v/>
      </c>
      <c r="W229" s="23" t="str">
        <f>IFERROR((VLOOKUP(F229,STAMPANTI_DB!$A:$C,3,FALSE)/1000)*O229*SETTINGS!$C$6,"")</f>
        <v/>
      </c>
      <c r="X229" s="23" t="str">
        <f>IFERROR(O229*VLOOKUP(F229,STAMPANTI_DB!$A:$I,9,FALSE),"")</f>
        <v/>
      </c>
      <c r="Y229" s="23">
        <f>IFERROR(P229*SETTINGS!$C$7,"")</f>
        <v>0</v>
      </c>
      <c r="Z229" s="23">
        <f>SETTINGS!$C$11</f>
        <v>0.5</v>
      </c>
      <c r="AA229" s="23">
        <f t="shared" si="25"/>
        <v>0.5</v>
      </c>
      <c r="AB229" s="23">
        <f>IFERROR(AA229*SETTINGS!$C$9,"")</f>
        <v>2.5000000000000001E-2</v>
      </c>
      <c r="AC229" s="23">
        <f>IFERROR((AA229+AB229)*SETTINGS!$C$10,"")</f>
        <v>2.6250000000000002E-2</v>
      </c>
    </row>
    <row r="230" spans="1:29" ht="16" x14ac:dyDescent="0.2">
      <c r="A230" s="25"/>
      <c r="H230" t="str">
        <f>IFERROR(VLOOKUP(G230,FILAMENTI_DB!$A:$C,3,FALSE),"")</f>
        <v/>
      </c>
      <c r="I230" t="str">
        <f>IFERROR(VLOOKUP(G230,FILAMENTI_DB!$A:$E,4,FALSE),"")</f>
        <v/>
      </c>
      <c r="J230" s="26"/>
      <c r="K230" s="27"/>
      <c r="L230" s="27"/>
      <c r="M230" s="27">
        <f t="shared" si="20"/>
        <v>0</v>
      </c>
      <c r="N230" s="26">
        <f t="shared" si="21"/>
        <v>0</v>
      </c>
      <c r="O230" s="26"/>
      <c r="P230" s="26"/>
      <c r="Q230" s="23"/>
      <c r="R230" s="23">
        <f t="shared" si="22"/>
        <v>0</v>
      </c>
      <c r="S230" s="23"/>
      <c r="T230" s="23">
        <f t="shared" si="23"/>
        <v>0</v>
      </c>
      <c r="U230" s="28" t="str">
        <f t="shared" si="24"/>
        <v/>
      </c>
      <c r="V230" s="10" t="str">
        <f>IFERROR(N230*VLOOKUP(G230,FILAMENTI_DB!$A:$J,10,FALSE),"")</f>
        <v/>
      </c>
      <c r="W230" s="23" t="str">
        <f>IFERROR((VLOOKUP(F230,STAMPANTI_DB!$A:$C,3,FALSE)/1000)*O230*SETTINGS!$C$6,"")</f>
        <v/>
      </c>
      <c r="X230" s="23" t="str">
        <f>IFERROR(O230*VLOOKUP(F230,STAMPANTI_DB!$A:$I,9,FALSE),"")</f>
        <v/>
      </c>
      <c r="Y230" s="23">
        <f>IFERROR(P230*SETTINGS!$C$7,"")</f>
        <v>0</v>
      </c>
      <c r="Z230" s="23">
        <f>SETTINGS!$C$11</f>
        <v>0.5</v>
      </c>
      <c r="AA230" s="23">
        <f t="shared" si="25"/>
        <v>0.5</v>
      </c>
      <c r="AB230" s="23">
        <f>IFERROR(AA230*SETTINGS!$C$9,"")</f>
        <v>2.5000000000000001E-2</v>
      </c>
      <c r="AC230" s="23">
        <f>IFERROR((AA230+AB230)*SETTINGS!$C$10,"")</f>
        <v>2.6250000000000002E-2</v>
      </c>
    </row>
    <row r="231" spans="1:29" ht="16" x14ac:dyDescent="0.2">
      <c r="A231" s="25"/>
      <c r="H231" t="str">
        <f>IFERROR(VLOOKUP(G231,FILAMENTI_DB!$A:$C,3,FALSE),"")</f>
        <v/>
      </c>
      <c r="I231" t="str">
        <f>IFERROR(VLOOKUP(G231,FILAMENTI_DB!$A:$E,4,FALSE),"")</f>
        <v/>
      </c>
      <c r="J231" s="26"/>
      <c r="K231" s="27"/>
      <c r="L231" s="27"/>
      <c r="M231" s="27">
        <f t="shared" si="20"/>
        <v>0</v>
      </c>
      <c r="N231" s="26">
        <f t="shared" si="21"/>
        <v>0</v>
      </c>
      <c r="O231" s="26"/>
      <c r="P231" s="26"/>
      <c r="Q231" s="23"/>
      <c r="R231" s="23">
        <f t="shared" si="22"/>
        <v>0</v>
      </c>
      <c r="S231" s="23"/>
      <c r="T231" s="23">
        <f t="shared" si="23"/>
        <v>0</v>
      </c>
      <c r="U231" s="28" t="str">
        <f t="shared" si="24"/>
        <v/>
      </c>
      <c r="V231" s="10" t="str">
        <f>IFERROR(N231*VLOOKUP(G231,FILAMENTI_DB!$A:$J,10,FALSE),"")</f>
        <v/>
      </c>
      <c r="W231" s="23" t="str">
        <f>IFERROR((VLOOKUP(F231,STAMPANTI_DB!$A:$C,3,FALSE)/1000)*O231*SETTINGS!$C$6,"")</f>
        <v/>
      </c>
      <c r="X231" s="23" t="str">
        <f>IFERROR(O231*VLOOKUP(F231,STAMPANTI_DB!$A:$I,9,FALSE),"")</f>
        <v/>
      </c>
      <c r="Y231" s="23">
        <f>IFERROR(P231*SETTINGS!$C$7,"")</f>
        <v>0</v>
      </c>
      <c r="Z231" s="23">
        <f>SETTINGS!$C$11</f>
        <v>0.5</v>
      </c>
      <c r="AA231" s="23">
        <f t="shared" si="25"/>
        <v>0.5</v>
      </c>
      <c r="AB231" s="23">
        <f>IFERROR(AA231*SETTINGS!$C$9,"")</f>
        <v>2.5000000000000001E-2</v>
      </c>
      <c r="AC231" s="23">
        <f>IFERROR((AA231+AB231)*SETTINGS!$C$10,"")</f>
        <v>2.6250000000000002E-2</v>
      </c>
    </row>
    <row r="232" spans="1:29" ht="16" x14ac:dyDescent="0.2">
      <c r="A232" s="25"/>
      <c r="H232" t="str">
        <f>IFERROR(VLOOKUP(G232,FILAMENTI_DB!$A:$C,3,FALSE),"")</f>
        <v/>
      </c>
      <c r="I232" t="str">
        <f>IFERROR(VLOOKUP(G232,FILAMENTI_DB!$A:$E,4,FALSE),"")</f>
        <v/>
      </c>
      <c r="J232" s="26"/>
      <c r="K232" s="27"/>
      <c r="L232" s="27"/>
      <c r="M232" s="27">
        <f t="shared" si="20"/>
        <v>0</v>
      </c>
      <c r="N232" s="26">
        <f t="shared" si="21"/>
        <v>0</v>
      </c>
      <c r="O232" s="26"/>
      <c r="P232" s="26"/>
      <c r="Q232" s="23"/>
      <c r="R232" s="23">
        <f t="shared" si="22"/>
        <v>0</v>
      </c>
      <c r="S232" s="23"/>
      <c r="T232" s="23">
        <f t="shared" si="23"/>
        <v>0</v>
      </c>
      <c r="U232" s="28" t="str">
        <f t="shared" si="24"/>
        <v/>
      </c>
      <c r="V232" s="10" t="str">
        <f>IFERROR(N232*VLOOKUP(G232,FILAMENTI_DB!$A:$J,10,FALSE),"")</f>
        <v/>
      </c>
      <c r="W232" s="23" t="str">
        <f>IFERROR((VLOOKUP(F232,STAMPANTI_DB!$A:$C,3,FALSE)/1000)*O232*SETTINGS!$C$6,"")</f>
        <v/>
      </c>
      <c r="X232" s="23" t="str">
        <f>IFERROR(O232*VLOOKUP(F232,STAMPANTI_DB!$A:$I,9,FALSE),"")</f>
        <v/>
      </c>
      <c r="Y232" s="23">
        <f>IFERROR(P232*SETTINGS!$C$7,"")</f>
        <v>0</v>
      </c>
      <c r="Z232" s="23">
        <f>SETTINGS!$C$11</f>
        <v>0.5</v>
      </c>
      <c r="AA232" s="23">
        <f t="shared" si="25"/>
        <v>0.5</v>
      </c>
      <c r="AB232" s="23">
        <f>IFERROR(AA232*SETTINGS!$C$9,"")</f>
        <v>2.5000000000000001E-2</v>
      </c>
      <c r="AC232" s="23">
        <f>IFERROR((AA232+AB232)*SETTINGS!$C$10,"")</f>
        <v>2.6250000000000002E-2</v>
      </c>
    </row>
    <row r="233" spans="1:29" ht="16" x14ac:dyDescent="0.2">
      <c r="A233" s="25"/>
      <c r="H233" t="str">
        <f>IFERROR(VLOOKUP(G233,FILAMENTI_DB!$A:$C,3,FALSE),"")</f>
        <v/>
      </c>
      <c r="I233" t="str">
        <f>IFERROR(VLOOKUP(G233,FILAMENTI_DB!$A:$E,4,FALSE),"")</f>
        <v/>
      </c>
      <c r="J233" s="26"/>
      <c r="K233" s="27"/>
      <c r="L233" s="27"/>
      <c r="M233" s="27">
        <f t="shared" si="20"/>
        <v>0</v>
      </c>
      <c r="N233" s="26">
        <f t="shared" si="21"/>
        <v>0</v>
      </c>
      <c r="O233" s="26"/>
      <c r="P233" s="26"/>
      <c r="Q233" s="23"/>
      <c r="R233" s="23">
        <f t="shared" si="22"/>
        <v>0</v>
      </c>
      <c r="S233" s="23"/>
      <c r="T233" s="23">
        <f t="shared" si="23"/>
        <v>0</v>
      </c>
      <c r="U233" s="28" t="str">
        <f t="shared" si="24"/>
        <v/>
      </c>
      <c r="V233" s="10" t="str">
        <f>IFERROR(N233*VLOOKUP(G233,FILAMENTI_DB!$A:$J,10,FALSE),"")</f>
        <v/>
      </c>
      <c r="W233" s="23" t="str">
        <f>IFERROR((VLOOKUP(F233,STAMPANTI_DB!$A:$C,3,FALSE)/1000)*O233*SETTINGS!$C$6,"")</f>
        <v/>
      </c>
      <c r="X233" s="23" t="str">
        <f>IFERROR(O233*VLOOKUP(F233,STAMPANTI_DB!$A:$I,9,FALSE),"")</f>
        <v/>
      </c>
      <c r="Y233" s="23">
        <f>IFERROR(P233*SETTINGS!$C$7,"")</f>
        <v>0</v>
      </c>
      <c r="Z233" s="23">
        <f>SETTINGS!$C$11</f>
        <v>0.5</v>
      </c>
      <c r="AA233" s="23">
        <f t="shared" si="25"/>
        <v>0.5</v>
      </c>
      <c r="AB233" s="23">
        <f>IFERROR(AA233*SETTINGS!$C$9,"")</f>
        <v>2.5000000000000001E-2</v>
      </c>
      <c r="AC233" s="23">
        <f>IFERROR((AA233+AB233)*SETTINGS!$C$10,"")</f>
        <v>2.6250000000000002E-2</v>
      </c>
    </row>
    <row r="234" spans="1:29" ht="16" x14ac:dyDescent="0.2">
      <c r="A234" s="25"/>
      <c r="H234" t="str">
        <f>IFERROR(VLOOKUP(G234,FILAMENTI_DB!$A:$C,3,FALSE),"")</f>
        <v/>
      </c>
      <c r="I234" t="str">
        <f>IFERROR(VLOOKUP(G234,FILAMENTI_DB!$A:$E,4,FALSE),"")</f>
        <v/>
      </c>
      <c r="J234" s="26"/>
      <c r="K234" s="27"/>
      <c r="L234" s="27"/>
      <c r="M234" s="27">
        <f t="shared" si="20"/>
        <v>0</v>
      </c>
      <c r="N234" s="26">
        <f t="shared" si="21"/>
        <v>0</v>
      </c>
      <c r="O234" s="26"/>
      <c r="P234" s="26"/>
      <c r="Q234" s="23"/>
      <c r="R234" s="23">
        <f t="shared" si="22"/>
        <v>0</v>
      </c>
      <c r="S234" s="23"/>
      <c r="T234" s="23">
        <f t="shared" si="23"/>
        <v>0</v>
      </c>
      <c r="U234" s="28" t="str">
        <f t="shared" si="24"/>
        <v/>
      </c>
      <c r="V234" s="10" t="str">
        <f>IFERROR(N234*VLOOKUP(G234,FILAMENTI_DB!$A:$J,10,FALSE),"")</f>
        <v/>
      </c>
      <c r="W234" s="23" t="str">
        <f>IFERROR((VLOOKUP(F234,STAMPANTI_DB!$A:$C,3,FALSE)/1000)*O234*SETTINGS!$C$6,"")</f>
        <v/>
      </c>
      <c r="X234" s="23" t="str">
        <f>IFERROR(O234*VLOOKUP(F234,STAMPANTI_DB!$A:$I,9,FALSE),"")</f>
        <v/>
      </c>
      <c r="Y234" s="23">
        <f>IFERROR(P234*SETTINGS!$C$7,"")</f>
        <v>0</v>
      </c>
      <c r="Z234" s="23">
        <f>SETTINGS!$C$11</f>
        <v>0.5</v>
      </c>
      <c r="AA234" s="23">
        <f t="shared" si="25"/>
        <v>0.5</v>
      </c>
      <c r="AB234" s="23">
        <f>IFERROR(AA234*SETTINGS!$C$9,"")</f>
        <v>2.5000000000000001E-2</v>
      </c>
      <c r="AC234" s="23">
        <f>IFERROR((AA234+AB234)*SETTINGS!$C$10,"")</f>
        <v>2.6250000000000002E-2</v>
      </c>
    </row>
    <row r="235" spans="1:29" ht="16" x14ac:dyDescent="0.2">
      <c r="A235" s="25"/>
      <c r="H235" t="str">
        <f>IFERROR(VLOOKUP(G235,FILAMENTI_DB!$A:$C,3,FALSE),"")</f>
        <v/>
      </c>
      <c r="I235" t="str">
        <f>IFERROR(VLOOKUP(G235,FILAMENTI_DB!$A:$E,4,FALSE),"")</f>
        <v/>
      </c>
      <c r="J235" s="26"/>
      <c r="K235" s="27"/>
      <c r="L235" s="27"/>
      <c r="M235" s="27">
        <f t="shared" si="20"/>
        <v>0</v>
      </c>
      <c r="N235" s="26">
        <f t="shared" si="21"/>
        <v>0</v>
      </c>
      <c r="O235" s="26"/>
      <c r="P235" s="26"/>
      <c r="Q235" s="23"/>
      <c r="R235" s="23">
        <f t="shared" si="22"/>
        <v>0</v>
      </c>
      <c r="S235" s="23"/>
      <c r="T235" s="23">
        <f t="shared" si="23"/>
        <v>0</v>
      </c>
      <c r="U235" s="28" t="str">
        <f t="shared" si="24"/>
        <v/>
      </c>
      <c r="V235" s="10" t="str">
        <f>IFERROR(N235*VLOOKUP(G235,FILAMENTI_DB!$A:$J,10,FALSE),"")</f>
        <v/>
      </c>
      <c r="W235" s="23" t="str">
        <f>IFERROR((VLOOKUP(F235,STAMPANTI_DB!$A:$C,3,FALSE)/1000)*O235*SETTINGS!$C$6,"")</f>
        <v/>
      </c>
      <c r="X235" s="23" t="str">
        <f>IFERROR(O235*VLOOKUP(F235,STAMPANTI_DB!$A:$I,9,FALSE),"")</f>
        <v/>
      </c>
      <c r="Y235" s="23">
        <f>IFERROR(P235*SETTINGS!$C$7,"")</f>
        <v>0</v>
      </c>
      <c r="Z235" s="23">
        <f>SETTINGS!$C$11</f>
        <v>0.5</v>
      </c>
      <c r="AA235" s="23">
        <f t="shared" si="25"/>
        <v>0.5</v>
      </c>
      <c r="AB235" s="23">
        <f>IFERROR(AA235*SETTINGS!$C$9,"")</f>
        <v>2.5000000000000001E-2</v>
      </c>
      <c r="AC235" s="23">
        <f>IFERROR((AA235+AB235)*SETTINGS!$C$10,"")</f>
        <v>2.6250000000000002E-2</v>
      </c>
    </row>
    <row r="236" spans="1:29" ht="16" x14ac:dyDescent="0.2">
      <c r="A236" s="25"/>
      <c r="H236" t="str">
        <f>IFERROR(VLOOKUP(G236,FILAMENTI_DB!$A:$C,3,FALSE),"")</f>
        <v/>
      </c>
      <c r="I236" t="str">
        <f>IFERROR(VLOOKUP(G236,FILAMENTI_DB!$A:$E,4,FALSE),"")</f>
        <v/>
      </c>
      <c r="J236" s="26"/>
      <c r="K236" s="27"/>
      <c r="L236" s="27"/>
      <c r="M236" s="27">
        <f t="shared" si="20"/>
        <v>0</v>
      </c>
      <c r="N236" s="26">
        <f t="shared" si="21"/>
        <v>0</v>
      </c>
      <c r="O236" s="26"/>
      <c r="P236" s="26"/>
      <c r="Q236" s="23"/>
      <c r="R236" s="23">
        <f t="shared" si="22"/>
        <v>0</v>
      </c>
      <c r="S236" s="23"/>
      <c r="T236" s="23">
        <f t="shared" si="23"/>
        <v>0</v>
      </c>
      <c r="U236" s="28" t="str">
        <f t="shared" si="24"/>
        <v/>
      </c>
      <c r="V236" s="10" t="str">
        <f>IFERROR(N236*VLOOKUP(G236,FILAMENTI_DB!$A:$J,10,FALSE),"")</f>
        <v/>
      </c>
      <c r="W236" s="23" t="str">
        <f>IFERROR((VLOOKUP(F236,STAMPANTI_DB!$A:$C,3,FALSE)/1000)*O236*SETTINGS!$C$6,"")</f>
        <v/>
      </c>
      <c r="X236" s="23" t="str">
        <f>IFERROR(O236*VLOOKUP(F236,STAMPANTI_DB!$A:$I,9,FALSE),"")</f>
        <v/>
      </c>
      <c r="Y236" s="23">
        <f>IFERROR(P236*SETTINGS!$C$7,"")</f>
        <v>0</v>
      </c>
      <c r="Z236" s="23">
        <f>SETTINGS!$C$11</f>
        <v>0.5</v>
      </c>
      <c r="AA236" s="23">
        <f t="shared" si="25"/>
        <v>0.5</v>
      </c>
      <c r="AB236" s="23">
        <f>IFERROR(AA236*SETTINGS!$C$9,"")</f>
        <v>2.5000000000000001E-2</v>
      </c>
      <c r="AC236" s="23">
        <f>IFERROR((AA236+AB236)*SETTINGS!$C$10,"")</f>
        <v>2.6250000000000002E-2</v>
      </c>
    </row>
    <row r="237" spans="1:29" ht="16" x14ac:dyDescent="0.2">
      <c r="A237" s="25"/>
      <c r="H237" t="str">
        <f>IFERROR(VLOOKUP(G237,FILAMENTI_DB!$A:$C,3,FALSE),"")</f>
        <v/>
      </c>
      <c r="I237" t="str">
        <f>IFERROR(VLOOKUP(G237,FILAMENTI_DB!$A:$E,4,FALSE),"")</f>
        <v/>
      </c>
      <c r="J237" s="26"/>
      <c r="K237" s="27"/>
      <c r="L237" s="27"/>
      <c r="M237" s="27">
        <f t="shared" si="20"/>
        <v>0</v>
      </c>
      <c r="N237" s="26">
        <f t="shared" si="21"/>
        <v>0</v>
      </c>
      <c r="O237" s="26"/>
      <c r="P237" s="26"/>
      <c r="Q237" s="23"/>
      <c r="R237" s="23">
        <f t="shared" si="22"/>
        <v>0</v>
      </c>
      <c r="S237" s="23"/>
      <c r="T237" s="23">
        <f t="shared" si="23"/>
        <v>0</v>
      </c>
      <c r="U237" s="28" t="str">
        <f t="shared" si="24"/>
        <v/>
      </c>
      <c r="V237" s="10" t="str">
        <f>IFERROR(N237*VLOOKUP(G237,FILAMENTI_DB!$A:$J,10,FALSE),"")</f>
        <v/>
      </c>
      <c r="W237" s="23" t="str">
        <f>IFERROR((VLOOKUP(F237,STAMPANTI_DB!$A:$C,3,FALSE)/1000)*O237*SETTINGS!$C$6,"")</f>
        <v/>
      </c>
      <c r="X237" s="23" t="str">
        <f>IFERROR(O237*VLOOKUP(F237,STAMPANTI_DB!$A:$I,9,FALSE),"")</f>
        <v/>
      </c>
      <c r="Y237" s="23">
        <f>IFERROR(P237*SETTINGS!$C$7,"")</f>
        <v>0</v>
      </c>
      <c r="Z237" s="23">
        <f>SETTINGS!$C$11</f>
        <v>0.5</v>
      </c>
      <c r="AA237" s="23">
        <f t="shared" si="25"/>
        <v>0.5</v>
      </c>
      <c r="AB237" s="23">
        <f>IFERROR(AA237*SETTINGS!$C$9,"")</f>
        <v>2.5000000000000001E-2</v>
      </c>
      <c r="AC237" s="23">
        <f>IFERROR((AA237+AB237)*SETTINGS!$C$10,"")</f>
        <v>2.6250000000000002E-2</v>
      </c>
    </row>
    <row r="238" spans="1:29" ht="16" x14ac:dyDescent="0.2">
      <c r="A238" s="25"/>
      <c r="H238" t="str">
        <f>IFERROR(VLOOKUP(G238,FILAMENTI_DB!$A:$C,3,FALSE),"")</f>
        <v/>
      </c>
      <c r="I238" t="str">
        <f>IFERROR(VLOOKUP(G238,FILAMENTI_DB!$A:$E,4,FALSE),"")</f>
        <v/>
      </c>
      <c r="J238" s="26"/>
      <c r="K238" s="27"/>
      <c r="L238" s="27"/>
      <c r="M238" s="27">
        <f t="shared" si="20"/>
        <v>0</v>
      </c>
      <c r="N238" s="26">
        <f t="shared" si="21"/>
        <v>0</v>
      </c>
      <c r="O238" s="26"/>
      <c r="P238" s="26"/>
      <c r="Q238" s="23"/>
      <c r="R238" s="23">
        <f t="shared" si="22"/>
        <v>0</v>
      </c>
      <c r="S238" s="23"/>
      <c r="T238" s="23">
        <f t="shared" si="23"/>
        <v>0</v>
      </c>
      <c r="U238" s="28" t="str">
        <f t="shared" si="24"/>
        <v/>
      </c>
      <c r="V238" s="10" t="str">
        <f>IFERROR(N238*VLOOKUP(G238,FILAMENTI_DB!$A:$J,10,FALSE),"")</f>
        <v/>
      </c>
      <c r="W238" s="23" t="str">
        <f>IFERROR((VLOOKUP(F238,STAMPANTI_DB!$A:$C,3,FALSE)/1000)*O238*SETTINGS!$C$6,"")</f>
        <v/>
      </c>
      <c r="X238" s="23" t="str">
        <f>IFERROR(O238*VLOOKUP(F238,STAMPANTI_DB!$A:$I,9,FALSE),"")</f>
        <v/>
      </c>
      <c r="Y238" s="23">
        <f>IFERROR(P238*SETTINGS!$C$7,"")</f>
        <v>0</v>
      </c>
      <c r="Z238" s="23">
        <f>SETTINGS!$C$11</f>
        <v>0.5</v>
      </c>
      <c r="AA238" s="23">
        <f t="shared" si="25"/>
        <v>0.5</v>
      </c>
      <c r="AB238" s="23">
        <f>IFERROR(AA238*SETTINGS!$C$9,"")</f>
        <v>2.5000000000000001E-2</v>
      </c>
      <c r="AC238" s="23">
        <f>IFERROR((AA238+AB238)*SETTINGS!$C$10,"")</f>
        <v>2.6250000000000002E-2</v>
      </c>
    </row>
    <row r="239" spans="1:29" ht="16" x14ac:dyDescent="0.2">
      <c r="A239" s="25"/>
      <c r="H239" t="str">
        <f>IFERROR(VLOOKUP(G239,FILAMENTI_DB!$A:$C,3,FALSE),"")</f>
        <v/>
      </c>
      <c r="I239" t="str">
        <f>IFERROR(VLOOKUP(G239,FILAMENTI_DB!$A:$E,4,FALSE),"")</f>
        <v/>
      </c>
      <c r="J239" s="26"/>
      <c r="K239" s="27"/>
      <c r="L239" s="27"/>
      <c r="M239" s="27">
        <f t="shared" si="20"/>
        <v>0</v>
      </c>
      <c r="N239" s="26">
        <f t="shared" si="21"/>
        <v>0</v>
      </c>
      <c r="O239" s="26"/>
      <c r="P239" s="26"/>
      <c r="Q239" s="23"/>
      <c r="R239" s="23">
        <f t="shared" si="22"/>
        <v>0</v>
      </c>
      <c r="S239" s="23"/>
      <c r="T239" s="23">
        <f t="shared" si="23"/>
        <v>0</v>
      </c>
      <c r="U239" s="28" t="str">
        <f t="shared" si="24"/>
        <v/>
      </c>
      <c r="V239" s="10" t="str">
        <f>IFERROR(N239*VLOOKUP(G239,FILAMENTI_DB!$A:$J,10,FALSE),"")</f>
        <v/>
      </c>
      <c r="W239" s="23" t="str">
        <f>IFERROR((VLOOKUP(F239,STAMPANTI_DB!$A:$C,3,FALSE)/1000)*O239*SETTINGS!$C$6,"")</f>
        <v/>
      </c>
      <c r="X239" s="23" t="str">
        <f>IFERROR(O239*VLOOKUP(F239,STAMPANTI_DB!$A:$I,9,FALSE),"")</f>
        <v/>
      </c>
      <c r="Y239" s="23">
        <f>IFERROR(P239*SETTINGS!$C$7,"")</f>
        <v>0</v>
      </c>
      <c r="Z239" s="23">
        <f>SETTINGS!$C$11</f>
        <v>0.5</v>
      </c>
      <c r="AA239" s="23">
        <f t="shared" si="25"/>
        <v>0.5</v>
      </c>
      <c r="AB239" s="23">
        <f>IFERROR(AA239*SETTINGS!$C$9,"")</f>
        <v>2.5000000000000001E-2</v>
      </c>
      <c r="AC239" s="23">
        <f>IFERROR((AA239+AB239)*SETTINGS!$C$10,"")</f>
        <v>2.6250000000000002E-2</v>
      </c>
    </row>
    <row r="240" spans="1:29" ht="16" x14ac:dyDescent="0.2">
      <c r="A240" s="25"/>
      <c r="H240" t="str">
        <f>IFERROR(VLOOKUP(G240,FILAMENTI_DB!$A:$C,3,FALSE),"")</f>
        <v/>
      </c>
      <c r="I240" t="str">
        <f>IFERROR(VLOOKUP(G240,FILAMENTI_DB!$A:$E,4,FALSE),"")</f>
        <v/>
      </c>
      <c r="J240" s="26"/>
      <c r="K240" s="27"/>
      <c r="L240" s="27"/>
      <c r="M240" s="27">
        <f t="shared" si="20"/>
        <v>0</v>
      </c>
      <c r="N240" s="26">
        <f t="shared" si="21"/>
        <v>0</v>
      </c>
      <c r="O240" s="26"/>
      <c r="P240" s="26"/>
      <c r="Q240" s="23"/>
      <c r="R240" s="23">
        <f t="shared" si="22"/>
        <v>0</v>
      </c>
      <c r="S240" s="23"/>
      <c r="T240" s="23">
        <f t="shared" si="23"/>
        <v>0</v>
      </c>
      <c r="U240" s="28" t="str">
        <f t="shared" si="24"/>
        <v/>
      </c>
      <c r="V240" s="10" t="str">
        <f>IFERROR(N240*VLOOKUP(G240,FILAMENTI_DB!$A:$J,10,FALSE),"")</f>
        <v/>
      </c>
      <c r="W240" s="23" t="str">
        <f>IFERROR((VLOOKUP(F240,STAMPANTI_DB!$A:$C,3,FALSE)/1000)*O240*SETTINGS!$C$6,"")</f>
        <v/>
      </c>
      <c r="X240" s="23" t="str">
        <f>IFERROR(O240*VLOOKUP(F240,STAMPANTI_DB!$A:$I,9,FALSE),"")</f>
        <v/>
      </c>
      <c r="Y240" s="23">
        <f>IFERROR(P240*SETTINGS!$C$7,"")</f>
        <v>0</v>
      </c>
      <c r="Z240" s="23">
        <f>SETTINGS!$C$11</f>
        <v>0.5</v>
      </c>
      <c r="AA240" s="23">
        <f t="shared" si="25"/>
        <v>0.5</v>
      </c>
      <c r="AB240" s="23">
        <f>IFERROR(AA240*SETTINGS!$C$9,"")</f>
        <v>2.5000000000000001E-2</v>
      </c>
      <c r="AC240" s="23">
        <f>IFERROR((AA240+AB240)*SETTINGS!$C$10,"")</f>
        <v>2.6250000000000002E-2</v>
      </c>
    </row>
    <row r="241" spans="1:29" ht="16" x14ac:dyDescent="0.2">
      <c r="A241" s="25"/>
      <c r="H241" t="str">
        <f>IFERROR(VLOOKUP(G241,FILAMENTI_DB!$A:$C,3,FALSE),"")</f>
        <v/>
      </c>
      <c r="I241" t="str">
        <f>IFERROR(VLOOKUP(G241,FILAMENTI_DB!$A:$E,4,FALSE),"")</f>
        <v/>
      </c>
      <c r="J241" s="26"/>
      <c r="K241" s="27"/>
      <c r="L241" s="27"/>
      <c r="M241" s="27">
        <f t="shared" si="20"/>
        <v>0</v>
      </c>
      <c r="N241" s="26">
        <f t="shared" si="21"/>
        <v>0</v>
      </c>
      <c r="O241" s="26"/>
      <c r="P241" s="26"/>
      <c r="Q241" s="23"/>
      <c r="R241" s="23">
        <f t="shared" si="22"/>
        <v>0</v>
      </c>
      <c r="S241" s="23"/>
      <c r="T241" s="23">
        <f t="shared" si="23"/>
        <v>0</v>
      </c>
      <c r="U241" s="28" t="str">
        <f t="shared" si="24"/>
        <v/>
      </c>
      <c r="V241" s="10" t="str">
        <f>IFERROR(N241*VLOOKUP(G241,FILAMENTI_DB!$A:$J,10,FALSE),"")</f>
        <v/>
      </c>
      <c r="W241" s="23" t="str">
        <f>IFERROR((VLOOKUP(F241,STAMPANTI_DB!$A:$C,3,FALSE)/1000)*O241*SETTINGS!$C$6,"")</f>
        <v/>
      </c>
      <c r="X241" s="23" t="str">
        <f>IFERROR(O241*VLOOKUP(F241,STAMPANTI_DB!$A:$I,9,FALSE),"")</f>
        <v/>
      </c>
      <c r="Y241" s="23">
        <f>IFERROR(P241*SETTINGS!$C$7,"")</f>
        <v>0</v>
      </c>
      <c r="Z241" s="23">
        <f>SETTINGS!$C$11</f>
        <v>0.5</v>
      </c>
      <c r="AA241" s="23">
        <f t="shared" si="25"/>
        <v>0.5</v>
      </c>
      <c r="AB241" s="23">
        <f>IFERROR(AA241*SETTINGS!$C$9,"")</f>
        <v>2.5000000000000001E-2</v>
      </c>
      <c r="AC241" s="23">
        <f>IFERROR((AA241+AB241)*SETTINGS!$C$10,"")</f>
        <v>2.6250000000000002E-2</v>
      </c>
    </row>
    <row r="242" spans="1:29" ht="16" x14ac:dyDescent="0.2">
      <c r="A242" s="25"/>
      <c r="H242" t="str">
        <f>IFERROR(VLOOKUP(G242,FILAMENTI_DB!$A:$C,3,FALSE),"")</f>
        <v/>
      </c>
      <c r="I242" t="str">
        <f>IFERROR(VLOOKUP(G242,FILAMENTI_DB!$A:$E,4,FALSE),"")</f>
        <v/>
      </c>
      <c r="J242" s="26"/>
      <c r="K242" s="27"/>
      <c r="L242" s="27"/>
      <c r="M242" s="27">
        <f t="shared" si="20"/>
        <v>0</v>
      </c>
      <c r="N242" s="26">
        <f t="shared" si="21"/>
        <v>0</v>
      </c>
      <c r="O242" s="26"/>
      <c r="P242" s="26"/>
      <c r="Q242" s="23"/>
      <c r="R242" s="23">
        <f t="shared" si="22"/>
        <v>0</v>
      </c>
      <c r="S242" s="23"/>
      <c r="T242" s="23">
        <f t="shared" si="23"/>
        <v>0</v>
      </c>
      <c r="U242" s="28" t="str">
        <f t="shared" si="24"/>
        <v/>
      </c>
      <c r="V242" s="10" t="str">
        <f>IFERROR(N242*VLOOKUP(G242,FILAMENTI_DB!$A:$J,10,FALSE),"")</f>
        <v/>
      </c>
      <c r="W242" s="23" t="str">
        <f>IFERROR((VLOOKUP(F242,STAMPANTI_DB!$A:$C,3,FALSE)/1000)*O242*SETTINGS!$C$6,"")</f>
        <v/>
      </c>
      <c r="X242" s="23" t="str">
        <f>IFERROR(O242*VLOOKUP(F242,STAMPANTI_DB!$A:$I,9,FALSE),"")</f>
        <v/>
      </c>
      <c r="Y242" s="23">
        <f>IFERROR(P242*SETTINGS!$C$7,"")</f>
        <v>0</v>
      </c>
      <c r="Z242" s="23">
        <f>SETTINGS!$C$11</f>
        <v>0.5</v>
      </c>
      <c r="AA242" s="23">
        <f t="shared" si="25"/>
        <v>0.5</v>
      </c>
      <c r="AB242" s="23">
        <f>IFERROR(AA242*SETTINGS!$C$9,"")</f>
        <v>2.5000000000000001E-2</v>
      </c>
      <c r="AC242" s="23">
        <f>IFERROR((AA242+AB242)*SETTINGS!$C$10,"")</f>
        <v>2.6250000000000002E-2</v>
      </c>
    </row>
    <row r="243" spans="1:29" ht="16" x14ac:dyDescent="0.2">
      <c r="A243" s="25"/>
      <c r="H243" t="str">
        <f>IFERROR(VLOOKUP(G243,FILAMENTI_DB!$A:$C,3,FALSE),"")</f>
        <v/>
      </c>
      <c r="I243" t="str">
        <f>IFERROR(VLOOKUP(G243,FILAMENTI_DB!$A:$E,4,FALSE),"")</f>
        <v/>
      </c>
      <c r="J243" s="26"/>
      <c r="K243" s="27"/>
      <c r="L243" s="27"/>
      <c r="M243" s="27">
        <f t="shared" si="20"/>
        <v>0</v>
      </c>
      <c r="N243" s="26">
        <f t="shared" si="21"/>
        <v>0</v>
      </c>
      <c r="O243" s="26"/>
      <c r="P243" s="26"/>
      <c r="Q243" s="23"/>
      <c r="R243" s="23">
        <f t="shared" si="22"/>
        <v>0</v>
      </c>
      <c r="S243" s="23"/>
      <c r="T243" s="23">
        <f t="shared" si="23"/>
        <v>0</v>
      </c>
      <c r="U243" s="28" t="str">
        <f t="shared" si="24"/>
        <v/>
      </c>
      <c r="V243" s="10" t="str">
        <f>IFERROR(N243*VLOOKUP(G243,FILAMENTI_DB!$A:$J,10,FALSE),"")</f>
        <v/>
      </c>
      <c r="W243" s="23" t="str">
        <f>IFERROR((VLOOKUP(F243,STAMPANTI_DB!$A:$C,3,FALSE)/1000)*O243*SETTINGS!$C$6,"")</f>
        <v/>
      </c>
      <c r="X243" s="23" t="str">
        <f>IFERROR(O243*VLOOKUP(F243,STAMPANTI_DB!$A:$I,9,FALSE),"")</f>
        <v/>
      </c>
      <c r="Y243" s="23">
        <f>IFERROR(P243*SETTINGS!$C$7,"")</f>
        <v>0</v>
      </c>
      <c r="Z243" s="23">
        <f>SETTINGS!$C$11</f>
        <v>0.5</v>
      </c>
      <c r="AA243" s="23">
        <f t="shared" si="25"/>
        <v>0.5</v>
      </c>
      <c r="AB243" s="23">
        <f>IFERROR(AA243*SETTINGS!$C$9,"")</f>
        <v>2.5000000000000001E-2</v>
      </c>
      <c r="AC243" s="23">
        <f>IFERROR((AA243+AB243)*SETTINGS!$C$10,"")</f>
        <v>2.6250000000000002E-2</v>
      </c>
    </row>
    <row r="244" spans="1:29" ht="16" x14ac:dyDescent="0.2">
      <c r="A244" s="25"/>
      <c r="H244" t="str">
        <f>IFERROR(VLOOKUP(G244,FILAMENTI_DB!$A:$C,3,FALSE),"")</f>
        <v/>
      </c>
      <c r="I244" t="str">
        <f>IFERROR(VLOOKUP(G244,FILAMENTI_DB!$A:$E,4,FALSE),"")</f>
        <v/>
      </c>
      <c r="J244" s="26"/>
      <c r="K244" s="27"/>
      <c r="L244" s="27"/>
      <c r="M244" s="27">
        <f t="shared" si="20"/>
        <v>0</v>
      </c>
      <c r="N244" s="26">
        <f t="shared" si="21"/>
        <v>0</v>
      </c>
      <c r="O244" s="26"/>
      <c r="P244" s="26"/>
      <c r="Q244" s="23"/>
      <c r="R244" s="23">
        <f t="shared" si="22"/>
        <v>0</v>
      </c>
      <c r="S244" s="23"/>
      <c r="T244" s="23">
        <f t="shared" si="23"/>
        <v>0</v>
      </c>
      <c r="U244" s="28" t="str">
        <f t="shared" si="24"/>
        <v/>
      </c>
      <c r="V244" s="10" t="str">
        <f>IFERROR(N244*VLOOKUP(G244,FILAMENTI_DB!$A:$J,10,FALSE),"")</f>
        <v/>
      </c>
      <c r="W244" s="23" t="str">
        <f>IFERROR((VLOOKUP(F244,STAMPANTI_DB!$A:$C,3,FALSE)/1000)*O244*SETTINGS!$C$6,"")</f>
        <v/>
      </c>
      <c r="X244" s="23" t="str">
        <f>IFERROR(O244*VLOOKUP(F244,STAMPANTI_DB!$A:$I,9,FALSE),"")</f>
        <v/>
      </c>
      <c r="Y244" s="23">
        <f>IFERROR(P244*SETTINGS!$C$7,"")</f>
        <v>0</v>
      </c>
      <c r="Z244" s="23">
        <f>SETTINGS!$C$11</f>
        <v>0.5</v>
      </c>
      <c r="AA244" s="23">
        <f t="shared" si="25"/>
        <v>0.5</v>
      </c>
      <c r="AB244" s="23">
        <f>IFERROR(AA244*SETTINGS!$C$9,"")</f>
        <v>2.5000000000000001E-2</v>
      </c>
      <c r="AC244" s="23">
        <f>IFERROR((AA244+AB244)*SETTINGS!$C$10,"")</f>
        <v>2.6250000000000002E-2</v>
      </c>
    </row>
    <row r="245" spans="1:29" ht="16" x14ac:dyDescent="0.2">
      <c r="A245" s="25"/>
      <c r="H245" t="str">
        <f>IFERROR(VLOOKUP(G245,FILAMENTI_DB!$A:$C,3,FALSE),"")</f>
        <v/>
      </c>
      <c r="I245" t="str">
        <f>IFERROR(VLOOKUP(G245,FILAMENTI_DB!$A:$E,4,FALSE),"")</f>
        <v/>
      </c>
      <c r="J245" s="26"/>
      <c r="K245" s="27"/>
      <c r="L245" s="27"/>
      <c r="M245" s="27">
        <f t="shared" si="20"/>
        <v>0</v>
      </c>
      <c r="N245" s="26">
        <f t="shared" si="21"/>
        <v>0</v>
      </c>
      <c r="O245" s="26"/>
      <c r="P245" s="26"/>
      <c r="Q245" s="23"/>
      <c r="R245" s="23">
        <f t="shared" si="22"/>
        <v>0</v>
      </c>
      <c r="S245" s="23"/>
      <c r="T245" s="23">
        <f t="shared" si="23"/>
        <v>0</v>
      </c>
      <c r="U245" s="28" t="str">
        <f t="shared" si="24"/>
        <v/>
      </c>
      <c r="V245" s="10" t="str">
        <f>IFERROR(N245*VLOOKUP(G245,FILAMENTI_DB!$A:$J,10,FALSE),"")</f>
        <v/>
      </c>
      <c r="W245" s="23" t="str">
        <f>IFERROR((VLOOKUP(F245,STAMPANTI_DB!$A:$C,3,FALSE)/1000)*O245*SETTINGS!$C$6,"")</f>
        <v/>
      </c>
      <c r="X245" s="23" t="str">
        <f>IFERROR(O245*VLOOKUP(F245,STAMPANTI_DB!$A:$I,9,FALSE),"")</f>
        <v/>
      </c>
      <c r="Y245" s="23">
        <f>IFERROR(P245*SETTINGS!$C$7,"")</f>
        <v>0</v>
      </c>
      <c r="Z245" s="23">
        <f>SETTINGS!$C$11</f>
        <v>0.5</v>
      </c>
      <c r="AA245" s="23">
        <f t="shared" si="25"/>
        <v>0.5</v>
      </c>
      <c r="AB245" s="23">
        <f>IFERROR(AA245*SETTINGS!$C$9,"")</f>
        <v>2.5000000000000001E-2</v>
      </c>
      <c r="AC245" s="23">
        <f>IFERROR((AA245+AB245)*SETTINGS!$C$10,"")</f>
        <v>2.6250000000000002E-2</v>
      </c>
    </row>
    <row r="246" spans="1:29" ht="16" x14ac:dyDescent="0.2">
      <c r="A246" s="25"/>
      <c r="H246" t="str">
        <f>IFERROR(VLOOKUP(G246,FILAMENTI_DB!$A:$C,3,FALSE),"")</f>
        <v/>
      </c>
      <c r="I246" t="str">
        <f>IFERROR(VLOOKUP(G246,FILAMENTI_DB!$A:$E,4,FALSE),"")</f>
        <v/>
      </c>
      <c r="J246" s="26"/>
      <c r="K246" s="27"/>
      <c r="L246" s="27"/>
      <c r="M246" s="27">
        <f t="shared" si="20"/>
        <v>0</v>
      </c>
      <c r="N246" s="26">
        <f t="shared" si="21"/>
        <v>0</v>
      </c>
      <c r="O246" s="26"/>
      <c r="P246" s="26"/>
      <c r="Q246" s="23"/>
      <c r="R246" s="23">
        <f t="shared" si="22"/>
        <v>0</v>
      </c>
      <c r="S246" s="23"/>
      <c r="T246" s="23">
        <f t="shared" si="23"/>
        <v>0</v>
      </c>
      <c r="U246" s="28" t="str">
        <f t="shared" si="24"/>
        <v/>
      </c>
      <c r="V246" s="10" t="str">
        <f>IFERROR(N246*VLOOKUP(G246,FILAMENTI_DB!$A:$J,10,FALSE),"")</f>
        <v/>
      </c>
      <c r="W246" s="23" t="str">
        <f>IFERROR((VLOOKUP(F246,STAMPANTI_DB!$A:$C,3,FALSE)/1000)*O246*SETTINGS!$C$6,"")</f>
        <v/>
      </c>
      <c r="X246" s="23" t="str">
        <f>IFERROR(O246*VLOOKUP(F246,STAMPANTI_DB!$A:$I,9,FALSE),"")</f>
        <v/>
      </c>
      <c r="Y246" s="23">
        <f>IFERROR(P246*SETTINGS!$C$7,"")</f>
        <v>0</v>
      </c>
      <c r="Z246" s="23">
        <f>SETTINGS!$C$11</f>
        <v>0.5</v>
      </c>
      <c r="AA246" s="23">
        <f t="shared" si="25"/>
        <v>0.5</v>
      </c>
      <c r="AB246" s="23">
        <f>IFERROR(AA246*SETTINGS!$C$9,"")</f>
        <v>2.5000000000000001E-2</v>
      </c>
      <c r="AC246" s="23">
        <f>IFERROR((AA246+AB246)*SETTINGS!$C$10,"")</f>
        <v>2.6250000000000002E-2</v>
      </c>
    </row>
    <row r="247" spans="1:29" ht="16" x14ac:dyDescent="0.2">
      <c r="A247" s="25"/>
      <c r="H247" t="str">
        <f>IFERROR(VLOOKUP(G247,FILAMENTI_DB!$A:$C,3,FALSE),"")</f>
        <v/>
      </c>
      <c r="I247" t="str">
        <f>IFERROR(VLOOKUP(G247,FILAMENTI_DB!$A:$E,4,FALSE),"")</f>
        <v/>
      </c>
      <c r="J247" s="26"/>
      <c r="K247" s="27"/>
      <c r="L247" s="27"/>
      <c r="M247" s="27">
        <f t="shared" si="20"/>
        <v>0</v>
      </c>
      <c r="N247" s="26">
        <f t="shared" si="21"/>
        <v>0</v>
      </c>
      <c r="O247" s="26"/>
      <c r="P247" s="26"/>
      <c r="Q247" s="23"/>
      <c r="R247" s="23">
        <f t="shared" si="22"/>
        <v>0</v>
      </c>
      <c r="S247" s="23"/>
      <c r="T247" s="23">
        <f t="shared" si="23"/>
        <v>0</v>
      </c>
      <c r="U247" s="28" t="str">
        <f t="shared" si="24"/>
        <v/>
      </c>
      <c r="V247" s="10" t="str">
        <f>IFERROR(N247*VLOOKUP(G247,FILAMENTI_DB!$A:$J,10,FALSE),"")</f>
        <v/>
      </c>
      <c r="W247" s="23" t="str">
        <f>IFERROR((VLOOKUP(F247,STAMPANTI_DB!$A:$C,3,FALSE)/1000)*O247*SETTINGS!$C$6,"")</f>
        <v/>
      </c>
      <c r="X247" s="23" t="str">
        <f>IFERROR(O247*VLOOKUP(F247,STAMPANTI_DB!$A:$I,9,FALSE),"")</f>
        <v/>
      </c>
      <c r="Y247" s="23">
        <f>IFERROR(P247*SETTINGS!$C$7,"")</f>
        <v>0</v>
      </c>
      <c r="Z247" s="23">
        <f>SETTINGS!$C$11</f>
        <v>0.5</v>
      </c>
      <c r="AA247" s="23">
        <f t="shared" si="25"/>
        <v>0.5</v>
      </c>
      <c r="AB247" s="23">
        <f>IFERROR(AA247*SETTINGS!$C$9,"")</f>
        <v>2.5000000000000001E-2</v>
      </c>
      <c r="AC247" s="23">
        <f>IFERROR((AA247+AB247)*SETTINGS!$C$10,"")</f>
        <v>2.6250000000000002E-2</v>
      </c>
    </row>
    <row r="248" spans="1:29" ht="16" x14ac:dyDescent="0.2">
      <c r="A248" s="25"/>
      <c r="H248" t="str">
        <f>IFERROR(VLOOKUP(G248,FILAMENTI_DB!$A:$C,3,FALSE),"")</f>
        <v/>
      </c>
      <c r="I248" t="str">
        <f>IFERROR(VLOOKUP(G248,FILAMENTI_DB!$A:$E,4,FALSE),"")</f>
        <v/>
      </c>
      <c r="J248" s="26"/>
      <c r="K248" s="27"/>
      <c r="L248" s="27"/>
      <c r="M248" s="27">
        <f t="shared" si="20"/>
        <v>0</v>
      </c>
      <c r="N248" s="26">
        <f t="shared" si="21"/>
        <v>0</v>
      </c>
      <c r="O248" s="26"/>
      <c r="P248" s="26"/>
      <c r="Q248" s="23"/>
      <c r="R248" s="23">
        <f t="shared" si="22"/>
        <v>0</v>
      </c>
      <c r="S248" s="23"/>
      <c r="T248" s="23">
        <f t="shared" si="23"/>
        <v>0</v>
      </c>
      <c r="U248" s="28" t="str">
        <f t="shared" si="24"/>
        <v/>
      </c>
      <c r="V248" s="10" t="str">
        <f>IFERROR(N248*VLOOKUP(G248,FILAMENTI_DB!$A:$J,10,FALSE),"")</f>
        <v/>
      </c>
      <c r="W248" s="23" t="str">
        <f>IFERROR((VLOOKUP(F248,STAMPANTI_DB!$A:$C,3,FALSE)/1000)*O248*SETTINGS!$C$6,"")</f>
        <v/>
      </c>
      <c r="X248" s="23" t="str">
        <f>IFERROR(O248*VLOOKUP(F248,STAMPANTI_DB!$A:$I,9,FALSE),"")</f>
        <v/>
      </c>
      <c r="Y248" s="23">
        <f>IFERROR(P248*SETTINGS!$C$7,"")</f>
        <v>0</v>
      </c>
      <c r="Z248" s="23">
        <f>SETTINGS!$C$11</f>
        <v>0.5</v>
      </c>
      <c r="AA248" s="23">
        <f t="shared" si="25"/>
        <v>0.5</v>
      </c>
      <c r="AB248" s="23">
        <f>IFERROR(AA248*SETTINGS!$C$9,"")</f>
        <v>2.5000000000000001E-2</v>
      </c>
      <c r="AC248" s="23">
        <f>IFERROR((AA248+AB248)*SETTINGS!$C$10,"")</f>
        <v>2.6250000000000002E-2</v>
      </c>
    </row>
    <row r="249" spans="1:29" ht="16" x14ac:dyDescent="0.2">
      <c r="A249" s="25"/>
      <c r="H249" t="str">
        <f>IFERROR(VLOOKUP(G249,FILAMENTI_DB!$A:$C,3,FALSE),"")</f>
        <v/>
      </c>
      <c r="I249" t="str">
        <f>IFERROR(VLOOKUP(G249,FILAMENTI_DB!$A:$E,4,FALSE),"")</f>
        <v/>
      </c>
      <c r="J249" s="26"/>
      <c r="K249" s="27"/>
      <c r="L249" s="27"/>
      <c r="M249" s="27">
        <f t="shared" si="20"/>
        <v>0</v>
      </c>
      <c r="N249" s="26">
        <f t="shared" si="21"/>
        <v>0</v>
      </c>
      <c r="O249" s="26"/>
      <c r="P249" s="26"/>
      <c r="Q249" s="23"/>
      <c r="R249" s="23">
        <f t="shared" si="22"/>
        <v>0</v>
      </c>
      <c r="S249" s="23"/>
      <c r="T249" s="23">
        <f t="shared" si="23"/>
        <v>0</v>
      </c>
      <c r="U249" s="28" t="str">
        <f t="shared" si="24"/>
        <v/>
      </c>
      <c r="V249" s="10" t="str">
        <f>IFERROR(N249*VLOOKUP(G249,FILAMENTI_DB!$A:$J,10,FALSE),"")</f>
        <v/>
      </c>
      <c r="W249" s="23" t="str">
        <f>IFERROR((VLOOKUP(F249,STAMPANTI_DB!$A:$C,3,FALSE)/1000)*O249*SETTINGS!$C$6,"")</f>
        <v/>
      </c>
      <c r="X249" s="23" t="str">
        <f>IFERROR(O249*VLOOKUP(F249,STAMPANTI_DB!$A:$I,9,FALSE),"")</f>
        <v/>
      </c>
      <c r="Y249" s="23">
        <f>IFERROR(P249*SETTINGS!$C$7,"")</f>
        <v>0</v>
      </c>
      <c r="Z249" s="23">
        <f>SETTINGS!$C$11</f>
        <v>0.5</v>
      </c>
      <c r="AA249" s="23">
        <f t="shared" si="25"/>
        <v>0.5</v>
      </c>
      <c r="AB249" s="23">
        <f>IFERROR(AA249*SETTINGS!$C$9,"")</f>
        <v>2.5000000000000001E-2</v>
      </c>
      <c r="AC249" s="23">
        <f>IFERROR((AA249+AB249)*SETTINGS!$C$10,"")</f>
        <v>2.6250000000000002E-2</v>
      </c>
    </row>
    <row r="250" spans="1:29" ht="16" x14ac:dyDescent="0.2">
      <c r="A250" s="25"/>
      <c r="H250" t="str">
        <f>IFERROR(VLOOKUP(G250,FILAMENTI_DB!$A:$C,3,FALSE),"")</f>
        <v/>
      </c>
      <c r="I250" t="str">
        <f>IFERROR(VLOOKUP(G250,FILAMENTI_DB!$A:$E,4,FALSE),"")</f>
        <v/>
      </c>
      <c r="J250" s="26"/>
      <c r="K250" s="27"/>
      <c r="L250" s="27"/>
      <c r="M250" s="27">
        <f t="shared" si="20"/>
        <v>0</v>
      </c>
      <c r="N250" s="26">
        <f t="shared" si="21"/>
        <v>0</v>
      </c>
      <c r="O250" s="26"/>
      <c r="P250" s="26"/>
      <c r="Q250" s="23"/>
      <c r="R250" s="23">
        <f t="shared" si="22"/>
        <v>0</v>
      </c>
      <c r="S250" s="23"/>
      <c r="T250" s="23">
        <f t="shared" si="23"/>
        <v>0</v>
      </c>
      <c r="U250" s="28" t="str">
        <f t="shared" si="24"/>
        <v/>
      </c>
      <c r="V250" s="10" t="str">
        <f>IFERROR(N250*VLOOKUP(G250,FILAMENTI_DB!$A:$J,10,FALSE),"")</f>
        <v/>
      </c>
      <c r="W250" s="23" t="str">
        <f>IFERROR((VLOOKUP(F250,STAMPANTI_DB!$A:$C,3,FALSE)/1000)*O250*SETTINGS!$C$6,"")</f>
        <v/>
      </c>
      <c r="X250" s="23" t="str">
        <f>IFERROR(O250*VLOOKUP(F250,STAMPANTI_DB!$A:$I,9,FALSE),"")</f>
        <v/>
      </c>
      <c r="Y250" s="23">
        <f>IFERROR(P250*SETTINGS!$C$7,"")</f>
        <v>0</v>
      </c>
      <c r="Z250" s="23">
        <f>SETTINGS!$C$11</f>
        <v>0.5</v>
      </c>
      <c r="AA250" s="23">
        <f t="shared" si="25"/>
        <v>0.5</v>
      </c>
      <c r="AB250" s="23">
        <f>IFERROR(AA250*SETTINGS!$C$9,"")</f>
        <v>2.5000000000000001E-2</v>
      </c>
      <c r="AC250" s="23">
        <f>IFERROR((AA250+AB250)*SETTINGS!$C$10,"")</f>
        <v>2.6250000000000002E-2</v>
      </c>
    </row>
    <row r="251" spans="1:29" ht="16" x14ac:dyDescent="0.2">
      <c r="A251" s="25"/>
      <c r="H251" t="str">
        <f>IFERROR(VLOOKUP(G251,FILAMENTI_DB!$A:$C,3,FALSE),"")</f>
        <v/>
      </c>
      <c r="I251" t="str">
        <f>IFERROR(VLOOKUP(G251,FILAMENTI_DB!$A:$E,4,FALSE),"")</f>
        <v/>
      </c>
      <c r="J251" s="26"/>
      <c r="K251" s="27"/>
      <c r="L251" s="27"/>
      <c r="M251" s="27">
        <f t="shared" si="20"/>
        <v>0</v>
      </c>
      <c r="N251" s="26">
        <f t="shared" si="21"/>
        <v>0</v>
      </c>
      <c r="O251" s="26"/>
      <c r="P251" s="26"/>
      <c r="Q251" s="23"/>
      <c r="R251" s="23">
        <f t="shared" si="22"/>
        <v>0</v>
      </c>
      <c r="S251" s="23"/>
      <c r="T251" s="23">
        <f t="shared" si="23"/>
        <v>0</v>
      </c>
      <c r="U251" s="28" t="str">
        <f t="shared" si="24"/>
        <v/>
      </c>
      <c r="V251" s="10" t="str">
        <f>IFERROR(N251*VLOOKUP(G251,FILAMENTI_DB!$A:$J,10,FALSE),"")</f>
        <v/>
      </c>
      <c r="W251" s="23" t="str">
        <f>IFERROR((VLOOKUP(F251,STAMPANTI_DB!$A:$C,3,FALSE)/1000)*O251*SETTINGS!$C$6,"")</f>
        <v/>
      </c>
      <c r="X251" s="23" t="str">
        <f>IFERROR(O251*VLOOKUP(F251,STAMPANTI_DB!$A:$I,9,FALSE),"")</f>
        <v/>
      </c>
      <c r="Y251" s="23">
        <f>IFERROR(P251*SETTINGS!$C$7,"")</f>
        <v>0</v>
      </c>
      <c r="Z251" s="23">
        <f>SETTINGS!$C$11</f>
        <v>0.5</v>
      </c>
      <c r="AA251" s="23">
        <f t="shared" si="25"/>
        <v>0.5</v>
      </c>
      <c r="AB251" s="23">
        <f>IFERROR(AA251*SETTINGS!$C$9,"")</f>
        <v>2.5000000000000001E-2</v>
      </c>
      <c r="AC251" s="23">
        <f>IFERROR((AA251+AB251)*SETTINGS!$C$10,"")</f>
        <v>2.6250000000000002E-2</v>
      </c>
    </row>
    <row r="252" spans="1:29" ht="16" x14ac:dyDescent="0.2">
      <c r="A252" s="25"/>
      <c r="H252" t="str">
        <f>IFERROR(VLOOKUP(G252,FILAMENTI_DB!$A:$C,3,FALSE),"")</f>
        <v/>
      </c>
      <c r="I252" t="str">
        <f>IFERROR(VLOOKUP(G252,FILAMENTI_DB!$A:$E,4,FALSE),"")</f>
        <v/>
      </c>
      <c r="J252" s="26"/>
      <c r="K252" s="27"/>
      <c r="L252" s="27"/>
      <c r="M252" s="27">
        <f t="shared" si="20"/>
        <v>0</v>
      </c>
      <c r="N252" s="26">
        <f t="shared" si="21"/>
        <v>0</v>
      </c>
      <c r="O252" s="26"/>
      <c r="P252" s="26"/>
      <c r="Q252" s="23"/>
      <c r="R252" s="23">
        <f t="shared" si="22"/>
        <v>0</v>
      </c>
      <c r="S252" s="23"/>
      <c r="T252" s="23">
        <f t="shared" si="23"/>
        <v>0</v>
      </c>
      <c r="U252" s="28" t="str">
        <f t="shared" si="24"/>
        <v/>
      </c>
      <c r="V252" s="10" t="str">
        <f>IFERROR(N252*VLOOKUP(G252,FILAMENTI_DB!$A:$J,10,FALSE),"")</f>
        <v/>
      </c>
      <c r="W252" s="23" t="str">
        <f>IFERROR((VLOOKUP(F252,STAMPANTI_DB!$A:$C,3,FALSE)/1000)*O252*SETTINGS!$C$6,"")</f>
        <v/>
      </c>
      <c r="X252" s="23" t="str">
        <f>IFERROR(O252*VLOOKUP(F252,STAMPANTI_DB!$A:$I,9,FALSE),"")</f>
        <v/>
      </c>
      <c r="Y252" s="23">
        <f>IFERROR(P252*SETTINGS!$C$7,"")</f>
        <v>0</v>
      </c>
      <c r="Z252" s="23">
        <f>SETTINGS!$C$11</f>
        <v>0.5</v>
      </c>
      <c r="AA252" s="23">
        <f t="shared" si="25"/>
        <v>0.5</v>
      </c>
      <c r="AB252" s="23">
        <f>IFERROR(AA252*SETTINGS!$C$9,"")</f>
        <v>2.5000000000000001E-2</v>
      </c>
      <c r="AC252" s="23">
        <f>IFERROR((AA252+AB252)*SETTINGS!$C$10,"")</f>
        <v>2.6250000000000002E-2</v>
      </c>
    </row>
    <row r="253" spans="1:29" ht="16" x14ac:dyDescent="0.2">
      <c r="A253" s="25"/>
      <c r="H253" t="str">
        <f>IFERROR(VLOOKUP(G253,FILAMENTI_DB!$A:$C,3,FALSE),"")</f>
        <v/>
      </c>
      <c r="I253" t="str">
        <f>IFERROR(VLOOKUP(G253,FILAMENTI_DB!$A:$E,4,FALSE),"")</f>
        <v/>
      </c>
      <c r="J253" s="26"/>
      <c r="K253" s="27"/>
      <c r="L253" s="27"/>
      <c r="M253" s="27">
        <f t="shared" si="20"/>
        <v>0</v>
      </c>
      <c r="N253" s="26">
        <f t="shared" si="21"/>
        <v>0</v>
      </c>
      <c r="O253" s="26"/>
      <c r="P253" s="26"/>
      <c r="Q253" s="23"/>
      <c r="R253" s="23">
        <f t="shared" si="22"/>
        <v>0</v>
      </c>
      <c r="S253" s="23"/>
      <c r="T253" s="23">
        <f t="shared" si="23"/>
        <v>0</v>
      </c>
      <c r="U253" s="28" t="str">
        <f t="shared" si="24"/>
        <v/>
      </c>
      <c r="V253" s="10" t="str">
        <f>IFERROR(N253*VLOOKUP(G253,FILAMENTI_DB!$A:$J,10,FALSE),"")</f>
        <v/>
      </c>
      <c r="W253" s="23" t="str">
        <f>IFERROR((VLOOKUP(F253,STAMPANTI_DB!$A:$C,3,FALSE)/1000)*O253*SETTINGS!$C$6,"")</f>
        <v/>
      </c>
      <c r="X253" s="23" t="str">
        <f>IFERROR(O253*VLOOKUP(F253,STAMPANTI_DB!$A:$I,9,FALSE),"")</f>
        <v/>
      </c>
      <c r="Y253" s="23">
        <f>IFERROR(P253*SETTINGS!$C$7,"")</f>
        <v>0</v>
      </c>
      <c r="Z253" s="23">
        <f>SETTINGS!$C$11</f>
        <v>0.5</v>
      </c>
      <c r="AA253" s="23">
        <f t="shared" si="25"/>
        <v>0.5</v>
      </c>
      <c r="AB253" s="23">
        <f>IFERROR(AA253*SETTINGS!$C$9,"")</f>
        <v>2.5000000000000001E-2</v>
      </c>
      <c r="AC253" s="23">
        <f>IFERROR((AA253+AB253)*SETTINGS!$C$10,"")</f>
        <v>2.6250000000000002E-2</v>
      </c>
    </row>
    <row r="254" spans="1:29" ht="16" x14ac:dyDescent="0.2">
      <c r="A254" s="25"/>
      <c r="H254" t="str">
        <f>IFERROR(VLOOKUP(G254,FILAMENTI_DB!$A:$C,3,FALSE),"")</f>
        <v/>
      </c>
      <c r="I254" t="str">
        <f>IFERROR(VLOOKUP(G254,FILAMENTI_DB!$A:$E,4,FALSE),"")</f>
        <v/>
      </c>
      <c r="J254" s="26"/>
      <c r="K254" s="27"/>
      <c r="L254" s="27"/>
      <c r="M254" s="27">
        <f t="shared" si="20"/>
        <v>0</v>
      </c>
      <c r="N254" s="26">
        <f t="shared" si="21"/>
        <v>0</v>
      </c>
      <c r="O254" s="26"/>
      <c r="P254" s="26"/>
      <c r="Q254" s="23"/>
      <c r="R254" s="23">
        <f t="shared" si="22"/>
        <v>0</v>
      </c>
      <c r="S254" s="23"/>
      <c r="T254" s="23">
        <f t="shared" si="23"/>
        <v>0</v>
      </c>
      <c r="U254" s="28" t="str">
        <f t="shared" si="24"/>
        <v/>
      </c>
      <c r="V254" s="10" t="str">
        <f>IFERROR(N254*VLOOKUP(G254,FILAMENTI_DB!$A:$J,10,FALSE),"")</f>
        <v/>
      </c>
      <c r="W254" s="23" t="str">
        <f>IFERROR((VLOOKUP(F254,STAMPANTI_DB!$A:$C,3,FALSE)/1000)*O254*SETTINGS!$C$6,"")</f>
        <v/>
      </c>
      <c r="X254" s="23" t="str">
        <f>IFERROR(O254*VLOOKUP(F254,STAMPANTI_DB!$A:$I,9,FALSE),"")</f>
        <v/>
      </c>
      <c r="Y254" s="23">
        <f>IFERROR(P254*SETTINGS!$C$7,"")</f>
        <v>0</v>
      </c>
      <c r="Z254" s="23">
        <f>SETTINGS!$C$11</f>
        <v>0.5</v>
      </c>
      <c r="AA254" s="23">
        <f t="shared" si="25"/>
        <v>0.5</v>
      </c>
      <c r="AB254" s="23">
        <f>IFERROR(AA254*SETTINGS!$C$9,"")</f>
        <v>2.5000000000000001E-2</v>
      </c>
      <c r="AC254" s="23">
        <f>IFERROR((AA254+AB254)*SETTINGS!$C$10,"")</f>
        <v>2.6250000000000002E-2</v>
      </c>
    </row>
    <row r="255" spans="1:29" ht="16" x14ac:dyDescent="0.2">
      <c r="A255" s="25"/>
      <c r="H255" t="str">
        <f>IFERROR(VLOOKUP(G255,FILAMENTI_DB!$A:$C,3,FALSE),"")</f>
        <v/>
      </c>
      <c r="I255" t="str">
        <f>IFERROR(VLOOKUP(G255,FILAMENTI_DB!$A:$E,4,FALSE),"")</f>
        <v/>
      </c>
      <c r="J255" s="26"/>
      <c r="K255" s="27"/>
      <c r="L255" s="27"/>
      <c r="M255" s="27">
        <f t="shared" si="20"/>
        <v>0</v>
      </c>
      <c r="N255" s="26">
        <f t="shared" si="21"/>
        <v>0</v>
      </c>
      <c r="O255" s="26"/>
      <c r="P255" s="26"/>
      <c r="Q255" s="23"/>
      <c r="R255" s="23">
        <f t="shared" si="22"/>
        <v>0</v>
      </c>
      <c r="S255" s="23"/>
      <c r="T255" s="23">
        <f t="shared" si="23"/>
        <v>0</v>
      </c>
      <c r="U255" s="28" t="str">
        <f t="shared" si="24"/>
        <v/>
      </c>
      <c r="V255" s="10" t="str">
        <f>IFERROR(N255*VLOOKUP(G255,FILAMENTI_DB!$A:$J,10,FALSE),"")</f>
        <v/>
      </c>
      <c r="W255" s="23" t="str">
        <f>IFERROR((VLOOKUP(F255,STAMPANTI_DB!$A:$C,3,FALSE)/1000)*O255*SETTINGS!$C$6,"")</f>
        <v/>
      </c>
      <c r="X255" s="23" t="str">
        <f>IFERROR(O255*VLOOKUP(F255,STAMPANTI_DB!$A:$I,9,FALSE),"")</f>
        <v/>
      </c>
      <c r="Y255" s="23">
        <f>IFERROR(P255*SETTINGS!$C$7,"")</f>
        <v>0</v>
      </c>
      <c r="Z255" s="23">
        <f>SETTINGS!$C$11</f>
        <v>0.5</v>
      </c>
      <c r="AA255" s="23">
        <f t="shared" si="25"/>
        <v>0.5</v>
      </c>
      <c r="AB255" s="23">
        <f>IFERROR(AA255*SETTINGS!$C$9,"")</f>
        <v>2.5000000000000001E-2</v>
      </c>
      <c r="AC255" s="23">
        <f>IFERROR((AA255+AB255)*SETTINGS!$C$10,"")</f>
        <v>2.6250000000000002E-2</v>
      </c>
    </row>
    <row r="256" spans="1:29" ht="16" x14ac:dyDescent="0.2">
      <c r="A256" s="25"/>
      <c r="H256" t="str">
        <f>IFERROR(VLOOKUP(G256,FILAMENTI_DB!$A:$C,3,FALSE),"")</f>
        <v/>
      </c>
      <c r="I256" t="str">
        <f>IFERROR(VLOOKUP(G256,FILAMENTI_DB!$A:$E,4,FALSE),"")</f>
        <v/>
      </c>
      <c r="J256" s="26"/>
      <c r="K256" s="27"/>
      <c r="L256" s="27"/>
      <c r="M256" s="27">
        <f t="shared" si="20"/>
        <v>0</v>
      </c>
      <c r="N256" s="26">
        <f t="shared" si="21"/>
        <v>0</v>
      </c>
      <c r="O256" s="26"/>
      <c r="P256" s="26"/>
      <c r="Q256" s="23"/>
      <c r="R256" s="23">
        <f t="shared" si="22"/>
        <v>0</v>
      </c>
      <c r="S256" s="23"/>
      <c r="T256" s="23">
        <f t="shared" si="23"/>
        <v>0</v>
      </c>
      <c r="U256" s="28" t="str">
        <f t="shared" si="24"/>
        <v/>
      </c>
      <c r="V256" s="10" t="str">
        <f>IFERROR(N256*VLOOKUP(G256,FILAMENTI_DB!$A:$J,10,FALSE),"")</f>
        <v/>
      </c>
      <c r="W256" s="23" t="str">
        <f>IFERROR((VLOOKUP(F256,STAMPANTI_DB!$A:$C,3,FALSE)/1000)*O256*SETTINGS!$C$6,"")</f>
        <v/>
      </c>
      <c r="X256" s="23" t="str">
        <f>IFERROR(O256*VLOOKUP(F256,STAMPANTI_DB!$A:$I,9,FALSE),"")</f>
        <v/>
      </c>
      <c r="Y256" s="23">
        <f>IFERROR(P256*SETTINGS!$C$7,"")</f>
        <v>0</v>
      </c>
      <c r="Z256" s="23">
        <f>SETTINGS!$C$11</f>
        <v>0.5</v>
      </c>
      <c r="AA256" s="23">
        <f t="shared" si="25"/>
        <v>0.5</v>
      </c>
      <c r="AB256" s="23">
        <f>IFERROR(AA256*SETTINGS!$C$9,"")</f>
        <v>2.5000000000000001E-2</v>
      </c>
      <c r="AC256" s="23">
        <f>IFERROR((AA256+AB256)*SETTINGS!$C$10,"")</f>
        <v>2.6250000000000002E-2</v>
      </c>
    </row>
    <row r="257" spans="1:29" ht="16" x14ac:dyDescent="0.2">
      <c r="A257" s="25"/>
      <c r="H257" t="str">
        <f>IFERROR(VLOOKUP(G257,FILAMENTI_DB!$A:$C,3,FALSE),"")</f>
        <v/>
      </c>
      <c r="I257" t="str">
        <f>IFERROR(VLOOKUP(G257,FILAMENTI_DB!$A:$E,4,FALSE),"")</f>
        <v/>
      </c>
      <c r="J257" s="26"/>
      <c r="K257" s="27"/>
      <c r="L257" s="27"/>
      <c r="M257" s="27">
        <f t="shared" si="20"/>
        <v>0</v>
      </c>
      <c r="N257" s="26">
        <f t="shared" si="21"/>
        <v>0</v>
      </c>
      <c r="O257" s="26"/>
      <c r="P257" s="26"/>
      <c r="Q257" s="23"/>
      <c r="R257" s="23">
        <f t="shared" si="22"/>
        <v>0</v>
      </c>
      <c r="S257" s="23"/>
      <c r="T257" s="23">
        <f t="shared" si="23"/>
        <v>0</v>
      </c>
      <c r="U257" s="28" t="str">
        <f t="shared" si="24"/>
        <v/>
      </c>
      <c r="V257" s="10" t="str">
        <f>IFERROR(N257*VLOOKUP(G257,FILAMENTI_DB!$A:$J,10,FALSE),"")</f>
        <v/>
      </c>
      <c r="W257" s="23" t="str">
        <f>IFERROR((VLOOKUP(F257,STAMPANTI_DB!$A:$C,3,FALSE)/1000)*O257*SETTINGS!$C$6,"")</f>
        <v/>
      </c>
      <c r="X257" s="23" t="str">
        <f>IFERROR(O257*VLOOKUP(F257,STAMPANTI_DB!$A:$I,9,FALSE),"")</f>
        <v/>
      </c>
      <c r="Y257" s="23">
        <f>IFERROR(P257*SETTINGS!$C$7,"")</f>
        <v>0</v>
      </c>
      <c r="Z257" s="23">
        <f>SETTINGS!$C$11</f>
        <v>0.5</v>
      </c>
      <c r="AA257" s="23">
        <f t="shared" si="25"/>
        <v>0.5</v>
      </c>
      <c r="AB257" s="23">
        <f>IFERROR(AA257*SETTINGS!$C$9,"")</f>
        <v>2.5000000000000001E-2</v>
      </c>
      <c r="AC257" s="23">
        <f>IFERROR((AA257+AB257)*SETTINGS!$C$10,"")</f>
        <v>2.6250000000000002E-2</v>
      </c>
    </row>
    <row r="258" spans="1:29" ht="16" x14ac:dyDescent="0.2">
      <c r="A258" s="25"/>
      <c r="H258" t="str">
        <f>IFERROR(VLOOKUP(G258,FILAMENTI_DB!$A:$C,3,FALSE),"")</f>
        <v/>
      </c>
      <c r="I258" t="str">
        <f>IFERROR(VLOOKUP(G258,FILAMENTI_DB!$A:$E,4,FALSE),"")</f>
        <v/>
      </c>
      <c r="J258" s="26"/>
      <c r="K258" s="27"/>
      <c r="L258" s="27"/>
      <c r="M258" s="27">
        <f t="shared" si="20"/>
        <v>0</v>
      </c>
      <c r="N258" s="26">
        <f t="shared" si="21"/>
        <v>0</v>
      </c>
      <c r="O258" s="26"/>
      <c r="P258" s="26"/>
      <c r="Q258" s="23"/>
      <c r="R258" s="23">
        <f t="shared" si="22"/>
        <v>0</v>
      </c>
      <c r="S258" s="23"/>
      <c r="T258" s="23">
        <f t="shared" si="23"/>
        <v>0</v>
      </c>
      <c r="U258" s="28" t="str">
        <f t="shared" si="24"/>
        <v/>
      </c>
      <c r="V258" s="10" t="str">
        <f>IFERROR(N258*VLOOKUP(G258,FILAMENTI_DB!$A:$J,10,FALSE),"")</f>
        <v/>
      </c>
      <c r="W258" s="23" t="str">
        <f>IFERROR((VLOOKUP(F258,STAMPANTI_DB!$A:$C,3,FALSE)/1000)*O258*SETTINGS!$C$6,"")</f>
        <v/>
      </c>
      <c r="X258" s="23" t="str">
        <f>IFERROR(O258*VLOOKUP(F258,STAMPANTI_DB!$A:$I,9,FALSE),"")</f>
        <v/>
      </c>
      <c r="Y258" s="23">
        <f>IFERROR(P258*SETTINGS!$C$7,"")</f>
        <v>0</v>
      </c>
      <c r="Z258" s="23">
        <f>SETTINGS!$C$11</f>
        <v>0.5</v>
      </c>
      <c r="AA258" s="23">
        <f t="shared" si="25"/>
        <v>0.5</v>
      </c>
      <c r="AB258" s="23">
        <f>IFERROR(AA258*SETTINGS!$C$9,"")</f>
        <v>2.5000000000000001E-2</v>
      </c>
      <c r="AC258" s="23">
        <f>IFERROR((AA258+AB258)*SETTINGS!$C$10,"")</f>
        <v>2.6250000000000002E-2</v>
      </c>
    </row>
    <row r="259" spans="1:29" ht="16" x14ac:dyDescent="0.2">
      <c r="A259" s="25"/>
      <c r="H259" t="str">
        <f>IFERROR(VLOOKUP(G259,FILAMENTI_DB!$A:$C,3,FALSE),"")</f>
        <v/>
      </c>
      <c r="I259" t="str">
        <f>IFERROR(VLOOKUP(G259,FILAMENTI_DB!$A:$E,4,FALSE),"")</f>
        <v/>
      </c>
      <c r="J259" s="26"/>
      <c r="K259" s="27"/>
      <c r="L259" s="27"/>
      <c r="M259" s="27">
        <f t="shared" si="20"/>
        <v>0</v>
      </c>
      <c r="N259" s="26">
        <f t="shared" si="21"/>
        <v>0</v>
      </c>
      <c r="O259" s="26"/>
      <c r="P259" s="26"/>
      <c r="Q259" s="23"/>
      <c r="R259" s="23">
        <f t="shared" si="22"/>
        <v>0</v>
      </c>
      <c r="S259" s="23"/>
      <c r="T259" s="23">
        <f t="shared" si="23"/>
        <v>0</v>
      </c>
      <c r="U259" s="28" t="str">
        <f t="shared" si="24"/>
        <v/>
      </c>
      <c r="V259" s="10" t="str">
        <f>IFERROR(N259*VLOOKUP(G259,FILAMENTI_DB!$A:$J,10,FALSE),"")</f>
        <v/>
      </c>
      <c r="W259" s="23" t="str">
        <f>IFERROR((VLOOKUP(F259,STAMPANTI_DB!$A:$C,3,FALSE)/1000)*O259*SETTINGS!$C$6,"")</f>
        <v/>
      </c>
      <c r="X259" s="23" t="str">
        <f>IFERROR(O259*VLOOKUP(F259,STAMPANTI_DB!$A:$I,9,FALSE),"")</f>
        <v/>
      </c>
      <c r="Y259" s="23">
        <f>IFERROR(P259*SETTINGS!$C$7,"")</f>
        <v>0</v>
      </c>
      <c r="Z259" s="23">
        <f>SETTINGS!$C$11</f>
        <v>0.5</v>
      </c>
      <c r="AA259" s="23">
        <f t="shared" si="25"/>
        <v>0.5</v>
      </c>
      <c r="AB259" s="23">
        <f>IFERROR(AA259*SETTINGS!$C$9,"")</f>
        <v>2.5000000000000001E-2</v>
      </c>
      <c r="AC259" s="23">
        <f>IFERROR((AA259+AB259)*SETTINGS!$C$10,"")</f>
        <v>2.6250000000000002E-2</v>
      </c>
    </row>
    <row r="260" spans="1:29" ht="16" x14ac:dyDescent="0.2">
      <c r="A260" s="25"/>
      <c r="H260" t="str">
        <f>IFERROR(VLOOKUP(G260,FILAMENTI_DB!$A:$C,3,FALSE),"")</f>
        <v/>
      </c>
      <c r="I260" t="str">
        <f>IFERROR(VLOOKUP(G260,FILAMENTI_DB!$A:$E,4,FALSE),"")</f>
        <v/>
      </c>
      <c r="J260" s="26"/>
      <c r="K260" s="27"/>
      <c r="L260" s="27"/>
      <c r="M260" s="27">
        <f t="shared" si="20"/>
        <v>0</v>
      </c>
      <c r="N260" s="26">
        <f t="shared" si="21"/>
        <v>0</v>
      </c>
      <c r="O260" s="26"/>
      <c r="P260" s="26"/>
      <c r="Q260" s="23"/>
      <c r="R260" s="23">
        <f t="shared" si="22"/>
        <v>0</v>
      </c>
      <c r="S260" s="23"/>
      <c r="T260" s="23">
        <f t="shared" si="23"/>
        <v>0</v>
      </c>
      <c r="U260" s="28" t="str">
        <f t="shared" si="24"/>
        <v/>
      </c>
      <c r="V260" s="10" t="str">
        <f>IFERROR(N260*VLOOKUP(G260,FILAMENTI_DB!$A:$J,10,FALSE),"")</f>
        <v/>
      </c>
      <c r="W260" s="23" t="str">
        <f>IFERROR((VLOOKUP(F260,STAMPANTI_DB!$A:$C,3,FALSE)/1000)*O260*SETTINGS!$C$6,"")</f>
        <v/>
      </c>
      <c r="X260" s="23" t="str">
        <f>IFERROR(O260*VLOOKUP(F260,STAMPANTI_DB!$A:$I,9,FALSE),"")</f>
        <v/>
      </c>
      <c r="Y260" s="23">
        <f>IFERROR(P260*SETTINGS!$C$7,"")</f>
        <v>0</v>
      </c>
      <c r="Z260" s="23">
        <f>SETTINGS!$C$11</f>
        <v>0.5</v>
      </c>
      <c r="AA260" s="23">
        <f t="shared" si="25"/>
        <v>0.5</v>
      </c>
      <c r="AB260" s="23">
        <f>IFERROR(AA260*SETTINGS!$C$9,"")</f>
        <v>2.5000000000000001E-2</v>
      </c>
      <c r="AC260" s="23">
        <f>IFERROR((AA260+AB260)*SETTINGS!$C$10,"")</f>
        <v>2.6250000000000002E-2</v>
      </c>
    </row>
    <row r="261" spans="1:29" ht="16" x14ac:dyDescent="0.2">
      <c r="A261" s="25"/>
      <c r="H261" t="str">
        <f>IFERROR(VLOOKUP(G261,FILAMENTI_DB!$A:$C,3,FALSE),"")</f>
        <v/>
      </c>
      <c r="I261" t="str">
        <f>IFERROR(VLOOKUP(G261,FILAMENTI_DB!$A:$E,4,FALSE),"")</f>
        <v/>
      </c>
      <c r="J261" s="26"/>
      <c r="K261" s="27"/>
      <c r="L261" s="27"/>
      <c r="M261" s="27">
        <f t="shared" ref="M261:M324" si="26">IFERROR(K261+L261,"")</f>
        <v>0</v>
      </c>
      <c r="N261" s="26">
        <f t="shared" ref="N261:N324" si="27">IFERROR(J261*M261,"")</f>
        <v>0</v>
      </c>
      <c r="O261" s="26"/>
      <c r="P261" s="26"/>
      <c r="Q261" s="23"/>
      <c r="R261" s="23">
        <f t="shared" ref="R261:R324" si="28">IFERROR(Q261*K261,"")</f>
        <v>0</v>
      </c>
      <c r="S261" s="23"/>
      <c r="T261" s="23">
        <f t="shared" ref="T261:T324" si="29">IFERROR(R261-S261,"")</f>
        <v>0</v>
      </c>
      <c r="U261" s="28" t="str">
        <f t="shared" ref="U261:U324" si="30">IFERROR(T261/R261,"")</f>
        <v/>
      </c>
      <c r="V261" s="10" t="str">
        <f>IFERROR(N261*VLOOKUP(G261,FILAMENTI_DB!$A:$J,10,FALSE),"")</f>
        <v/>
      </c>
      <c r="W261" s="23" t="str">
        <f>IFERROR((VLOOKUP(F261,STAMPANTI_DB!$A:$C,3,FALSE)/1000)*O261*SETTINGS!$C$6,"")</f>
        <v/>
      </c>
      <c r="X261" s="23" t="str">
        <f>IFERROR(O261*VLOOKUP(F261,STAMPANTI_DB!$A:$I,9,FALSE),"")</f>
        <v/>
      </c>
      <c r="Y261" s="23">
        <f>IFERROR(P261*SETTINGS!$C$7,"")</f>
        <v>0</v>
      </c>
      <c r="Z261" s="23">
        <f>SETTINGS!$C$11</f>
        <v>0.5</v>
      </c>
      <c r="AA261" s="23">
        <f t="shared" ref="AA261:AA324" si="31">IFERROR(SUM(V261:Z261),"")</f>
        <v>0.5</v>
      </c>
      <c r="AB261" s="23">
        <f>IFERROR(AA261*SETTINGS!$C$9,"")</f>
        <v>2.5000000000000001E-2</v>
      </c>
      <c r="AC261" s="23">
        <f>IFERROR((AA261+AB261)*SETTINGS!$C$10,"")</f>
        <v>2.6250000000000002E-2</v>
      </c>
    </row>
    <row r="262" spans="1:29" ht="16" x14ac:dyDescent="0.2">
      <c r="A262" s="25"/>
      <c r="H262" t="str">
        <f>IFERROR(VLOOKUP(G262,FILAMENTI_DB!$A:$C,3,FALSE),"")</f>
        <v/>
      </c>
      <c r="I262" t="str">
        <f>IFERROR(VLOOKUP(G262,FILAMENTI_DB!$A:$E,4,FALSE),"")</f>
        <v/>
      </c>
      <c r="J262" s="26"/>
      <c r="K262" s="27"/>
      <c r="L262" s="27"/>
      <c r="M262" s="27">
        <f t="shared" si="26"/>
        <v>0</v>
      </c>
      <c r="N262" s="26">
        <f t="shared" si="27"/>
        <v>0</v>
      </c>
      <c r="O262" s="26"/>
      <c r="P262" s="26"/>
      <c r="Q262" s="23"/>
      <c r="R262" s="23">
        <f t="shared" si="28"/>
        <v>0</v>
      </c>
      <c r="S262" s="23"/>
      <c r="T262" s="23">
        <f t="shared" si="29"/>
        <v>0</v>
      </c>
      <c r="U262" s="28" t="str">
        <f t="shared" si="30"/>
        <v/>
      </c>
      <c r="V262" s="10" t="str">
        <f>IFERROR(N262*VLOOKUP(G262,FILAMENTI_DB!$A:$J,10,FALSE),"")</f>
        <v/>
      </c>
      <c r="W262" s="23" t="str">
        <f>IFERROR((VLOOKUP(F262,STAMPANTI_DB!$A:$C,3,FALSE)/1000)*O262*SETTINGS!$C$6,"")</f>
        <v/>
      </c>
      <c r="X262" s="23" t="str">
        <f>IFERROR(O262*VLOOKUP(F262,STAMPANTI_DB!$A:$I,9,FALSE),"")</f>
        <v/>
      </c>
      <c r="Y262" s="23">
        <f>IFERROR(P262*SETTINGS!$C$7,"")</f>
        <v>0</v>
      </c>
      <c r="Z262" s="23">
        <f>SETTINGS!$C$11</f>
        <v>0.5</v>
      </c>
      <c r="AA262" s="23">
        <f t="shared" si="31"/>
        <v>0.5</v>
      </c>
      <c r="AB262" s="23">
        <f>IFERROR(AA262*SETTINGS!$C$9,"")</f>
        <v>2.5000000000000001E-2</v>
      </c>
      <c r="AC262" s="23">
        <f>IFERROR((AA262+AB262)*SETTINGS!$C$10,"")</f>
        <v>2.6250000000000002E-2</v>
      </c>
    </row>
    <row r="263" spans="1:29" ht="16" x14ac:dyDescent="0.2">
      <c r="A263" s="25"/>
      <c r="H263" t="str">
        <f>IFERROR(VLOOKUP(G263,FILAMENTI_DB!$A:$C,3,FALSE),"")</f>
        <v/>
      </c>
      <c r="I263" t="str">
        <f>IFERROR(VLOOKUP(G263,FILAMENTI_DB!$A:$E,4,FALSE),"")</f>
        <v/>
      </c>
      <c r="J263" s="26"/>
      <c r="K263" s="27"/>
      <c r="L263" s="27"/>
      <c r="M263" s="27">
        <f t="shared" si="26"/>
        <v>0</v>
      </c>
      <c r="N263" s="26">
        <f t="shared" si="27"/>
        <v>0</v>
      </c>
      <c r="O263" s="26"/>
      <c r="P263" s="26"/>
      <c r="Q263" s="23"/>
      <c r="R263" s="23">
        <f t="shared" si="28"/>
        <v>0</v>
      </c>
      <c r="S263" s="23"/>
      <c r="T263" s="23">
        <f t="shared" si="29"/>
        <v>0</v>
      </c>
      <c r="U263" s="28" t="str">
        <f t="shared" si="30"/>
        <v/>
      </c>
      <c r="V263" s="10" t="str">
        <f>IFERROR(N263*VLOOKUP(G263,FILAMENTI_DB!$A:$J,10,FALSE),"")</f>
        <v/>
      </c>
      <c r="W263" s="23" t="str">
        <f>IFERROR((VLOOKUP(F263,STAMPANTI_DB!$A:$C,3,FALSE)/1000)*O263*SETTINGS!$C$6,"")</f>
        <v/>
      </c>
      <c r="X263" s="23" t="str">
        <f>IFERROR(O263*VLOOKUP(F263,STAMPANTI_DB!$A:$I,9,FALSE),"")</f>
        <v/>
      </c>
      <c r="Y263" s="23">
        <f>IFERROR(P263*SETTINGS!$C$7,"")</f>
        <v>0</v>
      </c>
      <c r="Z263" s="23">
        <f>SETTINGS!$C$11</f>
        <v>0.5</v>
      </c>
      <c r="AA263" s="23">
        <f t="shared" si="31"/>
        <v>0.5</v>
      </c>
      <c r="AB263" s="23">
        <f>IFERROR(AA263*SETTINGS!$C$9,"")</f>
        <v>2.5000000000000001E-2</v>
      </c>
      <c r="AC263" s="23">
        <f>IFERROR((AA263+AB263)*SETTINGS!$C$10,"")</f>
        <v>2.6250000000000002E-2</v>
      </c>
    </row>
    <row r="264" spans="1:29" ht="16" x14ac:dyDescent="0.2">
      <c r="A264" s="25"/>
      <c r="H264" t="str">
        <f>IFERROR(VLOOKUP(G264,FILAMENTI_DB!$A:$C,3,FALSE),"")</f>
        <v/>
      </c>
      <c r="I264" t="str">
        <f>IFERROR(VLOOKUP(G264,FILAMENTI_DB!$A:$E,4,FALSE),"")</f>
        <v/>
      </c>
      <c r="J264" s="26"/>
      <c r="K264" s="27"/>
      <c r="L264" s="27"/>
      <c r="M264" s="27">
        <f t="shared" si="26"/>
        <v>0</v>
      </c>
      <c r="N264" s="26">
        <f t="shared" si="27"/>
        <v>0</v>
      </c>
      <c r="O264" s="26"/>
      <c r="P264" s="26"/>
      <c r="Q264" s="23"/>
      <c r="R264" s="23">
        <f t="shared" si="28"/>
        <v>0</v>
      </c>
      <c r="S264" s="23"/>
      <c r="T264" s="23">
        <f t="shared" si="29"/>
        <v>0</v>
      </c>
      <c r="U264" s="28" t="str">
        <f t="shared" si="30"/>
        <v/>
      </c>
      <c r="V264" s="10" t="str">
        <f>IFERROR(N264*VLOOKUP(G264,FILAMENTI_DB!$A:$J,10,FALSE),"")</f>
        <v/>
      </c>
      <c r="W264" s="23" t="str">
        <f>IFERROR((VLOOKUP(F264,STAMPANTI_DB!$A:$C,3,FALSE)/1000)*O264*SETTINGS!$C$6,"")</f>
        <v/>
      </c>
      <c r="X264" s="23" t="str">
        <f>IFERROR(O264*VLOOKUP(F264,STAMPANTI_DB!$A:$I,9,FALSE),"")</f>
        <v/>
      </c>
      <c r="Y264" s="23">
        <f>IFERROR(P264*SETTINGS!$C$7,"")</f>
        <v>0</v>
      </c>
      <c r="Z264" s="23">
        <f>SETTINGS!$C$11</f>
        <v>0.5</v>
      </c>
      <c r="AA264" s="23">
        <f t="shared" si="31"/>
        <v>0.5</v>
      </c>
      <c r="AB264" s="23">
        <f>IFERROR(AA264*SETTINGS!$C$9,"")</f>
        <v>2.5000000000000001E-2</v>
      </c>
      <c r="AC264" s="23">
        <f>IFERROR((AA264+AB264)*SETTINGS!$C$10,"")</f>
        <v>2.6250000000000002E-2</v>
      </c>
    </row>
    <row r="265" spans="1:29" ht="16" x14ac:dyDescent="0.2">
      <c r="A265" s="25"/>
      <c r="H265" t="str">
        <f>IFERROR(VLOOKUP(G265,FILAMENTI_DB!$A:$C,3,FALSE),"")</f>
        <v/>
      </c>
      <c r="I265" t="str">
        <f>IFERROR(VLOOKUP(G265,FILAMENTI_DB!$A:$E,4,FALSE),"")</f>
        <v/>
      </c>
      <c r="J265" s="26"/>
      <c r="K265" s="27"/>
      <c r="L265" s="27"/>
      <c r="M265" s="27">
        <f t="shared" si="26"/>
        <v>0</v>
      </c>
      <c r="N265" s="26">
        <f t="shared" si="27"/>
        <v>0</v>
      </c>
      <c r="O265" s="26"/>
      <c r="P265" s="26"/>
      <c r="Q265" s="23"/>
      <c r="R265" s="23">
        <f t="shared" si="28"/>
        <v>0</v>
      </c>
      <c r="S265" s="23"/>
      <c r="T265" s="23">
        <f t="shared" si="29"/>
        <v>0</v>
      </c>
      <c r="U265" s="28" t="str">
        <f t="shared" si="30"/>
        <v/>
      </c>
      <c r="V265" s="10" t="str">
        <f>IFERROR(N265*VLOOKUP(G265,FILAMENTI_DB!$A:$J,10,FALSE),"")</f>
        <v/>
      </c>
      <c r="W265" s="23" t="str">
        <f>IFERROR((VLOOKUP(F265,STAMPANTI_DB!$A:$C,3,FALSE)/1000)*O265*SETTINGS!$C$6,"")</f>
        <v/>
      </c>
      <c r="X265" s="23" t="str">
        <f>IFERROR(O265*VLOOKUP(F265,STAMPANTI_DB!$A:$I,9,FALSE),"")</f>
        <v/>
      </c>
      <c r="Y265" s="23">
        <f>IFERROR(P265*SETTINGS!$C$7,"")</f>
        <v>0</v>
      </c>
      <c r="Z265" s="23">
        <f>SETTINGS!$C$11</f>
        <v>0.5</v>
      </c>
      <c r="AA265" s="23">
        <f t="shared" si="31"/>
        <v>0.5</v>
      </c>
      <c r="AB265" s="23">
        <f>IFERROR(AA265*SETTINGS!$C$9,"")</f>
        <v>2.5000000000000001E-2</v>
      </c>
      <c r="AC265" s="23">
        <f>IFERROR((AA265+AB265)*SETTINGS!$C$10,"")</f>
        <v>2.6250000000000002E-2</v>
      </c>
    </row>
    <row r="266" spans="1:29" ht="16" x14ac:dyDescent="0.2">
      <c r="A266" s="25"/>
      <c r="H266" t="str">
        <f>IFERROR(VLOOKUP(G266,FILAMENTI_DB!$A:$C,3,FALSE),"")</f>
        <v/>
      </c>
      <c r="I266" t="str">
        <f>IFERROR(VLOOKUP(G266,FILAMENTI_DB!$A:$E,4,FALSE),"")</f>
        <v/>
      </c>
      <c r="J266" s="26"/>
      <c r="K266" s="27"/>
      <c r="L266" s="27"/>
      <c r="M266" s="27">
        <f t="shared" si="26"/>
        <v>0</v>
      </c>
      <c r="N266" s="26">
        <f t="shared" si="27"/>
        <v>0</v>
      </c>
      <c r="O266" s="26"/>
      <c r="P266" s="26"/>
      <c r="Q266" s="23"/>
      <c r="R266" s="23">
        <f t="shared" si="28"/>
        <v>0</v>
      </c>
      <c r="S266" s="23"/>
      <c r="T266" s="23">
        <f t="shared" si="29"/>
        <v>0</v>
      </c>
      <c r="U266" s="28" t="str">
        <f t="shared" si="30"/>
        <v/>
      </c>
      <c r="V266" s="10" t="str">
        <f>IFERROR(N266*VLOOKUP(G266,FILAMENTI_DB!$A:$J,10,FALSE),"")</f>
        <v/>
      </c>
      <c r="W266" s="23" t="str">
        <f>IFERROR((VLOOKUP(F266,STAMPANTI_DB!$A:$C,3,FALSE)/1000)*O266*SETTINGS!$C$6,"")</f>
        <v/>
      </c>
      <c r="X266" s="23" t="str">
        <f>IFERROR(O266*VLOOKUP(F266,STAMPANTI_DB!$A:$I,9,FALSE),"")</f>
        <v/>
      </c>
      <c r="Y266" s="23">
        <f>IFERROR(P266*SETTINGS!$C$7,"")</f>
        <v>0</v>
      </c>
      <c r="Z266" s="23">
        <f>SETTINGS!$C$11</f>
        <v>0.5</v>
      </c>
      <c r="AA266" s="23">
        <f t="shared" si="31"/>
        <v>0.5</v>
      </c>
      <c r="AB266" s="23">
        <f>IFERROR(AA266*SETTINGS!$C$9,"")</f>
        <v>2.5000000000000001E-2</v>
      </c>
      <c r="AC266" s="23">
        <f>IFERROR((AA266+AB266)*SETTINGS!$C$10,"")</f>
        <v>2.6250000000000002E-2</v>
      </c>
    </row>
    <row r="267" spans="1:29" ht="16" x14ac:dyDescent="0.2">
      <c r="A267" s="25"/>
      <c r="H267" t="str">
        <f>IFERROR(VLOOKUP(G267,FILAMENTI_DB!$A:$C,3,FALSE),"")</f>
        <v/>
      </c>
      <c r="I267" t="str">
        <f>IFERROR(VLOOKUP(G267,FILAMENTI_DB!$A:$E,4,FALSE),"")</f>
        <v/>
      </c>
      <c r="J267" s="26"/>
      <c r="K267" s="27"/>
      <c r="L267" s="27"/>
      <c r="M267" s="27">
        <f t="shared" si="26"/>
        <v>0</v>
      </c>
      <c r="N267" s="26">
        <f t="shared" si="27"/>
        <v>0</v>
      </c>
      <c r="O267" s="26"/>
      <c r="P267" s="26"/>
      <c r="Q267" s="23"/>
      <c r="R267" s="23">
        <f t="shared" si="28"/>
        <v>0</v>
      </c>
      <c r="S267" s="23"/>
      <c r="T267" s="23">
        <f t="shared" si="29"/>
        <v>0</v>
      </c>
      <c r="U267" s="28" t="str">
        <f t="shared" si="30"/>
        <v/>
      </c>
      <c r="V267" s="10" t="str">
        <f>IFERROR(N267*VLOOKUP(G267,FILAMENTI_DB!$A:$J,10,FALSE),"")</f>
        <v/>
      </c>
      <c r="W267" s="23" t="str">
        <f>IFERROR((VLOOKUP(F267,STAMPANTI_DB!$A:$C,3,FALSE)/1000)*O267*SETTINGS!$C$6,"")</f>
        <v/>
      </c>
      <c r="X267" s="23" t="str">
        <f>IFERROR(O267*VLOOKUP(F267,STAMPANTI_DB!$A:$I,9,FALSE),"")</f>
        <v/>
      </c>
      <c r="Y267" s="23">
        <f>IFERROR(P267*SETTINGS!$C$7,"")</f>
        <v>0</v>
      </c>
      <c r="Z267" s="23">
        <f>SETTINGS!$C$11</f>
        <v>0.5</v>
      </c>
      <c r="AA267" s="23">
        <f t="shared" si="31"/>
        <v>0.5</v>
      </c>
      <c r="AB267" s="23">
        <f>IFERROR(AA267*SETTINGS!$C$9,"")</f>
        <v>2.5000000000000001E-2</v>
      </c>
      <c r="AC267" s="23">
        <f>IFERROR((AA267+AB267)*SETTINGS!$C$10,"")</f>
        <v>2.6250000000000002E-2</v>
      </c>
    </row>
    <row r="268" spans="1:29" ht="16" x14ac:dyDescent="0.2">
      <c r="A268" s="25"/>
      <c r="H268" t="str">
        <f>IFERROR(VLOOKUP(G268,FILAMENTI_DB!$A:$C,3,FALSE),"")</f>
        <v/>
      </c>
      <c r="I268" t="str">
        <f>IFERROR(VLOOKUP(G268,FILAMENTI_DB!$A:$E,4,FALSE),"")</f>
        <v/>
      </c>
      <c r="J268" s="26"/>
      <c r="K268" s="27"/>
      <c r="L268" s="27"/>
      <c r="M268" s="27">
        <f t="shared" si="26"/>
        <v>0</v>
      </c>
      <c r="N268" s="26">
        <f t="shared" si="27"/>
        <v>0</v>
      </c>
      <c r="O268" s="26"/>
      <c r="P268" s="26"/>
      <c r="Q268" s="23"/>
      <c r="R268" s="23">
        <f t="shared" si="28"/>
        <v>0</v>
      </c>
      <c r="S268" s="23"/>
      <c r="T268" s="23">
        <f t="shared" si="29"/>
        <v>0</v>
      </c>
      <c r="U268" s="28" t="str">
        <f t="shared" si="30"/>
        <v/>
      </c>
      <c r="V268" s="10" t="str">
        <f>IFERROR(N268*VLOOKUP(G268,FILAMENTI_DB!$A:$J,10,FALSE),"")</f>
        <v/>
      </c>
      <c r="W268" s="23" t="str">
        <f>IFERROR((VLOOKUP(F268,STAMPANTI_DB!$A:$C,3,FALSE)/1000)*O268*SETTINGS!$C$6,"")</f>
        <v/>
      </c>
      <c r="X268" s="23" t="str">
        <f>IFERROR(O268*VLOOKUP(F268,STAMPANTI_DB!$A:$I,9,FALSE),"")</f>
        <v/>
      </c>
      <c r="Y268" s="23">
        <f>IFERROR(P268*SETTINGS!$C$7,"")</f>
        <v>0</v>
      </c>
      <c r="Z268" s="23">
        <f>SETTINGS!$C$11</f>
        <v>0.5</v>
      </c>
      <c r="AA268" s="23">
        <f t="shared" si="31"/>
        <v>0.5</v>
      </c>
      <c r="AB268" s="23">
        <f>IFERROR(AA268*SETTINGS!$C$9,"")</f>
        <v>2.5000000000000001E-2</v>
      </c>
      <c r="AC268" s="23">
        <f>IFERROR((AA268+AB268)*SETTINGS!$C$10,"")</f>
        <v>2.6250000000000002E-2</v>
      </c>
    </row>
    <row r="269" spans="1:29" ht="16" x14ac:dyDescent="0.2">
      <c r="A269" s="25"/>
      <c r="H269" t="str">
        <f>IFERROR(VLOOKUP(G269,FILAMENTI_DB!$A:$C,3,FALSE),"")</f>
        <v/>
      </c>
      <c r="I269" t="str">
        <f>IFERROR(VLOOKUP(G269,FILAMENTI_DB!$A:$E,4,FALSE),"")</f>
        <v/>
      </c>
      <c r="J269" s="26"/>
      <c r="K269" s="27"/>
      <c r="L269" s="27"/>
      <c r="M269" s="27">
        <f t="shared" si="26"/>
        <v>0</v>
      </c>
      <c r="N269" s="26">
        <f t="shared" si="27"/>
        <v>0</v>
      </c>
      <c r="O269" s="26"/>
      <c r="P269" s="26"/>
      <c r="Q269" s="23"/>
      <c r="R269" s="23">
        <f t="shared" si="28"/>
        <v>0</v>
      </c>
      <c r="S269" s="23"/>
      <c r="T269" s="23">
        <f t="shared" si="29"/>
        <v>0</v>
      </c>
      <c r="U269" s="28" t="str">
        <f t="shared" si="30"/>
        <v/>
      </c>
      <c r="V269" s="10" t="str">
        <f>IFERROR(N269*VLOOKUP(G269,FILAMENTI_DB!$A:$J,10,FALSE),"")</f>
        <v/>
      </c>
      <c r="W269" s="23" t="str">
        <f>IFERROR((VLOOKUP(F269,STAMPANTI_DB!$A:$C,3,FALSE)/1000)*O269*SETTINGS!$C$6,"")</f>
        <v/>
      </c>
      <c r="X269" s="23" t="str">
        <f>IFERROR(O269*VLOOKUP(F269,STAMPANTI_DB!$A:$I,9,FALSE),"")</f>
        <v/>
      </c>
      <c r="Y269" s="23">
        <f>IFERROR(P269*SETTINGS!$C$7,"")</f>
        <v>0</v>
      </c>
      <c r="Z269" s="23">
        <f>SETTINGS!$C$11</f>
        <v>0.5</v>
      </c>
      <c r="AA269" s="23">
        <f t="shared" si="31"/>
        <v>0.5</v>
      </c>
      <c r="AB269" s="23">
        <f>IFERROR(AA269*SETTINGS!$C$9,"")</f>
        <v>2.5000000000000001E-2</v>
      </c>
      <c r="AC269" s="23">
        <f>IFERROR((AA269+AB269)*SETTINGS!$C$10,"")</f>
        <v>2.6250000000000002E-2</v>
      </c>
    </row>
    <row r="270" spans="1:29" ht="16" x14ac:dyDescent="0.2">
      <c r="A270" s="25"/>
      <c r="H270" t="str">
        <f>IFERROR(VLOOKUP(G270,FILAMENTI_DB!$A:$C,3,FALSE),"")</f>
        <v/>
      </c>
      <c r="I270" t="str">
        <f>IFERROR(VLOOKUP(G270,FILAMENTI_DB!$A:$E,4,FALSE),"")</f>
        <v/>
      </c>
      <c r="J270" s="26"/>
      <c r="K270" s="27"/>
      <c r="L270" s="27"/>
      <c r="M270" s="27">
        <f t="shared" si="26"/>
        <v>0</v>
      </c>
      <c r="N270" s="26">
        <f t="shared" si="27"/>
        <v>0</v>
      </c>
      <c r="O270" s="26"/>
      <c r="P270" s="26"/>
      <c r="Q270" s="23"/>
      <c r="R270" s="23">
        <f t="shared" si="28"/>
        <v>0</v>
      </c>
      <c r="S270" s="23"/>
      <c r="T270" s="23">
        <f t="shared" si="29"/>
        <v>0</v>
      </c>
      <c r="U270" s="28" t="str">
        <f t="shared" si="30"/>
        <v/>
      </c>
      <c r="V270" s="10" t="str">
        <f>IFERROR(N270*VLOOKUP(G270,FILAMENTI_DB!$A:$J,10,FALSE),"")</f>
        <v/>
      </c>
      <c r="W270" s="23" t="str">
        <f>IFERROR((VLOOKUP(F270,STAMPANTI_DB!$A:$C,3,FALSE)/1000)*O270*SETTINGS!$C$6,"")</f>
        <v/>
      </c>
      <c r="X270" s="23" t="str">
        <f>IFERROR(O270*VLOOKUP(F270,STAMPANTI_DB!$A:$I,9,FALSE),"")</f>
        <v/>
      </c>
      <c r="Y270" s="23">
        <f>IFERROR(P270*SETTINGS!$C$7,"")</f>
        <v>0</v>
      </c>
      <c r="Z270" s="23">
        <f>SETTINGS!$C$11</f>
        <v>0.5</v>
      </c>
      <c r="AA270" s="23">
        <f t="shared" si="31"/>
        <v>0.5</v>
      </c>
      <c r="AB270" s="23">
        <f>IFERROR(AA270*SETTINGS!$C$9,"")</f>
        <v>2.5000000000000001E-2</v>
      </c>
      <c r="AC270" s="23">
        <f>IFERROR((AA270+AB270)*SETTINGS!$C$10,"")</f>
        <v>2.6250000000000002E-2</v>
      </c>
    </row>
    <row r="271" spans="1:29" ht="16" x14ac:dyDescent="0.2">
      <c r="A271" s="25"/>
      <c r="H271" t="str">
        <f>IFERROR(VLOOKUP(G271,FILAMENTI_DB!$A:$C,3,FALSE),"")</f>
        <v/>
      </c>
      <c r="I271" t="str">
        <f>IFERROR(VLOOKUP(G271,FILAMENTI_DB!$A:$E,4,FALSE),"")</f>
        <v/>
      </c>
      <c r="J271" s="26"/>
      <c r="K271" s="27"/>
      <c r="L271" s="27"/>
      <c r="M271" s="27">
        <f t="shared" si="26"/>
        <v>0</v>
      </c>
      <c r="N271" s="26">
        <f t="shared" si="27"/>
        <v>0</v>
      </c>
      <c r="O271" s="26"/>
      <c r="P271" s="26"/>
      <c r="Q271" s="23"/>
      <c r="R271" s="23">
        <f t="shared" si="28"/>
        <v>0</v>
      </c>
      <c r="S271" s="23"/>
      <c r="T271" s="23">
        <f t="shared" si="29"/>
        <v>0</v>
      </c>
      <c r="U271" s="28" t="str">
        <f t="shared" si="30"/>
        <v/>
      </c>
      <c r="V271" s="10" t="str">
        <f>IFERROR(N271*VLOOKUP(G271,FILAMENTI_DB!$A:$J,10,FALSE),"")</f>
        <v/>
      </c>
      <c r="W271" s="23" t="str">
        <f>IFERROR((VLOOKUP(F271,STAMPANTI_DB!$A:$C,3,FALSE)/1000)*O271*SETTINGS!$C$6,"")</f>
        <v/>
      </c>
      <c r="X271" s="23" t="str">
        <f>IFERROR(O271*VLOOKUP(F271,STAMPANTI_DB!$A:$I,9,FALSE),"")</f>
        <v/>
      </c>
      <c r="Y271" s="23">
        <f>IFERROR(P271*SETTINGS!$C$7,"")</f>
        <v>0</v>
      </c>
      <c r="Z271" s="23">
        <f>SETTINGS!$C$11</f>
        <v>0.5</v>
      </c>
      <c r="AA271" s="23">
        <f t="shared" si="31"/>
        <v>0.5</v>
      </c>
      <c r="AB271" s="23">
        <f>IFERROR(AA271*SETTINGS!$C$9,"")</f>
        <v>2.5000000000000001E-2</v>
      </c>
      <c r="AC271" s="23">
        <f>IFERROR((AA271+AB271)*SETTINGS!$C$10,"")</f>
        <v>2.6250000000000002E-2</v>
      </c>
    </row>
    <row r="272" spans="1:29" ht="16" x14ac:dyDescent="0.2">
      <c r="A272" s="25"/>
      <c r="H272" t="str">
        <f>IFERROR(VLOOKUP(G272,FILAMENTI_DB!$A:$C,3,FALSE),"")</f>
        <v/>
      </c>
      <c r="I272" t="str">
        <f>IFERROR(VLOOKUP(G272,FILAMENTI_DB!$A:$E,4,FALSE),"")</f>
        <v/>
      </c>
      <c r="J272" s="26"/>
      <c r="K272" s="27"/>
      <c r="L272" s="27"/>
      <c r="M272" s="27">
        <f t="shared" si="26"/>
        <v>0</v>
      </c>
      <c r="N272" s="26">
        <f t="shared" si="27"/>
        <v>0</v>
      </c>
      <c r="O272" s="26"/>
      <c r="P272" s="26"/>
      <c r="Q272" s="23"/>
      <c r="R272" s="23">
        <f t="shared" si="28"/>
        <v>0</v>
      </c>
      <c r="S272" s="23"/>
      <c r="T272" s="23">
        <f t="shared" si="29"/>
        <v>0</v>
      </c>
      <c r="U272" s="28" t="str">
        <f t="shared" si="30"/>
        <v/>
      </c>
      <c r="V272" s="10" t="str">
        <f>IFERROR(N272*VLOOKUP(G272,FILAMENTI_DB!$A:$J,10,FALSE),"")</f>
        <v/>
      </c>
      <c r="W272" s="23" t="str">
        <f>IFERROR((VLOOKUP(F272,STAMPANTI_DB!$A:$C,3,FALSE)/1000)*O272*SETTINGS!$C$6,"")</f>
        <v/>
      </c>
      <c r="X272" s="23" t="str">
        <f>IFERROR(O272*VLOOKUP(F272,STAMPANTI_DB!$A:$I,9,FALSE),"")</f>
        <v/>
      </c>
      <c r="Y272" s="23">
        <f>IFERROR(P272*SETTINGS!$C$7,"")</f>
        <v>0</v>
      </c>
      <c r="Z272" s="23">
        <f>SETTINGS!$C$11</f>
        <v>0.5</v>
      </c>
      <c r="AA272" s="23">
        <f t="shared" si="31"/>
        <v>0.5</v>
      </c>
      <c r="AB272" s="23">
        <f>IFERROR(AA272*SETTINGS!$C$9,"")</f>
        <v>2.5000000000000001E-2</v>
      </c>
      <c r="AC272" s="23">
        <f>IFERROR((AA272+AB272)*SETTINGS!$C$10,"")</f>
        <v>2.6250000000000002E-2</v>
      </c>
    </row>
    <row r="273" spans="1:29" ht="16" x14ac:dyDescent="0.2">
      <c r="A273" s="25"/>
      <c r="H273" t="str">
        <f>IFERROR(VLOOKUP(G273,FILAMENTI_DB!$A:$C,3,FALSE),"")</f>
        <v/>
      </c>
      <c r="I273" t="str">
        <f>IFERROR(VLOOKUP(G273,FILAMENTI_DB!$A:$E,4,FALSE),"")</f>
        <v/>
      </c>
      <c r="J273" s="26"/>
      <c r="K273" s="27"/>
      <c r="L273" s="27"/>
      <c r="M273" s="27">
        <f t="shared" si="26"/>
        <v>0</v>
      </c>
      <c r="N273" s="26">
        <f t="shared" si="27"/>
        <v>0</v>
      </c>
      <c r="O273" s="26"/>
      <c r="P273" s="26"/>
      <c r="Q273" s="23"/>
      <c r="R273" s="23">
        <f t="shared" si="28"/>
        <v>0</v>
      </c>
      <c r="S273" s="23"/>
      <c r="T273" s="23">
        <f t="shared" si="29"/>
        <v>0</v>
      </c>
      <c r="U273" s="28" t="str">
        <f t="shared" si="30"/>
        <v/>
      </c>
      <c r="V273" s="10" t="str">
        <f>IFERROR(N273*VLOOKUP(G273,FILAMENTI_DB!$A:$J,10,FALSE),"")</f>
        <v/>
      </c>
      <c r="W273" s="23" t="str">
        <f>IFERROR((VLOOKUP(F273,STAMPANTI_DB!$A:$C,3,FALSE)/1000)*O273*SETTINGS!$C$6,"")</f>
        <v/>
      </c>
      <c r="X273" s="23" t="str">
        <f>IFERROR(O273*VLOOKUP(F273,STAMPANTI_DB!$A:$I,9,FALSE),"")</f>
        <v/>
      </c>
      <c r="Y273" s="23">
        <f>IFERROR(P273*SETTINGS!$C$7,"")</f>
        <v>0</v>
      </c>
      <c r="Z273" s="23">
        <f>SETTINGS!$C$11</f>
        <v>0.5</v>
      </c>
      <c r="AA273" s="23">
        <f t="shared" si="31"/>
        <v>0.5</v>
      </c>
      <c r="AB273" s="23">
        <f>IFERROR(AA273*SETTINGS!$C$9,"")</f>
        <v>2.5000000000000001E-2</v>
      </c>
      <c r="AC273" s="23">
        <f>IFERROR((AA273+AB273)*SETTINGS!$C$10,"")</f>
        <v>2.6250000000000002E-2</v>
      </c>
    </row>
    <row r="274" spans="1:29" ht="16" x14ac:dyDescent="0.2">
      <c r="A274" s="25"/>
      <c r="H274" t="str">
        <f>IFERROR(VLOOKUP(G274,FILAMENTI_DB!$A:$C,3,FALSE),"")</f>
        <v/>
      </c>
      <c r="I274" t="str">
        <f>IFERROR(VLOOKUP(G274,FILAMENTI_DB!$A:$E,4,FALSE),"")</f>
        <v/>
      </c>
      <c r="J274" s="26"/>
      <c r="K274" s="27"/>
      <c r="L274" s="27"/>
      <c r="M274" s="27">
        <f t="shared" si="26"/>
        <v>0</v>
      </c>
      <c r="N274" s="26">
        <f t="shared" si="27"/>
        <v>0</v>
      </c>
      <c r="O274" s="26"/>
      <c r="P274" s="26"/>
      <c r="Q274" s="23"/>
      <c r="R274" s="23">
        <f t="shared" si="28"/>
        <v>0</v>
      </c>
      <c r="S274" s="23"/>
      <c r="T274" s="23">
        <f t="shared" si="29"/>
        <v>0</v>
      </c>
      <c r="U274" s="28" t="str">
        <f t="shared" si="30"/>
        <v/>
      </c>
      <c r="V274" s="10" t="str">
        <f>IFERROR(N274*VLOOKUP(G274,FILAMENTI_DB!$A:$J,10,FALSE),"")</f>
        <v/>
      </c>
      <c r="W274" s="23" t="str">
        <f>IFERROR((VLOOKUP(F274,STAMPANTI_DB!$A:$C,3,FALSE)/1000)*O274*SETTINGS!$C$6,"")</f>
        <v/>
      </c>
      <c r="X274" s="23" t="str">
        <f>IFERROR(O274*VLOOKUP(F274,STAMPANTI_DB!$A:$I,9,FALSE),"")</f>
        <v/>
      </c>
      <c r="Y274" s="23">
        <f>IFERROR(P274*SETTINGS!$C$7,"")</f>
        <v>0</v>
      </c>
      <c r="Z274" s="23">
        <f>SETTINGS!$C$11</f>
        <v>0.5</v>
      </c>
      <c r="AA274" s="23">
        <f t="shared" si="31"/>
        <v>0.5</v>
      </c>
      <c r="AB274" s="23">
        <f>IFERROR(AA274*SETTINGS!$C$9,"")</f>
        <v>2.5000000000000001E-2</v>
      </c>
      <c r="AC274" s="23">
        <f>IFERROR((AA274+AB274)*SETTINGS!$C$10,"")</f>
        <v>2.6250000000000002E-2</v>
      </c>
    </row>
    <row r="275" spans="1:29" ht="16" x14ac:dyDescent="0.2">
      <c r="A275" s="25"/>
      <c r="H275" t="str">
        <f>IFERROR(VLOOKUP(G275,FILAMENTI_DB!$A:$C,3,FALSE),"")</f>
        <v/>
      </c>
      <c r="I275" t="str">
        <f>IFERROR(VLOOKUP(G275,FILAMENTI_DB!$A:$E,4,FALSE),"")</f>
        <v/>
      </c>
      <c r="J275" s="26"/>
      <c r="K275" s="27"/>
      <c r="L275" s="27"/>
      <c r="M275" s="27">
        <f t="shared" si="26"/>
        <v>0</v>
      </c>
      <c r="N275" s="26">
        <f t="shared" si="27"/>
        <v>0</v>
      </c>
      <c r="O275" s="26"/>
      <c r="P275" s="26"/>
      <c r="Q275" s="23"/>
      <c r="R275" s="23">
        <f t="shared" si="28"/>
        <v>0</v>
      </c>
      <c r="S275" s="23"/>
      <c r="T275" s="23">
        <f t="shared" si="29"/>
        <v>0</v>
      </c>
      <c r="U275" s="28" t="str">
        <f t="shared" si="30"/>
        <v/>
      </c>
      <c r="V275" s="10" t="str">
        <f>IFERROR(N275*VLOOKUP(G275,FILAMENTI_DB!$A:$J,10,FALSE),"")</f>
        <v/>
      </c>
      <c r="W275" s="23" t="str">
        <f>IFERROR((VLOOKUP(F275,STAMPANTI_DB!$A:$C,3,FALSE)/1000)*O275*SETTINGS!$C$6,"")</f>
        <v/>
      </c>
      <c r="X275" s="23" t="str">
        <f>IFERROR(O275*VLOOKUP(F275,STAMPANTI_DB!$A:$I,9,FALSE),"")</f>
        <v/>
      </c>
      <c r="Y275" s="23">
        <f>IFERROR(P275*SETTINGS!$C$7,"")</f>
        <v>0</v>
      </c>
      <c r="Z275" s="23">
        <f>SETTINGS!$C$11</f>
        <v>0.5</v>
      </c>
      <c r="AA275" s="23">
        <f t="shared" si="31"/>
        <v>0.5</v>
      </c>
      <c r="AB275" s="23">
        <f>IFERROR(AA275*SETTINGS!$C$9,"")</f>
        <v>2.5000000000000001E-2</v>
      </c>
      <c r="AC275" s="23">
        <f>IFERROR((AA275+AB275)*SETTINGS!$C$10,"")</f>
        <v>2.6250000000000002E-2</v>
      </c>
    </row>
    <row r="276" spans="1:29" ht="16" x14ac:dyDescent="0.2">
      <c r="A276" s="25"/>
      <c r="H276" t="str">
        <f>IFERROR(VLOOKUP(G276,FILAMENTI_DB!$A:$C,3,FALSE),"")</f>
        <v/>
      </c>
      <c r="I276" t="str">
        <f>IFERROR(VLOOKUP(G276,FILAMENTI_DB!$A:$E,4,FALSE),"")</f>
        <v/>
      </c>
      <c r="J276" s="26"/>
      <c r="K276" s="27"/>
      <c r="L276" s="27"/>
      <c r="M276" s="27">
        <f t="shared" si="26"/>
        <v>0</v>
      </c>
      <c r="N276" s="26">
        <f t="shared" si="27"/>
        <v>0</v>
      </c>
      <c r="O276" s="26"/>
      <c r="P276" s="26"/>
      <c r="Q276" s="23"/>
      <c r="R276" s="23">
        <f t="shared" si="28"/>
        <v>0</v>
      </c>
      <c r="S276" s="23"/>
      <c r="T276" s="23">
        <f t="shared" si="29"/>
        <v>0</v>
      </c>
      <c r="U276" s="28" t="str">
        <f t="shared" si="30"/>
        <v/>
      </c>
      <c r="V276" s="10" t="str">
        <f>IFERROR(N276*VLOOKUP(G276,FILAMENTI_DB!$A:$J,10,FALSE),"")</f>
        <v/>
      </c>
      <c r="W276" s="23" t="str">
        <f>IFERROR((VLOOKUP(F276,STAMPANTI_DB!$A:$C,3,FALSE)/1000)*O276*SETTINGS!$C$6,"")</f>
        <v/>
      </c>
      <c r="X276" s="23" t="str">
        <f>IFERROR(O276*VLOOKUP(F276,STAMPANTI_DB!$A:$I,9,FALSE),"")</f>
        <v/>
      </c>
      <c r="Y276" s="23">
        <f>IFERROR(P276*SETTINGS!$C$7,"")</f>
        <v>0</v>
      </c>
      <c r="Z276" s="23">
        <f>SETTINGS!$C$11</f>
        <v>0.5</v>
      </c>
      <c r="AA276" s="23">
        <f t="shared" si="31"/>
        <v>0.5</v>
      </c>
      <c r="AB276" s="23">
        <f>IFERROR(AA276*SETTINGS!$C$9,"")</f>
        <v>2.5000000000000001E-2</v>
      </c>
      <c r="AC276" s="23">
        <f>IFERROR((AA276+AB276)*SETTINGS!$C$10,"")</f>
        <v>2.6250000000000002E-2</v>
      </c>
    </row>
    <row r="277" spans="1:29" ht="16" x14ac:dyDescent="0.2">
      <c r="A277" s="25"/>
      <c r="H277" t="str">
        <f>IFERROR(VLOOKUP(G277,FILAMENTI_DB!$A:$C,3,FALSE),"")</f>
        <v/>
      </c>
      <c r="I277" t="str">
        <f>IFERROR(VLOOKUP(G277,FILAMENTI_DB!$A:$E,4,FALSE),"")</f>
        <v/>
      </c>
      <c r="J277" s="26"/>
      <c r="K277" s="27"/>
      <c r="L277" s="27"/>
      <c r="M277" s="27">
        <f t="shared" si="26"/>
        <v>0</v>
      </c>
      <c r="N277" s="26">
        <f t="shared" si="27"/>
        <v>0</v>
      </c>
      <c r="O277" s="26"/>
      <c r="P277" s="26"/>
      <c r="Q277" s="23"/>
      <c r="R277" s="23">
        <f t="shared" si="28"/>
        <v>0</v>
      </c>
      <c r="S277" s="23"/>
      <c r="T277" s="23">
        <f t="shared" si="29"/>
        <v>0</v>
      </c>
      <c r="U277" s="28" t="str">
        <f t="shared" si="30"/>
        <v/>
      </c>
      <c r="V277" s="10" t="str">
        <f>IFERROR(N277*VLOOKUP(G277,FILAMENTI_DB!$A:$J,10,FALSE),"")</f>
        <v/>
      </c>
      <c r="W277" s="23" t="str">
        <f>IFERROR((VLOOKUP(F277,STAMPANTI_DB!$A:$C,3,FALSE)/1000)*O277*SETTINGS!$C$6,"")</f>
        <v/>
      </c>
      <c r="X277" s="23" t="str">
        <f>IFERROR(O277*VLOOKUP(F277,STAMPANTI_DB!$A:$I,9,FALSE),"")</f>
        <v/>
      </c>
      <c r="Y277" s="23">
        <f>IFERROR(P277*SETTINGS!$C$7,"")</f>
        <v>0</v>
      </c>
      <c r="Z277" s="23">
        <f>SETTINGS!$C$11</f>
        <v>0.5</v>
      </c>
      <c r="AA277" s="23">
        <f t="shared" si="31"/>
        <v>0.5</v>
      </c>
      <c r="AB277" s="23">
        <f>IFERROR(AA277*SETTINGS!$C$9,"")</f>
        <v>2.5000000000000001E-2</v>
      </c>
      <c r="AC277" s="23">
        <f>IFERROR((AA277+AB277)*SETTINGS!$C$10,"")</f>
        <v>2.6250000000000002E-2</v>
      </c>
    </row>
    <row r="278" spans="1:29" ht="16" x14ac:dyDescent="0.2">
      <c r="A278" s="25"/>
      <c r="H278" t="str">
        <f>IFERROR(VLOOKUP(G278,FILAMENTI_DB!$A:$C,3,FALSE),"")</f>
        <v/>
      </c>
      <c r="I278" t="str">
        <f>IFERROR(VLOOKUP(G278,FILAMENTI_DB!$A:$E,4,FALSE),"")</f>
        <v/>
      </c>
      <c r="J278" s="26"/>
      <c r="K278" s="27"/>
      <c r="L278" s="27"/>
      <c r="M278" s="27">
        <f t="shared" si="26"/>
        <v>0</v>
      </c>
      <c r="N278" s="26">
        <f t="shared" si="27"/>
        <v>0</v>
      </c>
      <c r="O278" s="26"/>
      <c r="P278" s="26"/>
      <c r="Q278" s="23"/>
      <c r="R278" s="23">
        <f t="shared" si="28"/>
        <v>0</v>
      </c>
      <c r="S278" s="23"/>
      <c r="T278" s="23">
        <f t="shared" si="29"/>
        <v>0</v>
      </c>
      <c r="U278" s="28" t="str">
        <f t="shared" si="30"/>
        <v/>
      </c>
      <c r="V278" s="10" t="str">
        <f>IFERROR(N278*VLOOKUP(G278,FILAMENTI_DB!$A:$J,10,FALSE),"")</f>
        <v/>
      </c>
      <c r="W278" s="23" t="str">
        <f>IFERROR((VLOOKUP(F278,STAMPANTI_DB!$A:$C,3,FALSE)/1000)*O278*SETTINGS!$C$6,"")</f>
        <v/>
      </c>
      <c r="X278" s="23" t="str">
        <f>IFERROR(O278*VLOOKUP(F278,STAMPANTI_DB!$A:$I,9,FALSE),"")</f>
        <v/>
      </c>
      <c r="Y278" s="23">
        <f>IFERROR(P278*SETTINGS!$C$7,"")</f>
        <v>0</v>
      </c>
      <c r="Z278" s="23">
        <f>SETTINGS!$C$11</f>
        <v>0.5</v>
      </c>
      <c r="AA278" s="23">
        <f t="shared" si="31"/>
        <v>0.5</v>
      </c>
      <c r="AB278" s="23">
        <f>IFERROR(AA278*SETTINGS!$C$9,"")</f>
        <v>2.5000000000000001E-2</v>
      </c>
      <c r="AC278" s="23">
        <f>IFERROR((AA278+AB278)*SETTINGS!$C$10,"")</f>
        <v>2.6250000000000002E-2</v>
      </c>
    </row>
    <row r="279" spans="1:29" ht="16" x14ac:dyDescent="0.2">
      <c r="A279" s="25"/>
      <c r="H279" t="str">
        <f>IFERROR(VLOOKUP(G279,FILAMENTI_DB!$A:$C,3,FALSE),"")</f>
        <v/>
      </c>
      <c r="I279" t="str">
        <f>IFERROR(VLOOKUP(G279,FILAMENTI_DB!$A:$E,4,FALSE),"")</f>
        <v/>
      </c>
      <c r="J279" s="26"/>
      <c r="K279" s="27"/>
      <c r="L279" s="27"/>
      <c r="M279" s="27">
        <f t="shared" si="26"/>
        <v>0</v>
      </c>
      <c r="N279" s="26">
        <f t="shared" si="27"/>
        <v>0</v>
      </c>
      <c r="O279" s="26"/>
      <c r="P279" s="26"/>
      <c r="Q279" s="23"/>
      <c r="R279" s="23">
        <f t="shared" si="28"/>
        <v>0</v>
      </c>
      <c r="S279" s="23"/>
      <c r="T279" s="23">
        <f t="shared" si="29"/>
        <v>0</v>
      </c>
      <c r="U279" s="28" t="str">
        <f t="shared" si="30"/>
        <v/>
      </c>
      <c r="V279" s="10" t="str">
        <f>IFERROR(N279*VLOOKUP(G279,FILAMENTI_DB!$A:$J,10,FALSE),"")</f>
        <v/>
      </c>
      <c r="W279" s="23" t="str">
        <f>IFERROR((VLOOKUP(F279,STAMPANTI_DB!$A:$C,3,FALSE)/1000)*O279*SETTINGS!$C$6,"")</f>
        <v/>
      </c>
      <c r="X279" s="23" t="str">
        <f>IFERROR(O279*VLOOKUP(F279,STAMPANTI_DB!$A:$I,9,FALSE),"")</f>
        <v/>
      </c>
      <c r="Y279" s="23">
        <f>IFERROR(P279*SETTINGS!$C$7,"")</f>
        <v>0</v>
      </c>
      <c r="Z279" s="23">
        <f>SETTINGS!$C$11</f>
        <v>0.5</v>
      </c>
      <c r="AA279" s="23">
        <f t="shared" si="31"/>
        <v>0.5</v>
      </c>
      <c r="AB279" s="23">
        <f>IFERROR(AA279*SETTINGS!$C$9,"")</f>
        <v>2.5000000000000001E-2</v>
      </c>
      <c r="AC279" s="23">
        <f>IFERROR((AA279+AB279)*SETTINGS!$C$10,"")</f>
        <v>2.6250000000000002E-2</v>
      </c>
    </row>
    <row r="280" spans="1:29" ht="16" x14ac:dyDescent="0.2">
      <c r="A280" s="25"/>
      <c r="H280" t="str">
        <f>IFERROR(VLOOKUP(G280,FILAMENTI_DB!$A:$C,3,FALSE),"")</f>
        <v/>
      </c>
      <c r="I280" t="str">
        <f>IFERROR(VLOOKUP(G280,FILAMENTI_DB!$A:$E,4,FALSE),"")</f>
        <v/>
      </c>
      <c r="J280" s="26"/>
      <c r="K280" s="27"/>
      <c r="L280" s="27"/>
      <c r="M280" s="27">
        <f t="shared" si="26"/>
        <v>0</v>
      </c>
      <c r="N280" s="26">
        <f t="shared" si="27"/>
        <v>0</v>
      </c>
      <c r="O280" s="26"/>
      <c r="P280" s="26"/>
      <c r="Q280" s="23"/>
      <c r="R280" s="23">
        <f t="shared" si="28"/>
        <v>0</v>
      </c>
      <c r="S280" s="23"/>
      <c r="T280" s="23">
        <f t="shared" si="29"/>
        <v>0</v>
      </c>
      <c r="U280" s="28" t="str">
        <f t="shared" si="30"/>
        <v/>
      </c>
      <c r="V280" s="10" t="str">
        <f>IFERROR(N280*VLOOKUP(G280,FILAMENTI_DB!$A:$J,10,FALSE),"")</f>
        <v/>
      </c>
      <c r="W280" s="23" t="str">
        <f>IFERROR((VLOOKUP(F280,STAMPANTI_DB!$A:$C,3,FALSE)/1000)*O280*SETTINGS!$C$6,"")</f>
        <v/>
      </c>
      <c r="X280" s="23" t="str">
        <f>IFERROR(O280*VLOOKUP(F280,STAMPANTI_DB!$A:$I,9,FALSE),"")</f>
        <v/>
      </c>
      <c r="Y280" s="23">
        <f>IFERROR(P280*SETTINGS!$C$7,"")</f>
        <v>0</v>
      </c>
      <c r="Z280" s="23">
        <f>SETTINGS!$C$11</f>
        <v>0.5</v>
      </c>
      <c r="AA280" s="23">
        <f t="shared" si="31"/>
        <v>0.5</v>
      </c>
      <c r="AB280" s="23">
        <f>IFERROR(AA280*SETTINGS!$C$9,"")</f>
        <v>2.5000000000000001E-2</v>
      </c>
      <c r="AC280" s="23">
        <f>IFERROR((AA280+AB280)*SETTINGS!$C$10,"")</f>
        <v>2.6250000000000002E-2</v>
      </c>
    </row>
    <row r="281" spans="1:29" ht="16" x14ac:dyDescent="0.2">
      <c r="A281" s="25"/>
      <c r="H281" t="str">
        <f>IFERROR(VLOOKUP(G281,FILAMENTI_DB!$A:$C,3,FALSE),"")</f>
        <v/>
      </c>
      <c r="I281" t="str">
        <f>IFERROR(VLOOKUP(G281,FILAMENTI_DB!$A:$E,4,FALSE),"")</f>
        <v/>
      </c>
      <c r="J281" s="26"/>
      <c r="K281" s="27"/>
      <c r="L281" s="27"/>
      <c r="M281" s="27">
        <f t="shared" si="26"/>
        <v>0</v>
      </c>
      <c r="N281" s="26">
        <f t="shared" si="27"/>
        <v>0</v>
      </c>
      <c r="O281" s="26"/>
      <c r="P281" s="26"/>
      <c r="Q281" s="23"/>
      <c r="R281" s="23">
        <f t="shared" si="28"/>
        <v>0</v>
      </c>
      <c r="S281" s="23"/>
      <c r="T281" s="23">
        <f t="shared" si="29"/>
        <v>0</v>
      </c>
      <c r="U281" s="28" t="str">
        <f t="shared" si="30"/>
        <v/>
      </c>
      <c r="V281" s="10" t="str">
        <f>IFERROR(N281*VLOOKUP(G281,FILAMENTI_DB!$A:$J,10,FALSE),"")</f>
        <v/>
      </c>
      <c r="W281" s="23" t="str">
        <f>IFERROR((VLOOKUP(F281,STAMPANTI_DB!$A:$C,3,FALSE)/1000)*O281*SETTINGS!$C$6,"")</f>
        <v/>
      </c>
      <c r="X281" s="23" t="str">
        <f>IFERROR(O281*VLOOKUP(F281,STAMPANTI_DB!$A:$I,9,FALSE),"")</f>
        <v/>
      </c>
      <c r="Y281" s="23">
        <f>IFERROR(P281*SETTINGS!$C$7,"")</f>
        <v>0</v>
      </c>
      <c r="Z281" s="23">
        <f>SETTINGS!$C$11</f>
        <v>0.5</v>
      </c>
      <c r="AA281" s="23">
        <f t="shared" si="31"/>
        <v>0.5</v>
      </c>
      <c r="AB281" s="23">
        <f>IFERROR(AA281*SETTINGS!$C$9,"")</f>
        <v>2.5000000000000001E-2</v>
      </c>
      <c r="AC281" s="23">
        <f>IFERROR((AA281+AB281)*SETTINGS!$C$10,"")</f>
        <v>2.6250000000000002E-2</v>
      </c>
    </row>
    <row r="282" spans="1:29" ht="16" x14ac:dyDescent="0.2">
      <c r="A282" s="25"/>
      <c r="H282" t="str">
        <f>IFERROR(VLOOKUP(G282,FILAMENTI_DB!$A:$C,3,FALSE),"")</f>
        <v/>
      </c>
      <c r="I282" t="str">
        <f>IFERROR(VLOOKUP(G282,FILAMENTI_DB!$A:$E,4,FALSE),"")</f>
        <v/>
      </c>
      <c r="J282" s="26"/>
      <c r="K282" s="27"/>
      <c r="L282" s="27"/>
      <c r="M282" s="27">
        <f t="shared" si="26"/>
        <v>0</v>
      </c>
      <c r="N282" s="26">
        <f t="shared" si="27"/>
        <v>0</v>
      </c>
      <c r="O282" s="26"/>
      <c r="P282" s="26"/>
      <c r="Q282" s="23"/>
      <c r="R282" s="23">
        <f t="shared" si="28"/>
        <v>0</v>
      </c>
      <c r="S282" s="23"/>
      <c r="T282" s="23">
        <f t="shared" si="29"/>
        <v>0</v>
      </c>
      <c r="U282" s="28" t="str">
        <f t="shared" si="30"/>
        <v/>
      </c>
      <c r="V282" s="10" t="str">
        <f>IFERROR(N282*VLOOKUP(G282,FILAMENTI_DB!$A:$J,10,FALSE),"")</f>
        <v/>
      </c>
      <c r="W282" s="23" t="str">
        <f>IFERROR((VLOOKUP(F282,STAMPANTI_DB!$A:$C,3,FALSE)/1000)*O282*SETTINGS!$C$6,"")</f>
        <v/>
      </c>
      <c r="X282" s="23" t="str">
        <f>IFERROR(O282*VLOOKUP(F282,STAMPANTI_DB!$A:$I,9,FALSE),"")</f>
        <v/>
      </c>
      <c r="Y282" s="23">
        <f>IFERROR(P282*SETTINGS!$C$7,"")</f>
        <v>0</v>
      </c>
      <c r="Z282" s="23">
        <f>SETTINGS!$C$11</f>
        <v>0.5</v>
      </c>
      <c r="AA282" s="23">
        <f t="shared" si="31"/>
        <v>0.5</v>
      </c>
      <c r="AB282" s="23">
        <f>IFERROR(AA282*SETTINGS!$C$9,"")</f>
        <v>2.5000000000000001E-2</v>
      </c>
      <c r="AC282" s="23">
        <f>IFERROR((AA282+AB282)*SETTINGS!$C$10,"")</f>
        <v>2.6250000000000002E-2</v>
      </c>
    </row>
    <row r="283" spans="1:29" ht="16" x14ac:dyDescent="0.2">
      <c r="A283" s="25"/>
      <c r="H283" t="str">
        <f>IFERROR(VLOOKUP(G283,FILAMENTI_DB!$A:$C,3,FALSE),"")</f>
        <v/>
      </c>
      <c r="I283" t="str">
        <f>IFERROR(VLOOKUP(G283,FILAMENTI_DB!$A:$E,4,FALSE),"")</f>
        <v/>
      </c>
      <c r="J283" s="26"/>
      <c r="K283" s="27"/>
      <c r="L283" s="27"/>
      <c r="M283" s="27">
        <f t="shared" si="26"/>
        <v>0</v>
      </c>
      <c r="N283" s="26">
        <f t="shared" si="27"/>
        <v>0</v>
      </c>
      <c r="O283" s="26"/>
      <c r="P283" s="26"/>
      <c r="Q283" s="23"/>
      <c r="R283" s="23">
        <f t="shared" si="28"/>
        <v>0</v>
      </c>
      <c r="S283" s="23"/>
      <c r="T283" s="23">
        <f t="shared" si="29"/>
        <v>0</v>
      </c>
      <c r="U283" s="28" t="str">
        <f t="shared" si="30"/>
        <v/>
      </c>
      <c r="V283" s="10" t="str">
        <f>IFERROR(N283*VLOOKUP(G283,FILAMENTI_DB!$A:$J,10,FALSE),"")</f>
        <v/>
      </c>
      <c r="W283" s="23" t="str">
        <f>IFERROR((VLOOKUP(F283,STAMPANTI_DB!$A:$C,3,FALSE)/1000)*O283*SETTINGS!$C$6,"")</f>
        <v/>
      </c>
      <c r="X283" s="23" t="str">
        <f>IFERROR(O283*VLOOKUP(F283,STAMPANTI_DB!$A:$I,9,FALSE),"")</f>
        <v/>
      </c>
      <c r="Y283" s="23">
        <f>IFERROR(P283*SETTINGS!$C$7,"")</f>
        <v>0</v>
      </c>
      <c r="Z283" s="23">
        <f>SETTINGS!$C$11</f>
        <v>0.5</v>
      </c>
      <c r="AA283" s="23">
        <f t="shared" si="31"/>
        <v>0.5</v>
      </c>
      <c r="AB283" s="23">
        <f>IFERROR(AA283*SETTINGS!$C$9,"")</f>
        <v>2.5000000000000001E-2</v>
      </c>
      <c r="AC283" s="23">
        <f>IFERROR((AA283+AB283)*SETTINGS!$C$10,"")</f>
        <v>2.6250000000000002E-2</v>
      </c>
    </row>
    <row r="284" spans="1:29" ht="16" x14ac:dyDescent="0.2">
      <c r="A284" s="25"/>
      <c r="H284" t="str">
        <f>IFERROR(VLOOKUP(G284,FILAMENTI_DB!$A:$C,3,FALSE),"")</f>
        <v/>
      </c>
      <c r="I284" t="str">
        <f>IFERROR(VLOOKUP(G284,FILAMENTI_DB!$A:$E,4,FALSE),"")</f>
        <v/>
      </c>
      <c r="J284" s="26"/>
      <c r="K284" s="27"/>
      <c r="L284" s="27"/>
      <c r="M284" s="27">
        <f t="shared" si="26"/>
        <v>0</v>
      </c>
      <c r="N284" s="26">
        <f t="shared" si="27"/>
        <v>0</v>
      </c>
      <c r="O284" s="26"/>
      <c r="P284" s="26"/>
      <c r="Q284" s="23"/>
      <c r="R284" s="23">
        <f t="shared" si="28"/>
        <v>0</v>
      </c>
      <c r="S284" s="23"/>
      <c r="T284" s="23">
        <f t="shared" si="29"/>
        <v>0</v>
      </c>
      <c r="U284" s="28" t="str">
        <f t="shared" si="30"/>
        <v/>
      </c>
      <c r="V284" s="10" t="str">
        <f>IFERROR(N284*VLOOKUP(G284,FILAMENTI_DB!$A:$J,10,FALSE),"")</f>
        <v/>
      </c>
      <c r="W284" s="23" t="str">
        <f>IFERROR((VLOOKUP(F284,STAMPANTI_DB!$A:$C,3,FALSE)/1000)*O284*SETTINGS!$C$6,"")</f>
        <v/>
      </c>
      <c r="X284" s="23" t="str">
        <f>IFERROR(O284*VLOOKUP(F284,STAMPANTI_DB!$A:$I,9,FALSE),"")</f>
        <v/>
      </c>
      <c r="Y284" s="23">
        <f>IFERROR(P284*SETTINGS!$C$7,"")</f>
        <v>0</v>
      </c>
      <c r="Z284" s="23">
        <f>SETTINGS!$C$11</f>
        <v>0.5</v>
      </c>
      <c r="AA284" s="23">
        <f t="shared" si="31"/>
        <v>0.5</v>
      </c>
      <c r="AB284" s="23">
        <f>IFERROR(AA284*SETTINGS!$C$9,"")</f>
        <v>2.5000000000000001E-2</v>
      </c>
      <c r="AC284" s="23">
        <f>IFERROR((AA284+AB284)*SETTINGS!$C$10,"")</f>
        <v>2.6250000000000002E-2</v>
      </c>
    </row>
    <row r="285" spans="1:29" ht="16" x14ac:dyDescent="0.2">
      <c r="A285" s="25"/>
      <c r="H285" t="str">
        <f>IFERROR(VLOOKUP(G285,FILAMENTI_DB!$A:$C,3,FALSE),"")</f>
        <v/>
      </c>
      <c r="I285" t="str">
        <f>IFERROR(VLOOKUP(G285,FILAMENTI_DB!$A:$E,4,FALSE),"")</f>
        <v/>
      </c>
      <c r="J285" s="26"/>
      <c r="K285" s="27"/>
      <c r="L285" s="27"/>
      <c r="M285" s="27">
        <f t="shared" si="26"/>
        <v>0</v>
      </c>
      <c r="N285" s="26">
        <f t="shared" si="27"/>
        <v>0</v>
      </c>
      <c r="O285" s="26"/>
      <c r="P285" s="26"/>
      <c r="Q285" s="23"/>
      <c r="R285" s="23">
        <f t="shared" si="28"/>
        <v>0</v>
      </c>
      <c r="S285" s="23"/>
      <c r="T285" s="23">
        <f t="shared" si="29"/>
        <v>0</v>
      </c>
      <c r="U285" s="28" t="str">
        <f t="shared" si="30"/>
        <v/>
      </c>
      <c r="V285" s="10" t="str">
        <f>IFERROR(N285*VLOOKUP(G285,FILAMENTI_DB!$A:$J,10,FALSE),"")</f>
        <v/>
      </c>
      <c r="W285" s="23" t="str">
        <f>IFERROR((VLOOKUP(F285,STAMPANTI_DB!$A:$C,3,FALSE)/1000)*O285*SETTINGS!$C$6,"")</f>
        <v/>
      </c>
      <c r="X285" s="23" t="str">
        <f>IFERROR(O285*VLOOKUP(F285,STAMPANTI_DB!$A:$I,9,FALSE),"")</f>
        <v/>
      </c>
      <c r="Y285" s="23">
        <f>IFERROR(P285*SETTINGS!$C$7,"")</f>
        <v>0</v>
      </c>
      <c r="Z285" s="23">
        <f>SETTINGS!$C$11</f>
        <v>0.5</v>
      </c>
      <c r="AA285" s="23">
        <f t="shared" si="31"/>
        <v>0.5</v>
      </c>
      <c r="AB285" s="23">
        <f>IFERROR(AA285*SETTINGS!$C$9,"")</f>
        <v>2.5000000000000001E-2</v>
      </c>
      <c r="AC285" s="23">
        <f>IFERROR((AA285+AB285)*SETTINGS!$C$10,"")</f>
        <v>2.6250000000000002E-2</v>
      </c>
    </row>
    <row r="286" spans="1:29" ht="16" x14ac:dyDescent="0.2">
      <c r="A286" s="25"/>
      <c r="H286" t="str">
        <f>IFERROR(VLOOKUP(G286,FILAMENTI_DB!$A:$C,3,FALSE),"")</f>
        <v/>
      </c>
      <c r="I286" t="str">
        <f>IFERROR(VLOOKUP(G286,FILAMENTI_DB!$A:$E,4,FALSE),"")</f>
        <v/>
      </c>
      <c r="J286" s="26"/>
      <c r="K286" s="27"/>
      <c r="L286" s="27"/>
      <c r="M286" s="27">
        <f t="shared" si="26"/>
        <v>0</v>
      </c>
      <c r="N286" s="26">
        <f t="shared" si="27"/>
        <v>0</v>
      </c>
      <c r="O286" s="26"/>
      <c r="P286" s="26"/>
      <c r="Q286" s="23"/>
      <c r="R286" s="23">
        <f t="shared" si="28"/>
        <v>0</v>
      </c>
      <c r="S286" s="23"/>
      <c r="T286" s="23">
        <f t="shared" si="29"/>
        <v>0</v>
      </c>
      <c r="U286" s="28" t="str">
        <f t="shared" si="30"/>
        <v/>
      </c>
      <c r="V286" s="10" t="str">
        <f>IFERROR(N286*VLOOKUP(G286,FILAMENTI_DB!$A:$J,10,FALSE),"")</f>
        <v/>
      </c>
      <c r="W286" s="23" t="str">
        <f>IFERROR((VLOOKUP(F286,STAMPANTI_DB!$A:$C,3,FALSE)/1000)*O286*SETTINGS!$C$6,"")</f>
        <v/>
      </c>
      <c r="X286" s="23" t="str">
        <f>IFERROR(O286*VLOOKUP(F286,STAMPANTI_DB!$A:$I,9,FALSE),"")</f>
        <v/>
      </c>
      <c r="Y286" s="23">
        <f>IFERROR(P286*SETTINGS!$C$7,"")</f>
        <v>0</v>
      </c>
      <c r="Z286" s="23">
        <f>SETTINGS!$C$11</f>
        <v>0.5</v>
      </c>
      <c r="AA286" s="23">
        <f t="shared" si="31"/>
        <v>0.5</v>
      </c>
      <c r="AB286" s="23">
        <f>IFERROR(AA286*SETTINGS!$C$9,"")</f>
        <v>2.5000000000000001E-2</v>
      </c>
      <c r="AC286" s="23">
        <f>IFERROR((AA286+AB286)*SETTINGS!$C$10,"")</f>
        <v>2.6250000000000002E-2</v>
      </c>
    </row>
    <row r="287" spans="1:29" ht="16" x14ac:dyDescent="0.2">
      <c r="A287" s="25"/>
      <c r="H287" t="str">
        <f>IFERROR(VLOOKUP(G287,FILAMENTI_DB!$A:$C,3,FALSE),"")</f>
        <v/>
      </c>
      <c r="I287" t="str">
        <f>IFERROR(VLOOKUP(G287,FILAMENTI_DB!$A:$E,4,FALSE),"")</f>
        <v/>
      </c>
      <c r="J287" s="26"/>
      <c r="K287" s="27"/>
      <c r="L287" s="27"/>
      <c r="M287" s="27">
        <f t="shared" si="26"/>
        <v>0</v>
      </c>
      <c r="N287" s="26">
        <f t="shared" si="27"/>
        <v>0</v>
      </c>
      <c r="O287" s="26"/>
      <c r="P287" s="26"/>
      <c r="Q287" s="23"/>
      <c r="R287" s="23">
        <f t="shared" si="28"/>
        <v>0</v>
      </c>
      <c r="S287" s="23"/>
      <c r="T287" s="23">
        <f t="shared" si="29"/>
        <v>0</v>
      </c>
      <c r="U287" s="28" t="str">
        <f t="shared" si="30"/>
        <v/>
      </c>
      <c r="V287" s="10" t="str">
        <f>IFERROR(N287*VLOOKUP(G287,FILAMENTI_DB!$A:$J,10,FALSE),"")</f>
        <v/>
      </c>
      <c r="W287" s="23" t="str">
        <f>IFERROR((VLOOKUP(F287,STAMPANTI_DB!$A:$C,3,FALSE)/1000)*O287*SETTINGS!$C$6,"")</f>
        <v/>
      </c>
      <c r="X287" s="23" t="str">
        <f>IFERROR(O287*VLOOKUP(F287,STAMPANTI_DB!$A:$I,9,FALSE),"")</f>
        <v/>
      </c>
      <c r="Y287" s="23">
        <f>IFERROR(P287*SETTINGS!$C$7,"")</f>
        <v>0</v>
      </c>
      <c r="Z287" s="23">
        <f>SETTINGS!$C$11</f>
        <v>0.5</v>
      </c>
      <c r="AA287" s="23">
        <f t="shared" si="31"/>
        <v>0.5</v>
      </c>
      <c r="AB287" s="23">
        <f>IFERROR(AA287*SETTINGS!$C$9,"")</f>
        <v>2.5000000000000001E-2</v>
      </c>
      <c r="AC287" s="23">
        <f>IFERROR((AA287+AB287)*SETTINGS!$C$10,"")</f>
        <v>2.6250000000000002E-2</v>
      </c>
    </row>
    <row r="288" spans="1:29" ht="16" x14ac:dyDescent="0.2">
      <c r="A288" s="25"/>
      <c r="H288" t="str">
        <f>IFERROR(VLOOKUP(G288,FILAMENTI_DB!$A:$C,3,FALSE),"")</f>
        <v/>
      </c>
      <c r="I288" t="str">
        <f>IFERROR(VLOOKUP(G288,FILAMENTI_DB!$A:$E,4,FALSE),"")</f>
        <v/>
      </c>
      <c r="J288" s="26"/>
      <c r="K288" s="27"/>
      <c r="L288" s="27"/>
      <c r="M288" s="27">
        <f t="shared" si="26"/>
        <v>0</v>
      </c>
      <c r="N288" s="26">
        <f t="shared" si="27"/>
        <v>0</v>
      </c>
      <c r="O288" s="26"/>
      <c r="P288" s="26"/>
      <c r="Q288" s="23"/>
      <c r="R288" s="23">
        <f t="shared" si="28"/>
        <v>0</v>
      </c>
      <c r="S288" s="23"/>
      <c r="T288" s="23">
        <f t="shared" si="29"/>
        <v>0</v>
      </c>
      <c r="U288" s="28" t="str">
        <f t="shared" si="30"/>
        <v/>
      </c>
      <c r="V288" s="10" t="str">
        <f>IFERROR(N288*VLOOKUP(G288,FILAMENTI_DB!$A:$J,10,FALSE),"")</f>
        <v/>
      </c>
      <c r="W288" s="23" t="str">
        <f>IFERROR((VLOOKUP(F288,STAMPANTI_DB!$A:$C,3,FALSE)/1000)*O288*SETTINGS!$C$6,"")</f>
        <v/>
      </c>
      <c r="X288" s="23" t="str">
        <f>IFERROR(O288*VLOOKUP(F288,STAMPANTI_DB!$A:$I,9,FALSE),"")</f>
        <v/>
      </c>
      <c r="Y288" s="23">
        <f>IFERROR(P288*SETTINGS!$C$7,"")</f>
        <v>0</v>
      </c>
      <c r="Z288" s="23">
        <f>SETTINGS!$C$11</f>
        <v>0.5</v>
      </c>
      <c r="AA288" s="23">
        <f t="shared" si="31"/>
        <v>0.5</v>
      </c>
      <c r="AB288" s="23">
        <f>IFERROR(AA288*SETTINGS!$C$9,"")</f>
        <v>2.5000000000000001E-2</v>
      </c>
      <c r="AC288" s="23">
        <f>IFERROR((AA288+AB288)*SETTINGS!$C$10,"")</f>
        <v>2.6250000000000002E-2</v>
      </c>
    </row>
    <row r="289" spans="1:29" ht="16" x14ac:dyDescent="0.2">
      <c r="A289" s="25"/>
      <c r="H289" t="str">
        <f>IFERROR(VLOOKUP(G289,FILAMENTI_DB!$A:$C,3,FALSE),"")</f>
        <v/>
      </c>
      <c r="I289" t="str">
        <f>IFERROR(VLOOKUP(G289,FILAMENTI_DB!$A:$E,4,FALSE),"")</f>
        <v/>
      </c>
      <c r="J289" s="26"/>
      <c r="K289" s="27"/>
      <c r="L289" s="27"/>
      <c r="M289" s="27">
        <f t="shared" si="26"/>
        <v>0</v>
      </c>
      <c r="N289" s="26">
        <f t="shared" si="27"/>
        <v>0</v>
      </c>
      <c r="O289" s="26"/>
      <c r="P289" s="26"/>
      <c r="Q289" s="23"/>
      <c r="R289" s="23">
        <f t="shared" si="28"/>
        <v>0</v>
      </c>
      <c r="S289" s="23"/>
      <c r="T289" s="23">
        <f t="shared" si="29"/>
        <v>0</v>
      </c>
      <c r="U289" s="28" t="str">
        <f t="shared" si="30"/>
        <v/>
      </c>
      <c r="V289" s="10" t="str">
        <f>IFERROR(N289*VLOOKUP(G289,FILAMENTI_DB!$A:$J,10,FALSE),"")</f>
        <v/>
      </c>
      <c r="W289" s="23" t="str">
        <f>IFERROR((VLOOKUP(F289,STAMPANTI_DB!$A:$C,3,FALSE)/1000)*O289*SETTINGS!$C$6,"")</f>
        <v/>
      </c>
      <c r="X289" s="23" t="str">
        <f>IFERROR(O289*VLOOKUP(F289,STAMPANTI_DB!$A:$I,9,FALSE),"")</f>
        <v/>
      </c>
      <c r="Y289" s="23">
        <f>IFERROR(P289*SETTINGS!$C$7,"")</f>
        <v>0</v>
      </c>
      <c r="Z289" s="23">
        <f>SETTINGS!$C$11</f>
        <v>0.5</v>
      </c>
      <c r="AA289" s="23">
        <f t="shared" si="31"/>
        <v>0.5</v>
      </c>
      <c r="AB289" s="23">
        <f>IFERROR(AA289*SETTINGS!$C$9,"")</f>
        <v>2.5000000000000001E-2</v>
      </c>
      <c r="AC289" s="23">
        <f>IFERROR((AA289+AB289)*SETTINGS!$C$10,"")</f>
        <v>2.6250000000000002E-2</v>
      </c>
    </row>
    <row r="290" spans="1:29" ht="16" x14ac:dyDescent="0.2">
      <c r="A290" s="25"/>
      <c r="H290" t="str">
        <f>IFERROR(VLOOKUP(G290,FILAMENTI_DB!$A:$C,3,FALSE),"")</f>
        <v/>
      </c>
      <c r="I290" t="str">
        <f>IFERROR(VLOOKUP(G290,FILAMENTI_DB!$A:$E,4,FALSE),"")</f>
        <v/>
      </c>
      <c r="J290" s="26"/>
      <c r="K290" s="27"/>
      <c r="L290" s="27"/>
      <c r="M290" s="27">
        <f t="shared" si="26"/>
        <v>0</v>
      </c>
      <c r="N290" s="26">
        <f t="shared" si="27"/>
        <v>0</v>
      </c>
      <c r="O290" s="26"/>
      <c r="P290" s="26"/>
      <c r="Q290" s="23"/>
      <c r="R290" s="23">
        <f t="shared" si="28"/>
        <v>0</v>
      </c>
      <c r="S290" s="23"/>
      <c r="T290" s="23">
        <f t="shared" si="29"/>
        <v>0</v>
      </c>
      <c r="U290" s="28" t="str">
        <f t="shared" si="30"/>
        <v/>
      </c>
      <c r="V290" s="10" t="str">
        <f>IFERROR(N290*VLOOKUP(G290,FILAMENTI_DB!$A:$J,10,FALSE),"")</f>
        <v/>
      </c>
      <c r="W290" s="23" t="str">
        <f>IFERROR((VLOOKUP(F290,STAMPANTI_DB!$A:$C,3,FALSE)/1000)*O290*SETTINGS!$C$6,"")</f>
        <v/>
      </c>
      <c r="X290" s="23" t="str">
        <f>IFERROR(O290*VLOOKUP(F290,STAMPANTI_DB!$A:$I,9,FALSE),"")</f>
        <v/>
      </c>
      <c r="Y290" s="23">
        <f>IFERROR(P290*SETTINGS!$C$7,"")</f>
        <v>0</v>
      </c>
      <c r="Z290" s="23">
        <f>SETTINGS!$C$11</f>
        <v>0.5</v>
      </c>
      <c r="AA290" s="23">
        <f t="shared" si="31"/>
        <v>0.5</v>
      </c>
      <c r="AB290" s="23">
        <f>IFERROR(AA290*SETTINGS!$C$9,"")</f>
        <v>2.5000000000000001E-2</v>
      </c>
      <c r="AC290" s="23">
        <f>IFERROR((AA290+AB290)*SETTINGS!$C$10,"")</f>
        <v>2.6250000000000002E-2</v>
      </c>
    </row>
    <row r="291" spans="1:29" ht="16" x14ac:dyDescent="0.2">
      <c r="A291" s="25"/>
      <c r="H291" t="str">
        <f>IFERROR(VLOOKUP(G291,FILAMENTI_DB!$A:$C,3,FALSE),"")</f>
        <v/>
      </c>
      <c r="I291" t="str">
        <f>IFERROR(VLOOKUP(G291,FILAMENTI_DB!$A:$E,4,FALSE),"")</f>
        <v/>
      </c>
      <c r="J291" s="26"/>
      <c r="K291" s="27"/>
      <c r="L291" s="27"/>
      <c r="M291" s="27">
        <f t="shared" si="26"/>
        <v>0</v>
      </c>
      <c r="N291" s="26">
        <f t="shared" si="27"/>
        <v>0</v>
      </c>
      <c r="O291" s="26"/>
      <c r="P291" s="26"/>
      <c r="Q291" s="23"/>
      <c r="R291" s="23">
        <f t="shared" si="28"/>
        <v>0</v>
      </c>
      <c r="S291" s="23"/>
      <c r="T291" s="23">
        <f t="shared" si="29"/>
        <v>0</v>
      </c>
      <c r="U291" s="28" t="str">
        <f t="shared" si="30"/>
        <v/>
      </c>
      <c r="V291" s="10" t="str">
        <f>IFERROR(N291*VLOOKUP(G291,FILAMENTI_DB!$A:$J,10,FALSE),"")</f>
        <v/>
      </c>
      <c r="W291" s="23" t="str">
        <f>IFERROR((VLOOKUP(F291,STAMPANTI_DB!$A:$C,3,FALSE)/1000)*O291*SETTINGS!$C$6,"")</f>
        <v/>
      </c>
      <c r="X291" s="23" t="str">
        <f>IFERROR(O291*VLOOKUP(F291,STAMPANTI_DB!$A:$I,9,FALSE),"")</f>
        <v/>
      </c>
      <c r="Y291" s="23">
        <f>IFERROR(P291*SETTINGS!$C$7,"")</f>
        <v>0</v>
      </c>
      <c r="Z291" s="23">
        <f>SETTINGS!$C$11</f>
        <v>0.5</v>
      </c>
      <c r="AA291" s="23">
        <f t="shared" si="31"/>
        <v>0.5</v>
      </c>
      <c r="AB291" s="23">
        <f>IFERROR(AA291*SETTINGS!$C$9,"")</f>
        <v>2.5000000000000001E-2</v>
      </c>
      <c r="AC291" s="23">
        <f>IFERROR((AA291+AB291)*SETTINGS!$C$10,"")</f>
        <v>2.6250000000000002E-2</v>
      </c>
    </row>
    <row r="292" spans="1:29" ht="16" x14ac:dyDescent="0.2">
      <c r="A292" s="25"/>
      <c r="H292" t="str">
        <f>IFERROR(VLOOKUP(G292,FILAMENTI_DB!$A:$C,3,FALSE),"")</f>
        <v/>
      </c>
      <c r="I292" t="str">
        <f>IFERROR(VLOOKUP(G292,FILAMENTI_DB!$A:$E,4,FALSE),"")</f>
        <v/>
      </c>
      <c r="J292" s="26"/>
      <c r="K292" s="27"/>
      <c r="L292" s="27"/>
      <c r="M292" s="27">
        <f t="shared" si="26"/>
        <v>0</v>
      </c>
      <c r="N292" s="26">
        <f t="shared" si="27"/>
        <v>0</v>
      </c>
      <c r="O292" s="26"/>
      <c r="P292" s="26"/>
      <c r="Q292" s="23"/>
      <c r="R292" s="23">
        <f t="shared" si="28"/>
        <v>0</v>
      </c>
      <c r="S292" s="23"/>
      <c r="T292" s="23">
        <f t="shared" si="29"/>
        <v>0</v>
      </c>
      <c r="U292" s="28" t="str">
        <f t="shared" si="30"/>
        <v/>
      </c>
      <c r="V292" s="10" t="str">
        <f>IFERROR(N292*VLOOKUP(G292,FILAMENTI_DB!$A:$J,10,FALSE),"")</f>
        <v/>
      </c>
      <c r="W292" s="23" t="str">
        <f>IFERROR((VLOOKUP(F292,STAMPANTI_DB!$A:$C,3,FALSE)/1000)*O292*SETTINGS!$C$6,"")</f>
        <v/>
      </c>
      <c r="X292" s="23" t="str">
        <f>IFERROR(O292*VLOOKUP(F292,STAMPANTI_DB!$A:$I,9,FALSE),"")</f>
        <v/>
      </c>
      <c r="Y292" s="23">
        <f>IFERROR(P292*SETTINGS!$C$7,"")</f>
        <v>0</v>
      </c>
      <c r="Z292" s="23">
        <f>SETTINGS!$C$11</f>
        <v>0.5</v>
      </c>
      <c r="AA292" s="23">
        <f t="shared" si="31"/>
        <v>0.5</v>
      </c>
      <c r="AB292" s="23">
        <f>IFERROR(AA292*SETTINGS!$C$9,"")</f>
        <v>2.5000000000000001E-2</v>
      </c>
      <c r="AC292" s="23">
        <f>IFERROR((AA292+AB292)*SETTINGS!$C$10,"")</f>
        <v>2.6250000000000002E-2</v>
      </c>
    </row>
    <row r="293" spans="1:29" ht="16" x14ac:dyDescent="0.2">
      <c r="A293" s="25"/>
      <c r="H293" t="str">
        <f>IFERROR(VLOOKUP(G293,FILAMENTI_DB!$A:$C,3,FALSE),"")</f>
        <v/>
      </c>
      <c r="I293" t="str">
        <f>IFERROR(VLOOKUP(G293,FILAMENTI_DB!$A:$E,4,FALSE),"")</f>
        <v/>
      </c>
      <c r="J293" s="26"/>
      <c r="K293" s="27"/>
      <c r="L293" s="27"/>
      <c r="M293" s="27">
        <f t="shared" si="26"/>
        <v>0</v>
      </c>
      <c r="N293" s="26">
        <f t="shared" si="27"/>
        <v>0</v>
      </c>
      <c r="O293" s="26"/>
      <c r="P293" s="26"/>
      <c r="Q293" s="23"/>
      <c r="R293" s="23">
        <f t="shared" si="28"/>
        <v>0</v>
      </c>
      <c r="S293" s="23"/>
      <c r="T293" s="23">
        <f t="shared" si="29"/>
        <v>0</v>
      </c>
      <c r="U293" s="28" t="str">
        <f t="shared" si="30"/>
        <v/>
      </c>
      <c r="V293" s="10" t="str">
        <f>IFERROR(N293*VLOOKUP(G293,FILAMENTI_DB!$A:$J,10,FALSE),"")</f>
        <v/>
      </c>
      <c r="W293" s="23" t="str">
        <f>IFERROR((VLOOKUP(F293,STAMPANTI_DB!$A:$C,3,FALSE)/1000)*O293*SETTINGS!$C$6,"")</f>
        <v/>
      </c>
      <c r="X293" s="23" t="str">
        <f>IFERROR(O293*VLOOKUP(F293,STAMPANTI_DB!$A:$I,9,FALSE),"")</f>
        <v/>
      </c>
      <c r="Y293" s="23">
        <f>IFERROR(P293*SETTINGS!$C$7,"")</f>
        <v>0</v>
      </c>
      <c r="Z293" s="23">
        <f>SETTINGS!$C$11</f>
        <v>0.5</v>
      </c>
      <c r="AA293" s="23">
        <f t="shared" si="31"/>
        <v>0.5</v>
      </c>
      <c r="AB293" s="23">
        <f>IFERROR(AA293*SETTINGS!$C$9,"")</f>
        <v>2.5000000000000001E-2</v>
      </c>
      <c r="AC293" s="23">
        <f>IFERROR((AA293+AB293)*SETTINGS!$C$10,"")</f>
        <v>2.6250000000000002E-2</v>
      </c>
    </row>
    <row r="294" spans="1:29" ht="16" x14ac:dyDescent="0.2">
      <c r="A294" s="25"/>
      <c r="H294" t="str">
        <f>IFERROR(VLOOKUP(G294,FILAMENTI_DB!$A:$C,3,FALSE),"")</f>
        <v/>
      </c>
      <c r="I294" t="str">
        <f>IFERROR(VLOOKUP(G294,FILAMENTI_DB!$A:$E,4,FALSE),"")</f>
        <v/>
      </c>
      <c r="J294" s="26"/>
      <c r="K294" s="27"/>
      <c r="L294" s="27"/>
      <c r="M294" s="27">
        <f t="shared" si="26"/>
        <v>0</v>
      </c>
      <c r="N294" s="26">
        <f t="shared" si="27"/>
        <v>0</v>
      </c>
      <c r="O294" s="26"/>
      <c r="P294" s="26"/>
      <c r="Q294" s="23"/>
      <c r="R294" s="23">
        <f t="shared" si="28"/>
        <v>0</v>
      </c>
      <c r="S294" s="23"/>
      <c r="T294" s="23">
        <f t="shared" si="29"/>
        <v>0</v>
      </c>
      <c r="U294" s="28" t="str">
        <f t="shared" si="30"/>
        <v/>
      </c>
      <c r="V294" s="10" t="str">
        <f>IFERROR(N294*VLOOKUP(G294,FILAMENTI_DB!$A:$J,10,FALSE),"")</f>
        <v/>
      </c>
      <c r="W294" s="23" t="str">
        <f>IFERROR((VLOOKUP(F294,STAMPANTI_DB!$A:$C,3,FALSE)/1000)*O294*SETTINGS!$C$6,"")</f>
        <v/>
      </c>
      <c r="X294" s="23" t="str">
        <f>IFERROR(O294*VLOOKUP(F294,STAMPANTI_DB!$A:$I,9,FALSE),"")</f>
        <v/>
      </c>
      <c r="Y294" s="23">
        <f>IFERROR(P294*SETTINGS!$C$7,"")</f>
        <v>0</v>
      </c>
      <c r="Z294" s="23">
        <f>SETTINGS!$C$11</f>
        <v>0.5</v>
      </c>
      <c r="AA294" s="23">
        <f t="shared" si="31"/>
        <v>0.5</v>
      </c>
      <c r="AB294" s="23">
        <f>IFERROR(AA294*SETTINGS!$C$9,"")</f>
        <v>2.5000000000000001E-2</v>
      </c>
      <c r="AC294" s="23">
        <f>IFERROR((AA294+AB294)*SETTINGS!$C$10,"")</f>
        <v>2.6250000000000002E-2</v>
      </c>
    </row>
    <row r="295" spans="1:29" ht="16" x14ac:dyDescent="0.2">
      <c r="A295" s="25"/>
      <c r="H295" t="str">
        <f>IFERROR(VLOOKUP(G295,FILAMENTI_DB!$A:$C,3,FALSE),"")</f>
        <v/>
      </c>
      <c r="I295" t="str">
        <f>IFERROR(VLOOKUP(G295,FILAMENTI_DB!$A:$E,4,FALSE),"")</f>
        <v/>
      </c>
      <c r="J295" s="26"/>
      <c r="K295" s="27"/>
      <c r="L295" s="27"/>
      <c r="M295" s="27">
        <f t="shared" si="26"/>
        <v>0</v>
      </c>
      <c r="N295" s="26">
        <f t="shared" si="27"/>
        <v>0</v>
      </c>
      <c r="O295" s="26"/>
      <c r="P295" s="26"/>
      <c r="Q295" s="23"/>
      <c r="R295" s="23">
        <f t="shared" si="28"/>
        <v>0</v>
      </c>
      <c r="S295" s="23"/>
      <c r="T295" s="23">
        <f t="shared" si="29"/>
        <v>0</v>
      </c>
      <c r="U295" s="28" t="str">
        <f t="shared" si="30"/>
        <v/>
      </c>
      <c r="V295" s="10" t="str">
        <f>IFERROR(N295*VLOOKUP(G295,FILAMENTI_DB!$A:$J,10,FALSE),"")</f>
        <v/>
      </c>
      <c r="W295" s="23" t="str">
        <f>IFERROR((VLOOKUP(F295,STAMPANTI_DB!$A:$C,3,FALSE)/1000)*O295*SETTINGS!$C$6,"")</f>
        <v/>
      </c>
      <c r="X295" s="23" t="str">
        <f>IFERROR(O295*VLOOKUP(F295,STAMPANTI_DB!$A:$I,9,FALSE),"")</f>
        <v/>
      </c>
      <c r="Y295" s="23">
        <f>IFERROR(P295*SETTINGS!$C$7,"")</f>
        <v>0</v>
      </c>
      <c r="Z295" s="23">
        <f>SETTINGS!$C$11</f>
        <v>0.5</v>
      </c>
      <c r="AA295" s="23">
        <f t="shared" si="31"/>
        <v>0.5</v>
      </c>
      <c r="AB295" s="23">
        <f>IFERROR(AA295*SETTINGS!$C$9,"")</f>
        <v>2.5000000000000001E-2</v>
      </c>
      <c r="AC295" s="23">
        <f>IFERROR((AA295+AB295)*SETTINGS!$C$10,"")</f>
        <v>2.6250000000000002E-2</v>
      </c>
    </row>
    <row r="296" spans="1:29" ht="16" x14ac:dyDescent="0.2">
      <c r="A296" s="25"/>
      <c r="H296" t="str">
        <f>IFERROR(VLOOKUP(G296,FILAMENTI_DB!$A:$C,3,FALSE),"")</f>
        <v/>
      </c>
      <c r="I296" t="str">
        <f>IFERROR(VLOOKUP(G296,FILAMENTI_DB!$A:$E,4,FALSE),"")</f>
        <v/>
      </c>
      <c r="J296" s="26"/>
      <c r="K296" s="27"/>
      <c r="L296" s="27"/>
      <c r="M296" s="27">
        <f t="shared" si="26"/>
        <v>0</v>
      </c>
      <c r="N296" s="26">
        <f t="shared" si="27"/>
        <v>0</v>
      </c>
      <c r="O296" s="26"/>
      <c r="P296" s="26"/>
      <c r="Q296" s="23"/>
      <c r="R296" s="23">
        <f t="shared" si="28"/>
        <v>0</v>
      </c>
      <c r="S296" s="23"/>
      <c r="T296" s="23">
        <f t="shared" si="29"/>
        <v>0</v>
      </c>
      <c r="U296" s="28" t="str">
        <f t="shared" si="30"/>
        <v/>
      </c>
      <c r="V296" s="10" t="str">
        <f>IFERROR(N296*VLOOKUP(G296,FILAMENTI_DB!$A:$J,10,FALSE),"")</f>
        <v/>
      </c>
      <c r="W296" s="23" t="str">
        <f>IFERROR((VLOOKUP(F296,STAMPANTI_DB!$A:$C,3,FALSE)/1000)*O296*SETTINGS!$C$6,"")</f>
        <v/>
      </c>
      <c r="X296" s="23" t="str">
        <f>IFERROR(O296*VLOOKUP(F296,STAMPANTI_DB!$A:$I,9,FALSE),"")</f>
        <v/>
      </c>
      <c r="Y296" s="23">
        <f>IFERROR(P296*SETTINGS!$C$7,"")</f>
        <v>0</v>
      </c>
      <c r="Z296" s="23">
        <f>SETTINGS!$C$11</f>
        <v>0.5</v>
      </c>
      <c r="AA296" s="23">
        <f t="shared" si="31"/>
        <v>0.5</v>
      </c>
      <c r="AB296" s="23">
        <f>IFERROR(AA296*SETTINGS!$C$9,"")</f>
        <v>2.5000000000000001E-2</v>
      </c>
      <c r="AC296" s="23">
        <f>IFERROR((AA296+AB296)*SETTINGS!$C$10,"")</f>
        <v>2.6250000000000002E-2</v>
      </c>
    </row>
    <row r="297" spans="1:29" ht="16" x14ac:dyDescent="0.2">
      <c r="A297" s="25"/>
      <c r="H297" t="str">
        <f>IFERROR(VLOOKUP(G297,FILAMENTI_DB!$A:$C,3,FALSE),"")</f>
        <v/>
      </c>
      <c r="I297" t="str">
        <f>IFERROR(VLOOKUP(G297,FILAMENTI_DB!$A:$E,4,FALSE),"")</f>
        <v/>
      </c>
      <c r="J297" s="26"/>
      <c r="K297" s="27"/>
      <c r="L297" s="27"/>
      <c r="M297" s="27">
        <f t="shared" si="26"/>
        <v>0</v>
      </c>
      <c r="N297" s="26">
        <f t="shared" si="27"/>
        <v>0</v>
      </c>
      <c r="O297" s="26"/>
      <c r="P297" s="26"/>
      <c r="Q297" s="23"/>
      <c r="R297" s="23">
        <f t="shared" si="28"/>
        <v>0</v>
      </c>
      <c r="S297" s="23"/>
      <c r="T297" s="23">
        <f t="shared" si="29"/>
        <v>0</v>
      </c>
      <c r="U297" s="28" t="str">
        <f t="shared" si="30"/>
        <v/>
      </c>
      <c r="V297" s="10" t="str">
        <f>IFERROR(N297*VLOOKUP(G297,FILAMENTI_DB!$A:$J,10,FALSE),"")</f>
        <v/>
      </c>
      <c r="W297" s="23" t="str">
        <f>IFERROR((VLOOKUP(F297,STAMPANTI_DB!$A:$C,3,FALSE)/1000)*O297*SETTINGS!$C$6,"")</f>
        <v/>
      </c>
      <c r="X297" s="23" t="str">
        <f>IFERROR(O297*VLOOKUP(F297,STAMPANTI_DB!$A:$I,9,FALSE),"")</f>
        <v/>
      </c>
      <c r="Y297" s="23">
        <f>IFERROR(P297*SETTINGS!$C$7,"")</f>
        <v>0</v>
      </c>
      <c r="Z297" s="23">
        <f>SETTINGS!$C$11</f>
        <v>0.5</v>
      </c>
      <c r="AA297" s="23">
        <f t="shared" si="31"/>
        <v>0.5</v>
      </c>
      <c r="AB297" s="23">
        <f>IFERROR(AA297*SETTINGS!$C$9,"")</f>
        <v>2.5000000000000001E-2</v>
      </c>
      <c r="AC297" s="23">
        <f>IFERROR((AA297+AB297)*SETTINGS!$C$10,"")</f>
        <v>2.6250000000000002E-2</v>
      </c>
    </row>
    <row r="298" spans="1:29" ht="16" x14ac:dyDescent="0.2">
      <c r="A298" s="25"/>
      <c r="H298" t="str">
        <f>IFERROR(VLOOKUP(G298,FILAMENTI_DB!$A:$C,3,FALSE),"")</f>
        <v/>
      </c>
      <c r="I298" t="str">
        <f>IFERROR(VLOOKUP(G298,FILAMENTI_DB!$A:$E,4,FALSE),"")</f>
        <v/>
      </c>
      <c r="J298" s="26"/>
      <c r="K298" s="27"/>
      <c r="L298" s="27"/>
      <c r="M298" s="27">
        <f t="shared" si="26"/>
        <v>0</v>
      </c>
      <c r="N298" s="26">
        <f t="shared" si="27"/>
        <v>0</v>
      </c>
      <c r="O298" s="26"/>
      <c r="P298" s="26"/>
      <c r="Q298" s="23"/>
      <c r="R298" s="23">
        <f t="shared" si="28"/>
        <v>0</v>
      </c>
      <c r="S298" s="23"/>
      <c r="T298" s="23">
        <f t="shared" si="29"/>
        <v>0</v>
      </c>
      <c r="U298" s="28" t="str">
        <f t="shared" si="30"/>
        <v/>
      </c>
      <c r="V298" s="10" t="str">
        <f>IFERROR(N298*VLOOKUP(G298,FILAMENTI_DB!$A:$J,10,FALSE),"")</f>
        <v/>
      </c>
      <c r="W298" s="23" t="str">
        <f>IFERROR((VLOOKUP(F298,STAMPANTI_DB!$A:$C,3,FALSE)/1000)*O298*SETTINGS!$C$6,"")</f>
        <v/>
      </c>
      <c r="X298" s="23" t="str">
        <f>IFERROR(O298*VLOOKUP(F298,STAMPANTI_DB!$A:$I,9,FALSE),"")</f>
        <v/>
      </c>
      <c r="Y298" s="23">
        <f>IFERROR(P298*SETTINGS!$C$7,"")</f>
        <v>0</v>
      </c>
      <c r="Z298" s="23">
        <f>SETTINGS!$C$11</f>
        <v>0.5</v>
      </c>
      <c r="AA298" s="23">
        <f t="shared" si="31"/>
        <v>0.5</v>
      </c>
      <c r="AB298" s="23">
        <f>IFERROR(AA298*SETTINGS!$C$9,"")</f>
        <v>2.5000000000000001E-2</v>
      </c>
      <c r="AC298" s="23">
        <f>IFERROR((AA298+AB298)*SETTINGS!$C$10,"")</f>
        <v>2.6250000000000002E-2</v>
      </c>
    </row>
    <row r="299" spans="1:29" ht="16" x14ac:dyDescent="0.2">
      <c r="A299" s="25"/>
      <c r="H299" t="str">
        <f>IFERROR(VLOOKUP(G299,FILAMENTI_DB!$A:$C,3,FALSE),"")</f>
        <v/>
      </c>
      <c r="I299" t="str">
        <f>IFERROR(VLOOKUP(G299,FILAMENTI_DB!$A:$E,4,FALSE),"")</f>
        <v/>
      </c>
      <c r="J299" s="26"/>
      <c r="K299" s="27"/>
      <c r="L299" s="27"/>
      <c r="M299" s="27">
        <f t="shared" si="26"/>
        <v>0</v>
      </c>
      <c r="N299" s="26">
        <f t="shared" si="27"/>
        <v>0</v>
      </c>
      <c r="O299" s="26"/>
      <c r="P299" s="26"/>
      <c r="Q299" s="23"/>
      <c r="R299" s="23">
        <f t="shared" si="28"/>
        <v>0</v>
      </c>
      <c r="S299" s="23"/>
      <c r="T299" s="23">
        <f t="shared" si="29"/>
        <v>0</v>
      </c>
      <c r="U299" s="28" t="str">
        <f t="shared" si="30"/>
        <v/>
      </c>
      <c r="V299" s="10" t="str">
        <f>IFERROR(N299*VLOOKUP(G299,FILAMENTI_DB!$A:$J,10,FALSE),"")</f>
        <v/>
      </c>
      <c r="W299" s="23" t="str">
        <f>IFERROR((VLOOKUP(F299,STAMPANTI_DB!$A:$C,3,FALSE)/1000)*O299*SETTINGS!$C$6,"")</f>
        <v/>
      </c>
      <c r="X299" s="23" t="str">
        <f>IFERROR(O299*VLOOKUP(F299,STAMPANTI_DB!$A:$I,9,FALSE),"")</f>
        <v/>
      </c>
      <c r="Y299" s="23">
        <f>IFERROR(P299*SETTINGS!$C$7,"")</f>
        <v>0</v>
      </c>
      <c r="Z299" s="23">
        <f>SETTINGS!$C$11</f>
        <v>0.5</v>
      </c>
      <c r="AA299" s="23">
        <f t="shared" si="31"/>
        <v>0.5</v>
      </c>
      <c r="AB299" s="23">
        <f>IFERROR(AA299*SETTINGS!$C$9,"")</f>
        <v>2.5000000000000001E-2</v>
      </c>
      <c r="AC299" s="23">
        <f>IFERROR((AA299+AB299)*SETTINGS!$C$10,"")</f>
        <v>2.6250000000000002E-2</v>
      </c>
    </row>
    <row r="300" spans="1:29" ht="16" x14ac:dyDescent="0.2">
      <c r="A300" s="25"/>
      <c r="H300" t="str">
        <f>IFERROR(VLOOKUP(G300,FILAMENTI_DB!$A:$C,3,FALSE),"")</f>
        <v/>
      </c>
      <c r="I300" t="str">
        <f>IFERROR(VLOOKUP(G300,FILAMENTI_DB!$A:$E,4,FALSE),"")</f>
        <v/>
      </c>
      <c r="J300" s="26"/>
      <c r="K300" s="27"/>
      <c r="L300" s="27"/>
      <c r="M300" s="27">
        <f t="shared" si="26"/>
        <v>0</v>
      </c>
      <c r="N300" s="26">
        <f t="shared" si="27"/>
        <v>0</v>
      </c>
      <c r="O300" s="26"/>
      <c r="P300" s="26"/>
      <c r="Q300" s="23"/>
      <c r="R300" s="23">
        <f t="shared" si="28"/>
        <v>0</v>
      </c>
      <c r="S300" s="23"/>
      <c r="T300" s="23">
        <f t="shared" si="29"/>
        <v>0</v>
      </c>
      <c r="U300" s="28" t="str">
        <f t="shared" si="30"/>
        <v/>
      </c>
      <c r="V300" s="10" t="str">
        <f>IFERROR(N300*VLOOKUP(G300,FILAMENTI_DB!$A:$J,10,FALSE),"")</f>
        <v/>
      </c>
      <c r="W300" s="23" t="str">
        <f>IFERROR((VLOOKUP(F300,STAMPANTI_DB!$A:$C,3,FALSE)/1000)*O300*SETTINGS!$C$6,"")</f>
        <v/>
      </c>
      <c r="X300" s="23" t="str">
        <f>IFERROR(O300*VLOOKUP(F300,STAMPANTI_DB!$A:$I,9,FALSE),"")</f>
        <v/>
      </c>
      <c r="Y300" s="23">
        <f>IFERROR(P300*SETTINGS!$C$7,"")</f>
        <v>0</v>
      </c>
      <c r="Z300" s="23">
        <f>SETTINGS!$C$11</f>
        <v>0.5</v>
      </c>
      <c r="AA300" s="23">
        <f t="shared" si="31"/>
        <v>0.5</v>
      </c>
      <c r="AB300" s="23">
        <f>IFERROR(AA300*SETTINGS!$C$9,"")</f>
        <v>2.5000000000000001E-2</v>
      </c>
      <c r="AC300" s="23">
        <f>IFERROR((AA300+AB300)*SETTINGS!$C$10,"")</f>
        <v>2.6250000000000002E-2</v>
      </c>
    </row>
    <row r="301" spans="1:29" ht="16" x14ac:dyDescent="0.2">
      <c r="A301" s="25"/>
      <c r="H301" t="str">
        <f>IFERROR(VLOOKUP(G301,FILAMENTI_DB!$A:$C,3,FALSE),"")</f>
        <v/>
      </c>
      <c r="I301" t="str">
        <f>IFERROR(VLOOKUP(G301,FILAMENTI_DB!$A:$E,4,FALSE),"")</f>
        <v/>
      </c>
      <c r="J301" s="26"/>
      <c r="K301" s="27"/>
      <c r="L301" s="27"/>
      <c r="M301" s="27">
        <f t="shared" si="26"/>
        <v>0</v>
      </c>
      <c r="N301" s="26">
        <f t="shared" si="27"/>
        <v>0</v>
      </c>
      <c r="O301" s="26"/>
      <c r="P301" s="26"/>
      <c r="Q301" s="23"/>
      <c r="R301" s="23">
        <f t="shared" si="28"/>
        <v>0</v>
      </c>
      <c r="S301" s="23"/>
      <c r="T301" s="23">
        <f t="shared" si="29"/>
        <v>0</v>
      </c>
      <c r="U301" s="28" t="str">
        <f t="shared" si="30"/>
        <v/>
      </c>
      <c r="V301" s="10" t="str">
        <f>IFERROR(N301*VLOOKUP(G301,FILAMENTI_DB!$A:$J,10,FALSE),"")</f>
        <v/>
      </c>
      <c r="W301" s="23" t="str">
        <f>IFERROR((VLOOKUP(F301,STAMPANTI_DB!$A:$C,3,FALSE)/1000)*O301*SETTINGS!$C$6,"")</f>
        <v/>
      </c>
      <c r="X301" s="23" t="str">
        <f>IFERROR(O301*VLOOKUP(F301,STAMPANTI_DB!$A:$I,9,FALSE),"")</f>
        <v/>
      </c>
      <c r="Y301" s="23">
        <f>IFERROR(P301*SETTINGS!$C$7,"")</f>
        <v>0</v>
      </c>
      <c r="Z301" s="23">
        <f>SETTINGS!$C$11</f>
        <v>0.5</v>
      </c>
      <c r="AA301" s="23">
        <f t="shared" si="31"/>
        <v>0.5</v>
      </c>
      <c r="AB301" s="23">
        <f>IFERROR(AA301*SETTINGS!$C$9,"")</f>
        <v>2.5000000000000001E-2</v>
      </c>
      <c r="AC301" s="23">
        <f>IFERROR((AA301+AB301)*SETTINGS!$C$10,"")</f>
        <v>2.6250000000000002E-2</v>
      </c>
    </row>
    <row r="302" spans="1:29" ht="16" x14ac:dyDescent="0.2">
      <c r="A302" s="25"/>
      <c r="H302" t="str">
        <f>IFERROR(VLOOKUP(G302,FILAMENTI_DB!$A:$C,3,FALSE),"")</f>
        <v/>
      </c>
      <c r="I302" t="str">
        <f>IFERROR(VLOOKUP(G302,FILAMENTI_DB!$A:$E,4,FALSE),"")</f>
        <v/>
      </c>
      <c r="J302" s="26"/>
      <c r="K302" s="27"/>
      <c r="L302" s="27"/>
      <c r="M302" s="27">
        <f t="shared" si="26"/>
        <v>0</v>
      </c>
      <c r="N302" s="26">
        <f t="shared" si="27"/>
        <v>0</v>
      </c>
      <c r="O302" s="26"/>
      <c r="P302" s="26"/>
      <c r="Q302" s="23"/>
      <c r="R302" s="23">
        <f t="shared" si="28"/>
        <v>0</v>
      </c>
      <c r="S302" s="23"/>
      <c r="T302" s="23">
        <f t="shared" si="29"/>
        <v>0</v>
      </c>
      <c r="U302" s="28" t="str">
        <f t="shared" si="30"/>
        <v/>
      </c>
      <c r="V302" s="10" t="str">
        <f>IFERROR(N302*VLOOKUP(G302,FILAMENTI_DB!$A:$J,10,FALSE),"")</f>
        <v/>
      </c>
      <c r="W302" s="23" t="str">
        <f>IFERROR((VLOOKUP(F302,STAMPANTI_DB!$A:$C,3,FALSE)/1000)*O302*SETTINGS!$C$6,"")</f>
        <v/>
      </c>
      <c r="X302" s="23" t="str">
        <f>IFERROR(O302*VLOOKUP(F302,STAMPANTI_DB!$A:$I,9,FALSE),"")</f>
        <v/>
      </c>
      <c r="Y302" s="23">
        <f>IFERROR(P302*SETTINGS!$C$7,"")</f>
        <v>0</v>
      </c>
      <c r="Z302" s="23">
        <f>SETTINGS!$C$11</f>
        <v>0.5</v>
      </c>
      <c r="AA302" s="23">
        <f t="shared" si="31"/>
        <v>0.5</v>
      </c>
      <c r="AB302" s="23">
        <f>IFERROR(AA302*SETTINGS!$C$9,"")</f>
        <v>2.5000000000000001E-2</v>
      </c>
      <c r="AC302" s="23">
        <f>IFERROR((AA302+AB302)*SETTINGS!$C$10,"")</f>
        <v>2.6250000000000002E-2</v>
      </c>
    </row>
    <row r="303" spans="1:29" ht="16" x14ac:dyDescent="0.2">
      <c r="A303" s="25"/>
      <c r="H303" t="str">
        <f>IFERROR(VLOOKUP(G303,FILAMENTI_DB!$A:$C,3,FALSE),"")</f>
        <v/>
      </c>
      <c r="I303" t="str">
        <f>IFERROR(VLOOKUP(G303,FILAMENTI_DB!$A:$E,4,FALSE),"")</f>
        <v/>
      </c>
      <c r="J303" s="26"/>
      <c r="K303" s="27"/>
      <c r="L303" s="27"/>
      <c r="M303" s="27">
        <f t="shared" si="26"/>
        <v>0</v>
      </c>
      <c r="N303" s="26">
        <f t="shared" si="27"/>
        <v>0</v>
      </c>
      <c r="O303" s="26"/>
      <c r="P303" s="26"/>
      <c r="Q303" s="23"/>
      <c r="R303" s="23">
        <f t="shared" si="28"/>
        <v>0</v>
      </c>
      <c r="S303" s="23"/>
      <c r="T303" s="23">
        <f t="shared" si="29"/>
        <v>0</v>
      </c>
      <c r="U303" s="28" t="str">
        <f t="shared" si="30"/>
        <v/>
      </c>
      <c r="V303" s="10" t="str">
        <f>IFERROR(N303*VLOOKUP(G303,FILAMENTI_DB!$A:$J,10,FALSE),"")</f>
        <v/>
      </c>
      <c r="W303" s="23" t="str">
        <f>IFERROR((VLOOKUP(F303,STAMPANTI_DB!$A:$C,3,FALSE)/1000)*O303*SETTINGS!$C$6,"")</f>
        <v/>
      </c>
      <c r="X303" s="23" t="str">
        <f>IFERROR(O303*VLOOKUP(F303,STAMPANTI_DB!$A:$I,9,FALSE),"")</f>
        <v/>
      </c>
      <c r="Y303" s="23">
        <f>IFERROR(P303*SETTINGS!$C$7,"")</f>
        <v>0</v>
      </c>
      <c r="Z303" s="23">
        <f>SETTINGS!$C$11</f>
        <v>0.5</v>
      </c>
      <c r="AA303" s="23">
        <f t="shared" si="31"/>
        <v>0.5</v>
      </c>
      <c r="AB303" s="23">
        <f>IFERROR(AA303*SETTINGS!$C$9,"")</f>
        <v>2.5000000000000001E-2</v>
      </c>
      <c r="AC303" s="23">
        <f>IFERROR((AA303+AB303)*SETTINGS!$C$10,"")</f>
        <v>2.6250000000000002E-2</v>
      </c>
    </row>
    <row r="304" spans="1:29" ht="16" x14ac:dyDescent="0.2">
      <c r="A304" s="25"/>
      <c r="H304" t="str">
        <f>IFERROR(VLOOKUP(G304,FILAMENTI_DB!$A:$C,3,FALSE),"")</f>
        <v/>
      </c>
      <c r="I304" t="str">
        <f>IFERROR(VLOOKUP(G304,FILAMENTI_DB!$A:$E,4,FALSE),"")</f>
        <v/>
      </c>
      <c r="J304" s="26"/>
      <c r="K304" s="27"/>
      <c r="L304" s="27"/>
      <c r="M304" s="27">
        <f t="shared" si="26"/>
        <v>0</v>
      </c>
      <c r="N304" s="26">
        <f t="shared" si="27"/>
        <v>0</v>
      </c>
      <c r="O304" s="26"/>
      <c r="P304" s="26"/>
      <c r="Q304" s="23"/>
      <c r="R304" s="23">
        <f t="shared" si="28"/>
        <v>0</v>
      </c>
      <c r="S304" s="23"/>
      <c r="T304" s="23">
        <f t="shared" si="29"/>
        <v>0</v>
      </c>
      <c r="U304" s="28" t="str">
        <f t="shared" si="30"/>
        <v/>
      </c>
      <c r="V304" s="10" t="str">
        <f>IFERROR(N304*VLOOKUP(G304,FILAMENTI_DB!$A:$J,10,FALSE),"")</f>
        <v/>
      </c>
      <c r="W304" s="23" t="str">
        <f>IFERROR((VLOOKUP(F304,STAMPANTI_DB!$A:$C,3,FALSE)/1000)*O304*SETTINGS!$C$6,"")</f>
        <v/>
      </c>
      <c r="X304" s="23" t="str">
        <f>IFERROR(O304*VLOOKUP(F304,STAMPANTI_DB!$A:$I,9,FALSE),"")</f>
        <v/>
      </c>
      <c r="Y304" s="23">
        <f>IFERROR(P304*SETTINGS!$C$7,"")</f>
        <v>0</v>
      </c>
      <c r="Z304" s="23">
        <f>SETTINGS!$C$11</f>
        <v>0.5</v>
      </c>
      <c r="AA304" s="23">
        <f t="shared" si="31"/>
        <v>0.5</v>
      </c>
      <c r="AB304" s="23">
        <f>IFERROR(AA304*SETTINGS!$C$9,"")</f>
        <v>2.5000000000000001E-2</v>
      </c>
      <c r="AC304" s="23">
        <f>IFERROR((AA304+AB304)*SETTINGS!$C$10,"")</f>
        <v>2.6250000000000002E-2</v>
      </c>
    </row>
    <row r="305" spans="1:29" ht="16" x14ac:dyDescent="0.2">
      <c r="A305" s="25"/>
      <c r="H305" t="str">
        <f>IFERROR(VLOOKUP(G305,FILAMENTI_DB!$A:$C,3,FALSE),"")</f>
        <v/>
      </c>
      <c r="I305" t="str">
        <f>IFERROR(VLOOKUP(G305,FILAMENTI_DB!$A:$E,4,FALSE),"")</f>
        <v/>
      </c>
      <c r="J305" s="26"/>
      <c r="K305" s="27"/>
      <c r="L305" s="27"/>
      <c r="M305" s="27">
        <f t="shared" si="26"/>
        <v>0</v>
      </c>
      <c r="N305" s="26">
        <f t="shared" si="27"/>
        <v>0</v>
      </c>
      <c r="O305" s="26"/>
      <c r="P305" s="26"/>
      <c r="Q305" s="23"/>
      <c r="R305" s="23">
        <f t="shared" si="28"/>
        <v>0</v>
      </c>
      <c r="S305" s="23"/>
      <c r="T305" s="23">
        <f t="shared" si="29"/>
        <v>0</v>
      </c>
      <c r="U305" s="28" t="str">
        <f t="shared" si="30"/>
        <v/>
      </c>
      <c r="V305" s="10" t="str">
        <f>IFERROR(N305*VLOOKUP(G305,FILAMENTI_DB!$A:$J,10,FALSE),"")</f>
        <v/>
      </c>
      <c r="W305" s="23" t="str">
        <f>IFERROR((VLOOKUP(F305,STAMPANTI_DB!$A:$C,3,FALSE)/1000)*O305*SETTINGS!$C$6,"")</f>
        <v/>
      </c>
      <c r="X305" s="23" t="str">
        <f>IFERROR(O305*VLOOKUP(F305,STAMPANTI_DB!$A:$I,9,FALSE),"")</f>
        <v/>
      </c>
      <c r="Y305" s="23">
        <f>IFERROR(P305*SETTINGS!$C$7,"")</f>
        <v>0</v>
      </c>
      <c r="Z305" s="23">
        <f>SETTINGS!$C$11</f>
        <v>0.5</v>
      </c>
      <c r="AA305" s="23">
        <f t="shared" si="31"/>
        <v>0.5</v>
      </c>
      <c r="AB305" s="23">
        <f>IFERROR(AA305*SETTINGS!$C$9,"")</f>
        <v>2.5000000000000001E-2</v>
      </c>
      <c r="AC305" s="23">
        <f>IFERROR((AA305+AB305)*SETTINGS!$C$10,"")</f>
        <v>2.6250000000000002E-2</v>
      </c>
    </row>
    <row r="306" spans="1:29" ht="16" x14ac:dyDescent="0.2">
      <c r="A306" s="25"/>
      <c r="H306" t="str">
        <f>IFERROR(VLOOKUP(G306,FILAMENTI_DB!$A:$C,3,FALSE),"")</f>
        <v/>
      </c>
      <c r="I306" t="str">
        <f>IFERROR(VLOOKUP(G306,FILAMENTI_DB!$A:$E,4,FALSE),"")</f>
        <v/>
      </c>
      <c r="J306" s="26"/>
      <c r="K306" s="27"/>
      <c r="L306" s="27"/>
      <c r="M306" s="27">
        <f t="shared" si="26"/>
        <v>0</v>
      </c>
      <c r="N306" s="26">
        <f t="shared" si="27"/>
        <v>0</v>
      </c>
      <c r="O306" s="26"/>
      <c r="P306" s="26"/>
      <c r="Q306" s="23"/>
      <c r="R306" s="23">
        <f t="shared" si="28"/>
        <v>0</v>
      </c>
      <c r="S306" s="23"/>
      <c r="T306" s="23">
        <f t="shared" si="29"/>
        <v>0</v>
      </c>
      <c r="U306" s="28" t="str">
        <f t="shared" si="30"/>
        <v/>
      </c>
      <c r="V306" s="10" t="str">
        <f>IFERROR(N306*VLOOKUP(G306,FILAMENTI_DB!$A:$J,10,FALSE),"")</f>
        <v/>
      </c>
      <c r="W306" s="23" t="str">
        <f>IFERROR((VLOOKUP(F306,STAMPANTI_DB!$A:$C,3,FALSE)/1000)*O306*SETTINGS!$C$6,"")</f>
        <v/>
      </c>
      <c r="X306" s="23" t="str">
        <f>IFERROR(O306*VLOOKUP(F306,STAMPANTI_DB!$A:$I,9,FALSE),"")</f>
        <v/>
      </c>
      <c r="Y306" s="23">
        <f>IFERROR(P306*SETTINGS!$C$7,"")</f>
        <v>0</v>
      </c>
      <c r="Z306" s="23">
        <f>SETTINGS!$C$11</f>
        <v>0.5</v>
      </c>
      <c r="AA306" s="23">
        <f t="shared" si="31"/>
        <v>0.5</v>
      </c>
      <c r="AB306" s="23">
        <f>IFERROR(AA306*SETTINGS!$C$9,"")</f>
        <v>2.5000000000000001E-2</v>
      </c>
      <c r="AC306" s="23">
        <f>IFERROR((AA306+AB306)*SETTINGS!$C$10,"")</f>
        <v>2.6250000000000002E-2</v>
      </c>
    </row>
    <row r="307" spans="1:29" ht="16" x14ac:dyDescent="0.2">
      <c r="A307" s="25"/>
      <c r="H307" t="str">
        <f>IFERROR(VLOOKUP(G307,FILAMENTI_DB!$A:$C,3,FALSE),"")</f>
        <v/>
      </c>
      <c r="I307" t="str">
        <f>IFERROR(VLOOKUP(G307,FILAMENTI_DB!$A:$E,4,FALSE),"")</f>
        <v/>
      </c>
      <c r="J307" s="26"/>
      <c r="K307" s="27"/>
      <c r="L307" s="27"/>
      <c r="M307" s="27">
        <f t="shared" si="26"/>
        <v>0</v>
      </c>
      <c r="N307" s="26">
        <f t="shared" si="27"/>
        <v>0</v>
      </c>
      <c r="O307" s="26"/>
      <c r="P307" s="26"/>
      <c r="Q307" s="23"/>
      <c r="R307" s="23">
        <f t="shared" si="28"/>
        <v>0</v>
      </c>
      <c r="S307" s="23"/>
      <c r="T307" s="23">
        <f t="shared" si="29"/>
        <v>0</v>
      </c>
      <c r="U307" s="28" t="str">
        <f t="shared" si="30"/>
        <v/>
      </c>
      <c r="V307" s="10" t="str">
        <f>IFERROR(N307*VLOOKUP(G307,FILAMENTI_DB!$A:$J,10,FALSE),"")</f>
        <v/>
      </c>
      <c r="W307" s="23" t="str">
        <f>IFERROR((VLOOKUP(F307,STAMPANTI_DB!$A:$C,3,FALSE)/1000)*O307*SETTINGS!$C$6,"")</f>
        <v/>
      </c>
      <c r="X307" s="23" t="str">
        <f>IFERROR(O307*VLOOKUP(F307,STAMPANTI_DB!$A:$I,9,FALSE),"")</f>
        <v/>
      </c>
      <c r="Y307" s="23">
        <f>IFERROR(P307*SETTINGS!$C$7,"")</f>
        <v>0</v>
      </c>
      <c r="Z307" s="23">
        <f>SETTINGS!$C$11</f>
        <v>0.5</v>
      </c>
      <c r="AA307" s="23">
        <f t="shared" si="31"/>
        <v>0.5</v>
      </c>
      <c r="AB307" s="23">
        <f>IFERROR(AA307*SETTINGS!$C$9,"")</f>
        <v>2.5000000000000001E-2</v>
      </c>
      <c r="AC307" s="23">
        <f>IFERROR((AA307+AB307)*SETTINGS!$C$10,"")</f>
        <v>2.6250000000000002E-2</v>
      </c>
    </row>
    <row r="308" spans="1:29" ht="16" x14ac:dyDescent="0.2">
      <c r="A308" s="25"/>
      <c r="H308" t="str">
        <f>IFERROR(VLOOKUP(G308,FILAMENTI_DB!$A:$C,3,FALSE),"")</f>
        <v/>
      </c>
      <c r="I308" t="str">
        <f>IFERROR(VLOOKUP(G308,FILAMENTI_DB!$A:$E,4,FALSE),"")</f>
        <v/>
      </c>
      <c r="J308" s="26"/>
      <c r="K308" s="27"/>
      <c r="L308" s="27"/>
      <c r="M308" s="27">
        <f t="shared" si="26"/>
        <v>0</v>
      </c>
      <c r="N308" s="26">
        <f t="shared" si="27"/>
        <v>0</v>
      </c>
      <c r="O308" s="26"/>
      <c r="P308" s="26"/>
      <c r="Q308" s="23"/>
      <c r="R308" s="23">
        <f t="shared" si="28"/>
        <v>0</v>
      </c>
      <c r="S308" s="23"/>
      <c r="T308" s="23">
        <f t="shared" si="29"/>
        <v>0</v>
      </c>
      <c r="U308" s="28" t="str">
        <f t="shared" si="30"/>
        <v/>
      </c>
      <c r="V308" s="10" t="str">
        <f>IFERROR(N308*VLOOKUP(G308,FILAMENTI_DB!$A:$J,10,FALSE),"")</f>
        <v/>
      </c>
      <c r="W308" s="23" t="str">
        <f>IFERROR((VLOOKUP(F308,STAMPANTI_DB!$A:$C,3,FALSE)/1000)*O308*SETTINGS!$C$6,"")</f>
        <v/>
      </c>
      <c r="X308" s="23" t="str">
        <f>IFERROR(O308*VLOOKUP(F308,STAMPANTI_DB!$A:$I,9,FALSE),"")</f>
        <v/>
      </c>
      <c r="Y308" s="23">
        <f>IFERROR(P308*SETTINGS!$C$7,"")</f>
        <v>0</v>
      </c>
      <c r="Z308" s="23">
        <f>SETTINGS!$C$11</f>
        <v>0.5</v>
      </c>
      <c r="AA308" s="23">
        <f t="shared" si="31"/>
        <v>0.5</v>
      </c>
      <c r="AB308" s="23">
        <f>IFERROR(AA308*SETTINGS!$C$9,"")</f>
        <v>2.5000000000000001E-2</v>
      </c>
      <c r="AC308" s="23">
        <f>IFERROR((AA308+AB308)*SETTINGS!$C$10,"")</f>
        <v>2.6250000000000002E-2</v>
      </c>
    </row>
    <row r="309" spans="1:29" ht="16" x14ac:dyDescent="0.2">
      <c r="A309" s="25"/>
      <c r="H309" t="str">
        <f>IFERROR(VLOOKUP(G309,FILAMENTI_DB!$A:$C,3,FALSE),"")</f>
        <v/>
      </c>
      <c r="I309" t="str">
        <f>IFERROR(VLOOKUP(G309,FILAMENTI_DB!$A:$E,4,FALSE),"")</f>
        <v/>
      </c>
      <c r="J309" s="26"/>
      <c r="K309" s="27"/>
      <c r="L309" s="27"/>
      <c r="M309" s="27">
        <f t="shared" si="26"/>
        <v>0</v>
      </c>
      <c r="N309" s="26">
        <f t="shared" si="27"/>
        <v>0</v>
      </c>
      <c r="O309" s="26"/>
      <c r="P309" s="26"/>
      <c r="Q309" s="23"/>
      <c r="R309" s="23">
        <f t="shared" si="28"/>
        <v>0</v>
      </c>
      <c r="S309" s="23"/>
      <c r="T309" s="23">
        <f t="shared" si="29"/>
        <v>0</v>
      </c>
      <c r="U309" s="28" t="str">
        <f t="shared" si="30"/>
        <v/>
      </c>
      <c r="V309" s="10" t="str">
        <f>IFERROR(N309*VLOOKUP(G309,FILAMENTI_DB!$A:$J,10,FALSE),"")</f>
        <v/>
      </c>
      <c r="W309" s="23" t="str">
        <f>IFERROR((VLOOKUP(F309,STAMPANTI_DB!$A:$C,3,FALSE)/1000)*O309*SETTINGS!$C$6,"")</f>
        <v/>
      </c>
      <c r="X309" s="23" t="str">
        <f>IFERROR(O309*VLOOKUP(F309,STAMPANTI_DB!$A:$I,9,FALSE),"")</f>
        <v/>
      </c>
      <c r="Y309" s="23">
        <f>IFERROR(P309*SETTINGS!$C$7,"")</f>
        <v>0</v>
      </c>
      <c r="Z309" s="23">
        <f>SETTINGS!$C$11</f>
        <v>0.5</v>
      </c>
      <c r="AA309" s="23">
        <f t="shared" si="31"/>
        <v>0.5</v>
      </c>
      <c r="AB309" s="23">
        <f>IFERROR(AA309*SETTINGS!$C$9,"")</f>
        <v>2.5000000000000001E-2</v>
      </c>
      <c r="AC309" s="23">
        <f>IFERROR((AA309+AB309)*SETTINGS!$C$10,"")</f>
        <v>2.6250000000000002E-2</v>
      </c>
    </row>
    <row r="310" spans="1:29" ht="16" x14ac:dyDescent="0.2">
      <c r="A310" s="25"/>
      <c r="H310" t="str">
        <f>IFERROR(VLOOKUP(G310,FILAMENTI_DB!$A:$C,3,FALSE),"")</f>
        <v/>
      </c>
      <c r="I310" t="str">
        <f>IFERROR(VLOOKUP(G310,FILAMENTI_DB!$A:$E,4,FALSE),"")</f>
        <v/>
      </c>
      <c r="J310" s="26"/>
      <c r="K310" s="27"/>
      <c r="L310" s="27"/>
      <c r="M310" s="27">
        <f t="shared" si="26"/>
        <v>0</v>
      </c>
      <c r="N310" s="26">
        <f t="shared" si="27"/>
        <v>0</v>
      </c>
      <c r="O310" s="26"/>
      <c r="P310" s="26"/>
      <c r="Q310" s="23"/>
      <c r="R310" s="23">
        <f t="shared" si="28"/>
        <v>0</v>
      </c>
      <c r="S310" s="23"/>
      <c r="T310" s="23">
        <f t="shared" si="29"/>
        <v>0</v>
      </c>
      <c r="U310" s="28" t="str">
        <f t="shared" si="30"/>
        <v/>
      </c>
      <c r="V310" s="10" t="str">
        <f>IFERROR(N310*VLOOKUP(G310,FILAMENTI_DB!$A:$J,10,FALSE),"")</f>
        <v/>
      </c>
      <c r="W310" s="23" t="str">
        <f>IFERROR((VLOOKUP(F310,STAMPANTI_DB!$A:$C,3,FALSE)/1000)*O310*SETTINGS!$C$6,"")</f>
        <v/>
      </c>
      <c r="X310" s="23" t="str">
        <f>IFERROR(O310*VLOOKUP(F310,STAMPANTI_DB!$A:$I,9,FALSE),"")</f>
        <v/>
      </c>
      <c r="Y310" s="23">
        <f>IFERROR(P310*SETTINGS!$C$7,"")</f>
        <v>0</v>
      </c>
      <c r="Z310" s="23">
        <f>SETTINGS!$C$11</f>
        <v>0.5</v>
      </c>
      <c r="AA310" s="23">
        <f t="shared" si="31"/>
        <v>0.5</v>
      </c>
      <c r="AB310" s="23">
        <f>IFERROR(AA310*SETTINGS!$C$9,"")</f>
        <v>2.5000000000000001E-2</v>
      </c>
      <c r="AC310" s="23">
        <f>IFERROR((AA310+AB310)*SETTINGS!$C$10,"")</f>
        <v>2.6250000000000002E-2</v>
      </c>
    </row>
    <row r="311" spans="1:29" ht="16" x14ac:dyDescent="0.2">
      <c r="A311" s="25"/>
      <c r="H311" t="str">
        <f>IFERROR(VLOOKUP(G311,FILAMENTI_DB!$A:$C,3,FALSE),"")</f>
        <v/>
      </c>
      <c r="I311" t="str">
        <f>IFERROR(VLOOKUP(G311,FILAMENTI_DB!$A:$E,4,FALSE),"")</f>
        <v/>
      </c>
      <c r="J311" s="26"/>
      <c r="K311" s="27"/>
      <c r="L311" s="27"/>
      <c r="M311" s="27">
        <f t="shared" si="26"/>
        <v>0</v>
      </c>
      <c r="N311" s="26">
        <f t="shared" si="27"/>
        <v>0</v>
      </c>
      <c r="O311" s="26"/>
      <c r="P311" s="26"/>
      <c r="Q311" s="23"/>
      <c r="R311" s="23">
        <f t="shared" si="28"/>
        <v>0</v>
      </c>
      <c r="S311" s="23"/>
      <c r="T311" s="23">
        <f t="shared" si="29"/>
        <v>0</v>
      </c>
      <c r="U311" s="28" t="str">
        <f t="shared" si="30"/>
        <v/>
      </c>
      <c r="V311" s="10" t="str">
        <f>IFERROR(N311*VLOOKUP(G311,FILAMENTI_DB!$A:$J,10,FALSE),"")</f>
        <v/>
      </c>
      <c r="W311" s="23" t="str">
        <f>IFERROR((VLOOKUP(F311,STAMPANTI_DB!$A:$C,3,FALSE)/1000)*O311*SETTINGS!$C$6,"")</f>
        <v/>
      </c>
      <c r="X311" s="23" t="str">
        <f>IFERROR(O311*VLOOKUP(F311,STAMPANTI_DB!$A:$I,9,FALSE),"")</f>
        <v/>
      </c>
      <c r="Y311" s="23">
        <f>IFERROR(P311*SETTINGS!$C$7,"")</f>
        <v>0</v>
      </c>
      <c r="Z311" s="23">
        <f>SETTINGS!$C$11</f>
        <v>0.5</v>
      </c>
      <c r="AA311" s="23">
        <f t="shared" si="31"/>
        <v>0.5</v>
      </c>
      <c r="AB311" s="23">
        <f>IFERROR(AA311*SETTINGS!$C$9,"")</f>
        <v>2.5000000000000001E-2</v>
      </c>
      <c r="AC311" s="23">
        <f>IFERROR((AA311+AB311)*SETTINGS!$C$10,"")</f>
        <v>2.6250000000000002E-2</v>
      </c>
    </row>
    <row r="312" spans="1:29" ht="16" x14ac:dyDescent="0.2">
      <c r="A312" s="25"/>
      <c r="H312" t="str">
        <f>IFERROR(VLOOKUP(G312,FILAMENTI_DB!$A:$C,3,FALSE),"")</f>
        <v/>
      </c>
      <c r="I312" t="str">
        <f>IFERROR(VLOOKUP(G312,FILAMENTI_DB!$A:$E,4,FALSE),"")</f>
        <v/>
      </c>
      <c r="J312" s="26"/>
      <c r="K312" s="27"/>
      <c r="L312" s="27"/>
      <c r="M312" s="27">
        <f t="shared" si="26"/>
        <v>0</v>
      </c>
      <c r="N312" s="26">
        <f t="shared" si="27"/>
        <v>0</v>
      </c>
      <c r="O312" s="26"/>
      <c r="P312" s="26"/>
      <c r="Q312" s="23"/>
      <c r="R312" s="23">
        <f t="shared" si="28"/>
        <v>0</v>
      </c>
      <c r="S312" s="23"/>
      <c r="T312" s="23">
        <f t="shared" si="29"/>
        <v>0</v>
      </c>
      <c r="U312" s="28" t="str">
        <f t="shared" si="30"/>
        <v/>
      </c>
      <c r="V312" s="10" t="str">
        <f>IFERROR(N312*VLOOKUP(G312,FILAMENTI_DB!$A:$J,10,FALSE),"")</f>
        <v/>
      </c>
      <c r="W312" s="23" t="str">
        <f>IFERROR((VLOOKUP(F312,STAMPANTI_DB!$A:$C,3,FALSE)/1000)*O312*SETTINGS!$C$6,"")</f>
        <v/>
      </c>
      <c r="X312" s="23" t="str">
        <f>IFERROR(O312*VLOOKUP(F312,STAMPANTI_DB!$A:$I,9,FALSE),"")</f>
        <v/>
      </c>
      <c r="Y312" s="23">
        <f>IFERROR(P312*SETTINGS!$C$7,"")</f>
        <v>0</v>
      </c>
      <c r="Z312" s="23">
        <f>SETTINGS!$C$11</f>
        <v>0.5</v>
      </c>
      <c r="AA312" s="23">
        <f t="shared" si="31"/>
        <v>0.5</v>
      </c>
      <c r="AB312" s="23">
        <f>IFERROR(AA312*SETTINGS!$C$9,"")</f>
        <v>2.5000000000000001E-2</v>
      </c>
      <c r="AC312" s="23">
        <f>IFERROR((AA312+AB312)*SETTINGS!$C$10,"")</f>
        <v>2.6250000000000002E-2</v>
      </c>
    </row>
    <row r="313" spans="1:29" ht="16" x14ac:dyDescent="0.2">
      <c r="A313" s="25"/>
      <c r="H313" t="str">
        <f>IFERROR(VLOOKUP(G313,FILAMENTI_DB!$A:$C,3,FALSE),"")</f>
        <v/>
      </c>
      <c r="I313" t="str">
        <f>IFERROR(VLOOKUP(G313,FILAMENTI_DB!$A:$E,4,FALSE),"")</f>
        <v/>
      </c>
      <c r="J313" s="26"/>
      <c r="K313" s="27"/>
      <c r="L313" s="27"/>
      <c r="M313" s="27">
        <f t="shared" si="26"/>
        <v>0</v>
      </c>
      <c r="N313" s="26">
        <f t="shared" si="27"/>
        <v>0</v>
      </c>
      <c r="O313" s="26"/>
      <c r="P313" s="26"/>
      <c r="Q313" s="23"/>
      <c r="R313" s="23">
        <f t="shared" si="28"/>
        <v>0</v>
      </c>
      <c r="S313" s="23"/>
      <c r="T313" s="23">
        <f t="shared" si="29"/>
        <v>0</v>
      </c>
      <c r="U313" s="28" t="str">
        <f t="shared" si="30"/>
        <v/>
      </c>
      <c r="V313" s="10" t="str">
        <f>IFERROR(N313*VLOOKUP(G313,FILAMENTI_DB!$A:$J,10,FALSE),"")</f>
        <v/>
      </c>
      <c r="W313" s="23" t="str">
        <f>IFERROR((VLOOKUP(F313,STAMPANTI_DB!$A:$C,3,FALSE)/1000)*O313*SETTINGS!$C$6,"")</f>
        <v/>
      </c>
      <c r="X313" s="23" t="str">
        <f>IFERROR(O313*VLOOKUP(F313,STAMPANTI_DB!$A:$I,9,FALSE),"")</f>
        <v/>
      </c>
      <c r="Y313" s="23">
        <f>IFERROR(P313*SETTINGS!$C$7,"")</f>
        <v>0</v>
      </c>
      <c r="Z313" s="23">
        <f>SETTINGS!$C$11</f>
        <v>0.5</v>
      </c>
      <c r="AA313" s="23">
        <f t="shared" si="31"/>
        <v>0.5</v>
      </c>
      <c r="AB313" s="23">
        <f>IFERROR(AA313*SETTINGS!$C$9,"")</f>
        <v>2.5000000000000001E-2</v>
      </c>
      <c r="AC313" s="23">
        <f>IFERROR((AA313+AB313)*SETTINGS!$C$10,"")</f>
        <v>2.6250000000000002E-2</v>
      </c>
    </row>
    <row r="314" spans="1:29" ht="16" x14ac:dyDescent="0.2">
      <c r="A314" s="25"/>
      <c r="H314" t="str">
        <f>IFERROR(VLOOKUP(G314,FILAMENTI_DB!$A:$C,3,FALSE),"")</f>
        <v/>
      </c>
      <c r="I314" t="str">
        <f>IFERROR(VLOOKUP(G314,FILAMENTI_DB!$A:$E,4,FALSE),"")</f>
        <v/>
      </c>
      <c r="J314" s="26"/>
      <c r="K314" s="27"/>
      <c r="L314" s="27"/>
      <c r="M314" s="27">
        <f t="shared" si="26"/>
        <v>0</v>
      </c>
      <c r="N314" s="26">
        <f t="shared" si="27"/>
        <v>0</v>
      </c>
      <c r="O314" s="26"/>
      <c r="P314" s="26"/>
      <c r="Q314" s="23"/>
      <c r="R314" s="23">
        <f t="shared" si="28"/>
        <v>0</v>
      </c>
      <c r="S314" s="23"/>
      <c r="T314" s="23">
        <f t="shared" si="29"/>
        <v>0</v>
      </c>
      <c r="U314" s="28" t="str">
        <f t="shared" si="30"/>
        <v/>
      </c>
      <c r="V314" s="10" t="str">
        <f>IFERROR(N314*VLOOKUP(G314,FILAMENTI_DB!$A:$J,10,FALSE),"")</f>
        <v/>
      </c>
      <c r="W314" s="23" t="str">
        <f>IFERROR((VLOOKUP(F314,STAMPANTI_DB!$A:$C,3,FALSE)/1000)*O314*SETTINGS!$C$6,"")</f>
        <v/>
      </c>
      <c r="X314" s="23" t="str">
        <f>IFERROR(O314*VLOOKUP(F314,STAMPANTI_DB!$A:$I,9,FALSE),"")</f>
        <v/>
      </c>
      <c r="Y314" s="23">
        <f>IFERROR(P314*SETTINGS!$C$7,"")</f>
        <v>0</v>
      </c>
      <c r="Z314" s="23">
        <f>SETTINGS!$C$11</f>
        <v>0.5</v>
      </c>
      <c r="AA314" s="23">
        <f t="shared" si="31"/>
        <v>0.5</v>
      </c>
      <c r="AB314" s="23">
        <f>IFERROR(AA314*SETTINGS!$C$9,"")</f>
        <v>2.5000000000000001E-2</v>
      </c>
      <c r="AC314" s="23">
        <f>IFERROR((AA314+AB314)*SETTINGS!$C$10,"")</f>
        <v>2.6250000000000002E-2</v>
      </c>
    </row>
    <row r="315" spans="1:29" ht="16" x14ac:dyDescent="0.2">
      <c r="A315" s="25"/>
      <c r="H315" t="str">
        <f>IFERROR(VLOOKUP(G315,FILAMENTI_DB!$A:$C,3,FALSE),"")</f>
        <v/>
      </c>
      <c r="I315" t="str">
        <f>IFERROR(VLOOKUP(G315,FILAMENTI_DB!$A:$E,4,FALSE),"")</f>
        <v/>
      </c>
      <c r="J315" s="26"/>
      <c r="K315" s="27"/>
      <c r="L315" s="27"/>
      <c r="M315" s="27">
        <f t="shared" si="26"/>
        <v>0</v>
      </c>
      <c r="N315" s="26">
        <f t="shared" si="27"/>
        <v>0</v>
      </c>
      <c r="O315" s="26"/>
      <c r="P315" s="26"/>
      <c r="Q315" s="23"/>
      <c r="R315" s="23">
        <f t="shared" si="28"/>
        <v>0</v>
      </c>
      <c r="S315" s="23"/>
      <c r="T315" s="23">
        <f t="shared" si="29"/>
        <v>0</v>
      </c>
      <c r="U315" s="28" t="str">
        <f t="shared" si="30"/>
        <v/>
      </c>
      <c r="V315" s="10" t="str">
        <f>IFERROR(N315*VLOOKUP(G315,FILAMENTI_DB!$A:$J,10,FALSE),"")</f>
        <v/>
      </c>
      <c r="W315" s="23" t="str">
        <f>IFERROR((VLOOKUP(F315,STAMPANTI_DB!$A:$C,3,FALSE)/1000)*O315*SETTINGS!$C$6,"")</f>
        <v/>
      </c>
      <c r="X315" s="23" t="str">
        <f>IFERROR(O315*VLOOKUP(F315,STAMPANTI_DB!$A:$I,9,FALSE),"")</f>
        <v/>
      </c>
      <c r="Y315" s="23">
        <f>IFERROR(P315*SETTINGS!$C$7,"")</f>
        <v>0</v>
      </c>
      <c r="Z315" s="23">
        <f>SETTINGS!$C$11</f>
        <v>0.5</v>
      </c>
      <c r="AA315" s="23">
        <f t="shared" si="31"/>
        <v>0.5</v>
      </c>
      <c r="AB315" s="23">
        <f>IFERROR(AA315*SETTINGS!$C$9,"")</f>
        <v>2.5000000000000001E-2</v>
      </c>
      <c r="AC315" s="23">
        <f>IFERROR((AA315+AB315)*SETTINGS!$C$10,"")</f>
        <v>2.6250000000000002E-2</v>
      </c>
    </row>
    <row r="316" spans="1:29" ht="16" x14ac:dyDescent="0.2">
      <c r="A316" s="25"/>
      <c r="H316" t="str">
        <f>IFERROR(VLOOKUP(G316,FILAMENTI_DB!$A:$C,3,FALSE),"")</f>
        <v/>
      </c>
      <c r="I316" t="str">
        <f>IFERROR(VLOOKUP(G316,FILAMENTI_DB!$A:$E,4,FALSE),"")</f>
        <v/>
      </c>
      <c r="J316" s="26"/>
      <c r="K316" s="27"/>
      <c r="L316" s="27"/>
      <c r="M316" s="27">
        <f t="shared" si="26"/>
        <v>0</v>
      </c>
      <c r="N316" s="26">
        <f t="shared" si="27"/>
        <v>0</v>
      </c>
      <c r="O316" s="26"/>
      <c r="P316" s="26"/>
      <c r="Q316" s="23"/>
      <c r="R316" s="23">
        <f t="shared" si="28"/>
        <v>0</v>
      </c>
      <c r="S316" s="23"/>
      <c r="T316" s="23">
        <f t="shared" si="29"/>
        <v>0</v>
      </c>
      <c r="U316" s="28" t="str">
        <f t="shared" si="30"/>
        <v/>
      </c>
      <c r="V316" s="10" t="str">
        <f>IFERROR(N316*VLOOKUP(G316,FILAMENTI_DB!$A:$J,10,FALSE),"")</f>
        <v/>
      </c>
      <c r="W316" s="23" t="str">
        <f>IFERROR((VLOOKUP(F316,STAMPANTI_DB!$A:$C,3,FALSE)/1000)*O316*SETTINGS!$C$6,"")</f>
        <v/>
      </c>
      <c r="X316" s="23" t="str">
        <f>IFERROR(O316*VLOOKUP(F316,STAMPANTI_DB!$A:$I,9,FALSE),"")</f>
        <v/>
      </c>
      <c r="Y316" s="23">
        <f>IFERROR(P316*SETTINGS!$C$7,"")</f>
        <v>0</v>
      </c>
      <c r="Z316" s="23">
        <f>SETTINGS!$C$11</f>
        <v>0.5</v>
      </c>
      <c r="AA316" s="23">
        <f t="shared" si="31"/>
        <v>0.5</v>
      </c>
      <c r="AB316" s="23">
        <f>IFERROR(AA316*SETTINGS!$C$9,"")</f>
        <v>2.5000000000000001E-2</v>
      </c>
      <c r="AC316" s="23">
        <f>IFERROR((AA316+AB316)*SETTINGS!$C$10,"")</f>
        <v>2.6250000000000002E-2</v>
      </c>
    </row>
    <row r="317" spans="1:29" ht="16" x14ac:dyDescent="0.2">
      <c r="A317" s="25"/>
      <c r="H317" t="str">
        <f>IFERROR(VLOOKUP(G317,FILAMENTI_DB!$A:$C,3,FALSE),"")</f>
        <v/>
      </c>
      <c r="I317" t="str">
        <f>IFERROR(VLOOKUP(G317,FILAMENTI_DB!$A:$E,4,FALSE),"")</f>
        <v/>
      </c>
      <c r="J317" s="26"/>
      <c r="K317" s="27"/>
      <c r="L317" s="27"/>
      <c r="M317" s="27">
        <f t="shared" si="26"/>
        <v>0</v>
      </c>
      <c r="N317" s="26">
        <f t="shared" si="27"/>
        <v>0</v>
      </c>
      <c r="O317" s="26"/>
      <c r="P317" s="26"/>
      <c r="Q317" s="23"/>
      <c r="R317" s="23">
        <f t="shared" si="28"/>
        <v>0</v>
      </c>
      <c r="S317" s="23"/>
      <c r="T317" s="23">
        <f t="shared" si="29"/>
        <v>0</v>
      </c>
      <c r="U317" s="28" t="str">
        <f t="shared" si="30"/>
        <v/>
      </c>
      <c r="V317" s="10" t="str">
        <f>IFERROR(N317*VLOOKUP(G317,FILAMENTI_DB!$A:$J,10,FALSE),"")</f>
        <v/>
      </c>
      <c r="W317" s="23" t="str">
        <f>IFERROR((VLOOKUP(F317,STAMPANTI_DB!$A:$C,3,FALSE)/1000)*O317*SETTINGS!$C$6,"")</f>
        <v/>
      </c>
      <c r="X317" s="23" t="str">
        <f>IFERROR(O317*VLOOKUP(F317,STAMPANTI_DB!$A:$I,9,FALSE),"")</f>
        <v/>
      </c>
      <c r="Y317" s="23">
        <f>IFERROR(P317*SETTINGS!$C$7,"")</f>
        <v>0</v>
      </c>
      <c r="Z317" s="23">
        <f>SETTINGS!$C$11</f>
        <v>0.5</v>
      </c>
      <c r="AA317" s="23">
        <f t="shared" si="31"/>
        <v>0.5</v>
      </c>
      <c r="AB317" s="23">
        <f>IFERROR(AA317*SETTINGS!$C$9,"")</f>
        <v>2.5000000000000001E-2</v>
      </c>
      <c r="AC317" s="23">
        <f>IFERROR((AA317+AB317)*SETTINGS!$C$10,"")</f>
        <v>2.6250000000000002E-2</v>
      </c>
    </row>
    <row r="318" spans="1:29" ht="16" x14ac:dyDescent="0.2">
      <c r="A318" s="25"/>
      <c r="H318" t="str">
        <f>IFERROR(VLOOKUP(G318,FILAMENTI_DB!$A:$C,3,FALSE),"")</f>
        <v/>
      </c>
      <c r="I318" t="str">
        <f>IFERROR(VLOOKUP(G318,FILAMENTI_DB!$A:$E,4,FALSE),"")</f>
        <v/>
      </c>
      <c r="J318" s="26"/>
      <c r="K318" s="27"/>
      <c r="L318" s="27"/>
      <c r="M318" s="27">
        <f t="shared" si="26"/>
        <v>0</v>
      </c>
      <c r="N318" s="26">
        <f t="shared" si="27"/>
        <v>0</v>
      </c>
      <c r="O318" s="26"/>
      <c r="P318" s="26"/>
      <c r="Q318" s="23"/>
      <c r="R318" s="23">
        <f t="shared" si="28"/>
        <v>0</v>
      </c>
      <c r="S318" s="23"/>
      <c r="T318" s="23">
        <f t="shared" si="29"/>
        <v>0</v>
      </c>
      <c r="U318" s="28" t="str">
        <f t="shared" si="30"/>
        <v/>
      </c>
      <c r="V318" s="10" t="str">
        <f>IFERROR(N318*VLOOKUP(G318,FILAMENTI_DB!$A:$J,10,FALSE),"")</f>
        <v/>
      </c>
      <c r="W318" s="23" t="str">
        <f>IFERROR((VLOOKUP(F318,STAMPANTI_DB!$A:$C,3,FALSE)/1000)*O318*SETTINGS!$C$6,"")</f>
        <v/>
      </c>
      <c r="X318" s="23" t="str">
        <f>IFERROR(O318*VLOOKUP(F318,STAMPANTI_DB!$A:$I,9,FALSE),"")</f>
        <v/>
      </c>
      <c r="Y318" s="23">
        <f>IFERROR(P318*SETTINGS!$C$7,"")</f>
        <v>0</v>
      </c>
      <c r="Z318" s="23">
        <f>SETTINGS!$C$11</f>
        <v>0.5</v>
      </c>
      <c r="AA318" s="23">
        <f t="shared" si="31"/>
        <v>0.5</v>
      </c>
      <c r="AB318" s="23">
        <f>IFERROR(AA318*SETTINGS!$C$9,"")</f>
        <v>2.5000000000000001E-2</v>
      </c>
      <c r="AC318" s="23">
        <f>IFERROR((AA318+AB318)*SETTINGS!$C$10,"")</f>
        <v>2.6250000000000002E-2</v>
      </c>
    </row>
    <row r="319" spans="1:29" ht="16" x14ac:dyDescent="0.2">
      <c r="A319" s="25"/>
      <c r="H319" t="str">
        <f>IFERROR(VLOOKUP(G319,FILAMENTI_DB!$A:$C,3,FALSE),"")</f>
        <v/>
      </c>
      <c r="I319" t="str">
        <f>IFERROR(VLOOKUP(G319,FILAMENTI_DB!$A:$E,4,FALSE),"")</f>
        <v/>
      </c>
      <c r="J319" s="26"/>
      <c r="K319" s="27"/>
      <c r="L319" s="27"/>
      <c r="M319" s="27">
        <f t="shared" si="26"/>
        <v>0</v>
      </c>
      <c r="N319" s="26">
        <f t="shared" si="27"/>
        <v>0</v>
      </c>
      <c r="O319" s="26"/>
      <c r="P319" s="26"/>
      <c r="Q319" s="23"/>
      <c r="R319" s="23">
        <f t="shared" si="28"/>
        <v>0</v>
      </c>
      <c r="S319" s="23"/>
      <c r="T319" s="23">
        <f t="shared" si="29"/>
        <v>0</v>
      </c>
      <c r="U319" s="28" t="str">
        <f t="shared" si="30"/>
        <v/>
      </c>
      <c r="V319" s="10" t="str">
        <f>IFERROR(N319*VLOOKUP(G319,FILAMENTI_DB!$A:$J,10,FALSE),"")</f>
        <v/>
      </c>
      <c r="W319" s="23" t="str">
        <f>IFERROR((VLOOKUP(F319,STAMPANTI_DB!$A:$C,3,FALSE)/1000)*O319*SETTINGS!$C$6,"")</f>
        <v/>
      </c>
      <c r="X319" s="23" t="str">
        <f>IFERROR(O319*VLOOKUP(F319,STAMPANTI_DB!$A:$I,9,FALSE),"")</f>
        <v/>
      </c>
      <c r="Y319" s="23">
        <f>IFERROR(P319*SETTINGS!$C$7,"")</f>
        <v>0</v>
      </c>
      <c r="Z319" s="23">
        <f>SETTINGS!$C$11</f>
        <v>0.5</v>
      </c>
      <c r="AA319" s="23">
        <f t="shared" si="31"/>
        <v>0.5</v>
      </c>
      <c r="AB319" s="23">
        <f>IFERROR(AA319*SETTINGS!$C$9,"")</f>
        <v>2.5000000000000001E-2</v>
      </c>
      <c r="AC319" s="23">
        <f>IFERROR((AA319+AB319)*SETTINGS!$C$10,"")</f>
        <v>2.6250000000000002E-2</v>
      </c>
    </row>
    <row r="320" spans="1:29" ht="16" x14ac:dyDescent="0.2">
      <c r="A320" s="25"/>
      <c r="H320" t="str">
        <f>IFERROR(VLOOKUP(G320,FILAMENTI_DB!$A:$C,3,FALSE),"")</f>
        <v/>
      </c>
      <c r="I320" t="str">
        <f>IFERROR(VLOOKUP(G320,FILAMENTI_DB!$A:$E,4,FALSE),"")</f>
        <v/>
      </c>
      <c r="J320" s="26"/>
      <c r="K320" s="27"/>
      <c r="L320" s="27"/>
      <c r="M320" s="27">
        <f t="shared" si="26"/>
        <v>0</v>
      </c>
      <c r="N320" s="26">
        <f t="shared" si="27"/>
        <v>0</v>
      </c>
      <c r="O320" s="26"/>
      <c r="P320" s="26"/>
      <c r="Q320" s="23"/>
      <c r="R320" s="23">
        <f t="shared" si="28"/>
        <v>0</v>
      </c>
      <c r="S320" s="23"/>
      <c r="T320" s="23">
        <f t="shared" si="29"/>
        <v>0</v>
      </c>
      <c r="U320" s="28" t="str">
        <f t="shared" si="30"/>
        <v/>
      </c>
      <c r="V320" s="10" t="str">
        <f>IFERROR(N320*VLOOKUP(G320,FILAMENTI_DB!$A:$J,10,FALSE),"")</f>
        <v/>
      </c>
      <c r="W320" s="23" t="str">
        <f>IFERROR((VLOOKUP(F320,STAMPANTI_DB!$A:$C,3,FALSE)/1000)*O320*SETTINGS!$C$6,"")</f>
        <v/>
      </c>
      <c r="X320" s="23" t="str">
        <f>IFERROR(O320*VLOOKUP(F320,STAMPANTI_DB!$A:$I,9,FALSE),"")</f>
        <v/>
      </c>
      <c r="Y320" s="23">
        <f>IFERROR(P320*SETTINGS!$C$7,"")</f>
        <v>0</v>
      </c>
      <c r="Z320" s="23">
        <f>SETTINGS!$C$11</f>
        <v>0.5</v>
      </c>
      <c r="AA320" s="23">
        <f t="shared" si="31"/>
        <v>0.5</v>
      </c>
      <c r="AB320" s="23">
        <f>IFERROR(AA320*SETTINGS!$C$9,"")</f>
        <v>2.5000000000000001E-2</v>
      </c>
      <c r="AC320" s="23">
        <f>IFERROR((AA320+AB320)*SETTINGS!$C$10,"")</f>
        <v>2.6250000000000002E-2</v>
      </c>
    </row>
    <row r="321" spans="1:29" ht="16" x14ac:dyDescent="0.2">
      <c r="A321" s="25"/>
      <c r="H321" t="str">
        <f>IFERROR(VLOOKUP(G321,FILAMENTI_DB!$A:$C,3,FALSE),"")</f>
        <v/>
      </c>
      <c r="I321" t="str">
        <f>IFERROR(VLOOKUP(G321,FILAMENTI_DB!$A:$E,4,FALSE),"")</f>
        <v/>
      </c>
      <c r="J321" s="26"/>
      <c r="K321" s="27"/>
      <c r="L321" s="27"/>
      <c r="M321" s="27">
        <f t="shared" si="26"/>
        <v>0</v>
      </c>
      <c r="N321" s="26">
        <f t="shared" si="27"/>
        <v>0</v>
      </c>
      <c r="O321" s="26"/>
      <c r="P321" s="26"/>
      <c r="Q321" s="23"/>
      <c r="R321" s="23">
        <f t="shared" si="28"/>
        <v>0</v>
      </c>
      <c r="S321" s="23"/>
      <c r="T321" s="23">
        <f t="shared" si="29"/>
        <v>0</v>
      </c>
      <c r="U321" s="28" t="str">
        <f t="shared" si="30"/>
        <v/>
      </c>
      <c r="V321" s="10" t="str">
        <f>IFERROR(N321*VLOOKUP(G321,FILAMENTI_DB!$A:$J,10,FALSE),"")</f>
        <v/>
      </c>
      <c r="W321" s="23" t="str">
        <f>IFERROR((VLOOKUP(F321,STAMPANTI_DB!$A:$C,3,FALSE)/1000)*O321*SETTINGS!$C$6,"")</f>
        <v/>
      </c>
      <c r="X321" s="23" t="str">
        <f>IFERROR(O321*VLOOKUP(F321,STAMPANTI_DB!$A:$I,9,FALSE),"")</f>
        <v/>
      </c>
      <c r="Y321" s="23">
        <f>IFERROR(P321*SETTINGS!$C$7,"")</f>
        <v>0</v>
      </c>
      <c r="Z321" s="23">
        <f>SETTINGS!$C$11</f>
        <v>0.5</v>
      </c>
      <c r="AA321" s="23">
        <f t="shared" si="31"/>
        <v>0.5</v>
      </c>
      <c r="AB321" s="23">
        <f>IFERROR(AA321*SETTINGS!$C$9,"")</f>
        <v>2.5000000000000001E-2</v>
      </c>
      <c r="AC321" s="23">
        <f>IFERROR((AA321+AB321)*SETTINGS!$C$10,"")</f>
        <v>2.6250000000000002E-2</v>
      </c>
    </row>
    <row r="322" spans="1:29" ht="16" x14ac:dyDescent="0.2">
      <c r="A322" s="25"/>
      <c r="H322" t="str">
        <f>IFERROR(VLOOKUP(G322,FILAMENTI_DB!$A:$C,3,FALSE),"")</f>
        <v/>
      </c>
      <c r="I322" t="str">
        <f>IFERROR(VLOOKUP(G322,FILAMENTI_DB!$A:$E,4,FALSE),"")</f>
        <v/>
      </c>
      <c r="J322" s="26"/>
      <c r="K322" s="27"/>
      <c r="L322" s="27"/>
      <c r="M322" s="27">
        <f t="shared" si="26"/>
        <v>0</v>
      </c>
      <c r="N322" s="26">
        <f t="shared" si="27"/>
        <v>0</v>
      </c>
      <c r="O322" s="26"/>
      <c r="P322" s="26"/>
      <c r="Q322" s="23"/>
      <c r="R322" s="23">
        <f t="shared" si="28"/>
        <v>0</v>
      </c>
      <c r="S322" s="23"/>
      <c r="T322" s="23">
        <f t="shared" si="29"/>
        <v>0</v>
      </c>
      <c r="U322" s="28" t="str">
        <f t="shared" si="30"/>
        <v/>
      </c>
      <c r="V322" s="10" t="str">
        <f>IFERROR(N322*VLOOKUP(G322,FILAMENTI_DB!$A:$J,10,FALSE),"")</f>
        <v/>
      </c>
      <c r="W322" s="23" t="str">
        <f>IFERROR((VLOOKUP(F322,STAMPANTI_DB!$A:$C,3,FALSE)/1000)*O322*SETTINGS!$C$6,"")</f>
        <v/>
      </c>
      <c r="X322" s="23" t="str">
        <f>IFERROR(O322*VLOOKUP(F322,STAMPANTI_DB!$A:$I,9,FALSE),"")</f>
        <v/>
      </c>
      <c r="Y322" s="23">
        <f>IFERROR(P322*SETTINGS!$C$7,"")</f>
        <v>0</v>
      </c>
      <c r="Z322" s="23">
        <f>SETTINGS!$C$11</f>
        <v>0.5</v>
      </c>
      <c r="AA322" s="23">
        <f t="shared" si="31"/>
        <v>0.5</v>
      </c>
      <c r="AB322" s="23">
        <f>IFERROR(AA322*SETTINGS!$C$9,"")</f>
        <v>2.5000000000000001E-2</v>
      </c>
      <c r="AC322" s="23">
        <f>IFERROR((AA322+AB322)*SETTINGS!$C$10,"")</f>
        <v>2.6250000000000002E-2</v>
      </c>
    </row>
    <row r="323" spans="1:29" ht="16" x14ac:dyDescent="0.2">
      <c r="A323" s="25"/>
      <c r="H323" t="str">
        <f>IFERROR(VLOOKUP(G323,FILAMENTI_DB!$A:$C,3,FALSE),"")</f>
        <v/>
      </c>
      <c r="I323" t="str">
        <f>IFERROR(VLOOKUP(G323,FILAMENTI_DB!$A:$E,4,FALSE),"")</f>
        <v/>
      </c>
      <c r="J323" s="26"/>
      <c r="K323" s="27"/>
      <c r="L323" s="27"/>
      <c r="M323" s="27">
        <f t="shared" si="26"/>
        <v>0</v>
      </c>
      <c r="N323" s="26">
        <f t="shared" si="27"/>
        <v>0</v>
      </c>
      <c r="O323" s="26"/>
      <c r="P323" s="26"/>
      <c r="Q323" s="23"/>
      <c r="R323" s="23">
        <f t="shared" si="28"/>
        <v>0</v>
      </c>
      <c r="S323" s="23"/>
      <c r="T323" s="23">
        <f t="shared" si="29"/>
        <v>0</v>
      </c>
      <c r="U323" s="28" t="str">
        <f t="shared" si="30"/>
        <v/>
      </c>
      <c r="V323" s="10" t="str">
        <f>IFERROR(N323*VLOOKUP(G323,FILAMENTI_DB!$A:$J,10,FALSE),"")</f>
        <v/>
      </c>
      <c r="W323" s="23" t="str">
        <f>IFERROR((VLOOKUP(F323,STAMPANTI_DB!$A:$C,3,FALSE)/1000)*O323*SETTINGS!$C$6,"")</f>
        <v/>
      </c>
      <c r="X323" s="23" t="str">
        <f>IFERROR(O323*VLOOKUP(F323,STAMPANTI_DB!$A:$I,9,FALSE),"")</f>
        <v/>
      </c>
      <c r="Y323" s="23">
        <f>IFERROR(P323*SETTINGS!$C$7,"")</f>
        <v>0</v>
      </c>
      <c r="Z323" s="23">
        <f>SETTINGS!$C$11</f>
        <v>0.5</v>
      </c>
      <c r="AA323" s="23">
        <f t="shared" si="31"/>
        <v>0.5</v>
      </c>
      <c r="AB323" s="23">
        <f>IFERROR(AA323*SETTINGS!$C$9,"")</f>
        <v>2.5000000000000001E-2</v>
      </c>
      <c r="AC323" s="23">
        <f>IFERROR((AA323+AB323)*SETTINGS!$C$10,"")</f>
        <v>2.6250000000000002E-2</v>
      </c>
    </row>
    <row r="324" spans="1:29" ht="16" x14ac:dyDescent="0.2">
      <c r="A324" s="25"/>
      <c r="H324" t="str">
        <f>IFERROR(VLOOKUP(G324,FILAMENTI_DB!$A:$C,3,FALSE),"")</f>
        <v/>
      </c>
      <c r="I324" t="str">
        <f>IFERROR(VLOOKUP(G324,FILAMENTI_DB!$A:$E,4,FALSE),"")</f>
        <v/>
      </c>
      <c r="J324" s="26"/>
      <c r="K324" s="27"/>
      <c r="L324" s="27"/>
      <c r="M324" s="27">
        <f t="shared" si="26"/>
        <v>0</v>
      </c>
      <c r="N324" s="26">
        <f t="shared" si="27"/>
        <v>0</v>
      </c>
      <c r="O324" s="26"/>
      <c r="P324" s="26"/>
      <c r="Q324" s="23"/>
      <c r="R324" s="23">
        <f t="shared" si="28"/>
        <v>0</v>
      </c>
      <c r="S324" s="23"/>
      <c r="T324" s="23">
        <f t="shared" si="29"/>
        <v>0</v>
      </c>
      <c r="U324" s="28" t="str">
        <f t="shared" si="30"/>
        <v/>
      </c>
      <c r="V324" s="10" t="str">
        <f>IFERROR(N324*VLOOKUP(G324,FILAMENTI_DB!$A:$J,10,FALSE),"")</f>
        <v/>
      </c>
      <c r="W324" s="23" t="str">
        <f>IFERROR((VLOOKUP(F324,STAMPANTI_DB!$A:$C,3,FALSE)/1000)*O324*SETTINGS!$C$6,"")</f>
        <v/>
      </c>
      <c r="X324" s="23" t="str">
        <f>IFERROR(O324*VLOOKUP(F324,STAMPANTI_DB!$A:$I,9,FALSE),"")</f>
        <v/>
      </c>
      <c r="Y324" s="23">
        <f>IFERROR(P324*SETTINGS!$C$7,"")</f>
        <v>0</v>
      </c>
      <c r="Z324" s="23">
        <f>SETTINGS!$C$11</f>
        <v>0.5</v>
      </c>
      <c r="AA324" s="23">
        <f t="shared" si="31"/>
        <v>0.5</v>
      </c>
      <c r="AB324" s="23">
        <f>IFERROR(AA324*SETTINGS!$C$9,"")</f>
        <v>2.5000000000000001E-2</v>
      </c>
      <c r="AC324" s="23">
        <f>IFERROR((AA324+AB324)*SETTINGS!$C$10,"")</f>
        <v>2.6250000000000002E-2</v>
      </c>
    </row>
    <row r="325" spans="1:29" ht="16" x14ac:dyDescent="0.2">
      <c r="A325" s="25"/>
      <c r="H325" t="str">
        <f>IFERROR(VLOOKUP(G325,FILAMENTI_DB!$A:$C,3,FALSE),"")</f>
        <v/>
      </c>
      <c r="I325" t="str">
        <f>IFERROR(VLOOKUP(G325,FILAMENTI_DB!$A:$E,4,FALSE),"")</f>
        <v/>
      </c>
      <c r="J325" s="26"/>
      <c r="K325" s="27"/>
      <c r="L325" s="27"/>
      <c r="M325" s="27">
        <f t="shared" ref="M325:M388" si="32">IFERROR(K325+L325,"")</f>
        <v>0</v>
      </c>
      <c r="N325" s="26">
        <f t="shared" ref="N325:N388" si="33">IFERROR(J325*M325,"")</f>
        <v>0</v>
      </c>
      <c r="O325" s="26"/>
      <c r="P325" s="26"/>
      <c r="Q325" s="23"/>
      <c r="R325" s="23">
        <f t="shared" ref="R325:R388" si="34">IFERROR(Q325*K325,"")</f>
        <v>0</v>
      </c>
      <c r="S325" s="23"/>
      <c r="T325" s="23">
        <f t="shared" ref="T325:T388" si="35">IFERROR(R325-S325,"")</f>
        <v>0</v>
      </c>
      <c r="U325" s="28" t="str">
        <f t="shared" ref="U325:U388" si="36">IFERROR(T325/R325,"")</f>
        <v/>
      </c>
      <c r="V325" s="10" t="str">
        <f>IFERROR(N325*VLOOKUP(G325,FILAMENTI_DB!$A:$J,10,FALSE),"")</f>
        <v/>
      </c>
      <c r="W325" s="23" t="str">
        <f>IFERROR((VLOOKUP(F325,STAMPANTI_DB!$A:$C,3,FALSE)/1000)*O325*SETTINGS!$C$6,"")</f>
        <v/>
      </c>
      <c r="X325" s="23" t="str">
        <f>IFERROR(O325*VLOOKUP(F325,STAMPANTI_DB!$A:$I,9,FALSE),"")</f>
        <v/>
      </c>
      <c r="Y325" s="23">
        <f>IFERROR(P325*SETTINGS!$C$7,"")</f>
        <v>0</v>
      </c>
      <c r="Z325" s="23">
        <f>SETTINGS!$C$11</f>
        <v>0.5</v>
      </c>
      <c r="AA325" s="23">
        <f t="shared" ref="AA325:AA388" si="37">IFERROR(SUM(V325:Z325),"")</f>
        <v>0.5</v>
      </c>
      <c r="AB325" s="23">
        <f>IFERROR(AA325*SETTINGS!$C$9,"")</f>
        <v>2.5000000000000001E-2</v>
      </c>
      <c r="AC325" s="23">
        <f>IFERROR((AA325+AB325)*SETTINGS!$C$10,"")</f>
        <v>2.6250000000000002E-2</v>
      </c>
    </row>
    <row r="326" spans="1:29" ht="16" x14ac:dyDescent="0.2">
      <c r="A326" s="25"/>
      <c r="H326" t="str">
        <f>IFERROR(VLOOKUP(G326,FILAMENTI_DB!$A:$C,3,FALSE),"")</f>
        <v/>
      </c>
      <c r="I326" t="str">
        <f>IFERROR(VLOOKUP(G326,FILAMENTI_DB!$A:$E,4,FALSE),"")</f>
        <v/>
      </c>
      <c r="J326" s="26"/>
      <c r="K326" s="27"/>
      <c r="L326" s="27"/>
      <c r="M326" s="27">
        <f t="shared" si="32"/>
        <v>0</v>
      </c>
      <c r="N326" s="26">
        <f t="shared" si="33"/>
        <v>0</v>
      </c>
      <c r="O326" s="26"/>
      <c r="P326" s="26"/>
      <c r="Q326" s="23"/>
      <c r="R326" s="23">
        <f t="shared" si="34"/>
        <v>0</v>
      </c>
      <c r="S326" s="23"/>
      <c r="T326" s="23">
        <f t="shared" si="35"/>
        <v>0</v>
      </c>
      <c r="U326" s="28" t="str">
        <f t="shared" si="36"/>
        <v/>
      </c>
      <c r="V326" s="10" t="str">
        <f>IFERROR(N326*VLOOKUP(G326,FILAMENTI_DB!$A:$J,10,FALSE),"")</f>
        <v/>
      </c>
      <c r="W326" s="23" t="str">
        <f>IFERROR((VLOOKUP(F326,STAMPANTI_DB!$A:$C,3,FALSE)/1000)*O326*SETTINGS!$C$6,"")</f>
        <v/>
      </c>
      <c r="X326" s="23" t="str">
        <f>IFERROR(O326*VLOOKUP(F326,STAMPANTI_DB!$A:$I,9,FALSE),"")</f>
        <v/>
      </c>
      <c r="Y326" s="23">
        <f>IFERROR(P326*SETTINGS!$C$7,"")</f>
        <v>0</v>
      </c>
      <c r="Z326" s="23">
        <f>SETTINGS!$C$11</f>
        <v>0.5</v>
      </c>
      <c r="AA326" s="23">
        <f t="shared" si="37"/>
        <v>0.5</v>
      </c>
      <c r="AB326" s="23">
        <f>IFERROR(AA326*SETTINGS!$C$9,"")</f>
        <v>2.5000000000000001E-2</v>
      </c>
      <c r="AC326" s="23">
        <f>IFERROR((AA326+AB326)*SETTINGS!$C$10,"")</f>
        <v>2.6250000000000002E-2</v>
      </c>
    </row>
    <row r="327" spans="1:29" ht="16" x14ac:dyDescent="0.2">
      <c r="A327" s="25"/>
      <c r="H327" t="str">
        <f>IFERROR(VLOOKUP(G327,FILAMENTI_DB!$A:$C,3,FALSE),"")</f>
        <v/>
      </c>
      <c r="I327" t="str">
        <f>IFERROR(VLOOKUP(G327,FILAMENTI_DB!$A:$E,4,FALSE),"")</f>
        <v/>
      </c>
      <c r="J327" s="26"/>
      <c r="K327" s="27"/>
      <c r="L327" s="27"/>
      <c r="M327" s="27">
        <f t="shared" si="32"/>
        <v>0</v>
      </c>
      <c r="N327" s="26">
        <f t="shared" si="33"/>
        <v>0</v>
      </c>
      <c r="O327" s="26"/>
      <c r="P327" s="26"/>
      <c r="Q327" s="23"/>
      <c r="R327" s="23">
        <f t="shared" si="34"/>
        <v>0</v>
      </c>
      <c r="S327" s="23"/>
      <c r="T327" s="23">
        <f t="shared" si="35"/>
        <v>0</v>
      </c>
      <c r="U327" s="28" t="str">
        <f t="shared" si="36"/>
        <v/>
      </c>
      <c r="V327" s="10" t="str">
        <f>IFERROR(N327*VLOOKUP(G327,FILAMENTI_DB!$A:$J,10,FALSE),"")</f>
        <v/>
      </c>
      <c r="W327" s="23" t="str">
        <f>IFERROR((VLOOKUP(F327,STAMPANTI_DB!$A:$C,3,FALSE)/1000)*O327*SETTINGS!$C$6,"")</f>
        <v/>
      </c>
      <c r="X327" s="23" t="str">
        <f>IFERROR(O327*VLOOKUP(F327,STAMPANTI_DB!$A:$I,9,FALSE),"")</f>
        <v/>
      </c>
      <c r="Y327" s="23">
        <f>IFERROR(P327*SETTINGS!$C$7,"")</f>
        <v>0</v>
      </c>
      <c r="Z327" s="23">
        <f>SETTINGS!$C$11</f>
        <v>0.5</v>
      </c>
      <c r="AA327" s="23">
        <f t="shared" si="37"/>
        <v>0.5</v>
      </c>
      <c r="AB327" s="23">
        <f>IFERROR(AA327*SETTINGS!$C$9,"")</f>
        <v>2.5000000000000001E-2</v>
      </c>
      <c r="AC327" s="23">
        <f>IFERROR((AA327+AB327)*SETTINGS!$C$10,"")</f>
        <v>2.6250000000000002E-2</v>
      </c>
    </row>
    <row r="328" spans="1:29" ht="16" x14ac:dyDescent="0.2">
      <c r="A328" s="25"/>
      <c r="H328" t="str">
        <f>IFERROR(VLOOKUP(G328,FILAMENTI_DB!$A:$C,3,FALSE),"")</f>
        <v/>
      </c>
      <c r="I328" t="str">
        <f>IFERROR(VLOOKUP(G328,FILAMENTI_DB!$A:$E,4,FALSE),"")</f>
        <v/>
      </c>
      <c r="J328" s="26"/>
      <c r="K328" s="27"/>
      <c r="L328" s="27"/>
      <c r="M328" s="27">
        <f t="shared" si="32"/>
        <v>0</v>
      </c>
      <c r="N328" s="26">
        <f t="shared" si="33"/>
        <v>0</v>
      </c>
      <c r="O328" s="26"/>
      <c r="P328" s="26"/>
      <c r="Q328" s="23"/>
      <c r="R328" s="23">
        <f t="shared" si="34"/>
        <v>0</v>
      </c>
      <c r="S328" s="23"/>
      <c r="T328" s="23">
        <f t="shared" si="35"/>
        <v>0</v>
      </c>
      <c r="U328" s="28" t="str">
        <f t="shared" si="36"/>
        <v/>
      </c>
      <c r="V328" s="10" t="str">
        <f>IFERROR(N328*VLOOKUP(G328,FILAMENTI_DB!$A:$J,10,FALSE),"")</f>
        <v/>
      </c>
      <c r="W328" s="23" t="str">
        <f>IFERROR((VLOOKUP(F328,STAMPANTI_DB!$A:$C,3,FALSE)/1000)*O328*SETTINGS!$C$6,"")</f>
        <v/>
      </c>
      <c r="X328" s="23" t="str">
        <f>IFERROR(O328*VLOOKUP(F328,STAMPANTI_DB!$A:$I,9,FALSE),"")</f>
        <v/>
      </c>
      <c r="Y328" s="23">
        <f>IFERROR(P328*SETTINGS!$C$7,"")</f>
        <v>0</v>
      </c>
      <c r="Z328" s="23">
        <f>SETTINGS!$C$11</f>
        <v>0.5</v>
      </c>
      <c r="AA328" s="23">
        <f t="shared" si="37"/>
        <v>0.5</v>
      </c>
      <c r="AB328" s="23">
        <f>IFERROR(AA328*SETTINGS!$C$9,"")</f>
        <v>2.5000000000000001E-2</v>
      </c>
      <c r="AC328" s="23">
        <f>IFERROR((AA328+AB328)*SETTINGS!$C$10,"")</f>
        <v>2.6250000000000002E-2</v>
      </c>
    </row>
    <row r="329" spans="1:29" ht="16" x14ac:dyDescent="0.2">
      <c r="A329" s="25"/>
      <c r="H329" t="str">
        <f>IFERROR(VLOOKUP(G329,FILAMENTI_DB!$A:$C,3,FALSE),"")</f>
        <v/>
      </c>
      <c r="I329" t="str">
        <f>IFERROR(VLOOKUP(G329,FILAMENTI_DB!$A:$E,4,FALSE),"")</f>
        <v/>
      </c>
      <c r="J329" s="26"/>
      <c r="K329" s="27"/>
      <c r="L329" s="27"/>
      <c r="M329" s="27">
        <f t="shared" si="32"/>
        <v>0</v>
      </c>
      <c r="N329" s="26">
        <f t="shared" si="33"/>
        <v>0</v>
      </c>
      <c r="O329" s="26"/>
      <c r="P329" s="26"/>
      <c r="Q329" s="23"/>
      <c r="R329" s="23">
        <f t="shared" si="34"/>
        <v>0</v>
      </c>
      <c r="S329" s="23"/>
      <c r="T329" s="23">
        <f t="shared" si="35"/>
        <v>0</v>
      </c>
      <c r="U329" s="28" t="str">
        <f t="shared" si="36"/>
        <v/>
      </c>
      <c r="V329" s="10" t="str">
        <f>IFERROR(N329*VLOOKUP(G329,FILAMENTI_DB!$A:$J,10,FALSE),"")</f>
        <v/>
      </c>
      <c r="W329" s="23" t="str">
        <f>IFERROR((VLOOKUP(F329,STAMPANTI_DB!$A:$C,3,FALSE)/1000)*O329*SETTINGS!$C$6,"")</f>
        <v/>
      </c>
      <c r="X329" s="23" t="str">
        <f>IFERROR(O329*VLOOKUP(F329,STAMPANTI_DB!$A:$I,9,FALSE),"")</f>
        <v/>
      </c>
      <c r="Y329" s="23">
        <f>IFERROR(P329*SETTINGS!$C$7,"")</f>
        <v>0</v>
      </c>
      <c r="Z329" s="23">
        <f>SETTINGS!$C$11</f>
        <v>0.5</v>
      </c>
      <c r="AA329" s="23">
        <f t="shared" si="37"/>
        <v>0.5</v>
      </c>
      <c r="AB329" s="23">
        <f>IFERROR(AA329*SETTINGS!$C$9,"")</f>
        <v>2.5000000000000001E-2</v>
      </c>
      <c r="AC329" s="23">
        <f>IFERROR((AA329+AB329)*SETTINGS!$C$10,"")</f>
        <v>2.6250000000000002E-2</v>
      </c>
    </row>
    <row r="330" spans="1:29" ht="16" x14ac:dyDescent="0.2">
      <c r="A330" s="25"/>
      <c r="H330" t="str">
        <f>IFERROR(VLOOKUP(G330,FILAMENTI_DB!$A:$C,3,FALSE),"")</f>
        <v/>
      </c>
      <c r="I330" t="str">
        <f>IFERROR(VLOOKUP(G330,FILAMENTI_DB!$A:$E,4,FALSE),"")</f>
        <v/>
      </c>
      <c r="J330" s="26"/>
      <c r="K330" s="27"/>
      <c r="L330" s="27"/>
      <c r="M330" s="27">
        <f t="shared" si="32"/>
        <v>0</v>
      </c>
      <c r="N330" s="26">
        <f t="shared" si="33"/>
        <v>0</v>
      </c>
      <c r="O330" s="26"/>
      <c r="P330" s="26"/>
      <c r="Q330" s="23"/>
      <c r="R330" s="23">
        <f t="shared" si="34"/>
        <v>0</v>
      </c>
      <c r="S330" s="23"/>
      <c r="T330" s="23">
        <f t="shared" si="35"/>
        <v>0</v>
      </c>
      <c r="U330" s="28" t="str">
        <f t="shared" si="36"/>
        <v/>
      </c>
      <c r="V330" s="10" t="str">
        <f>IFERROR(N330*VLOOKUP(G330,FILAMENTI_DB!$A:$J,10,FALSE),"")</f>
        <v/>
      </c>
      <c r="W330" s="23" t="str">
        <f>IFERROR((VLOOKUP(F330,STAMPANTI_DB!$A:$C,3,FALSE)/1000)*O330*SETTINGS!$C$6,"")</f>
        <v/>
      </c>
      <c r="X330" s="23" t="str">
        <f>IFERROR(O330*VLOOKUP(F330,STAMPANTI_DB!$A:$I,9,FALSE),"")</f>
        <v/>
      </c>
      <c r="Y330" s="23">
        <f>IFERROR(P330*SETTINGS!$C$7,"")</f>
        <v>0</v>
      </c>
      <c r="Z330" s="23">
        <f>SETTINGS!$C$11</f>
        <v>0.5</v>
      </c>
      <c r="AA330" s="23">
        <f t="shared" si="37"/>
        <v>0.5</v>
      </c>
      <c r="AB330" s="23">
        <f>IFERROR(AA330*SETTINGS!$C$9,"")</f>
        <v>2.5000000000000001E-2</v>
      </c>
      <c r="AC330" s="23">
        <f>IFERROR((AA330+AB330)*SETTINGS!$C$10,"")</f>
        <v>2.6250000000000002E-2</v>
      </c>
    </row>
    <row r="331" spans="1:29" ht="16" x14ac:dyDescent="0.2">
      <c r="A331" s="25"/>
      <c r="H331" t="str">
        <f>IFERROR(VLOOKUP(G331,FILAMENTI_DB!$A:$C,3,FALSE),"")</f>
        <v/>
      </c>
      <c r="I331" t="str">
        <f>IFERROR(VLOOKUP(G331,FILAMENTI_DB!$A:$E,4,FALSE),"")</f>
        <v/>
      </c>
      <c r="J331" s="26"/>
      <c r="K331" s="27"/>
      <c r="L331" s="27"/>
      <c r="M331" s="27">
        <f t="shared" si="32"/>
        <v>0</v>
      </c>
      <c r="N331" s="26">
        <f t="shared" si="33"/>
        <v>0</v>
      </c>
      <c r="O331" s="26"/>
      <c r="P331" s="26"/>
      <c r="Q331" s="23"/>
      <c r="R331" s="23">
        <f t="shared" si="34"/>
        <v>0</v>
      </c>
      <c r="S331" s="23"/>
      <c r="T331" s="23">
        <f t="shared" si="35"/>
        <v>0</v>
      </c>
      <c r="U331" s="28" t="str">
        <f t="shared" si="36"/>
        <v/>
      </c>
      <c r="V331" s="10" t="str">
        <f>IFERROR(N331*VLOOKUP(G331,FILAMENTI_DB!$A:$J,10,FALSE),"")</f>
        <v/>
      </c>
      <c r="W331" s="23" t="str">
        <f>IFERROR((VLOOKUP(F331,STAMPANTI_DB!$A:$C,3,FALSE)/1000)*O331*SETTINGS!$C$6,"")</f>
        <v/>
      </c>
      <c r="X331" s="23" t="str">
        <f>IFERROR(O331*VLOOKUP(F331,STAMPANTI_DB!$A:$I,9,FALSE),"")</f>
        <v/>
      </c>
      <c r="Y331" s="23">
        <f>IFERROR(P331*SETTINGS!$C$7,"")</f>
        <v>0</v>
      </c>
      <c r="Z331" s="23">
        <f>SETTINGS!$C$11</f>
        <v>0.5</v>
      </c>
      <c r="AA331" s="23">
        <f t="shared" si="37"/>
        <v>0.5</v>
      </c>
      <c r="AB331" s="23">
        <f>IFERROR(AA331*SETTINGS!$C$9,"")</f>
        <v>2.5000000000000001E-2</v>
      </c>
      <c r="AC331" s="23">
        <f>IFERROR((AA331+AB331)*SETTINGS!$C$10,"")</f>
        <v>2.6250000000000002E-2</v>
      </c>
    </row>
    <row r="332" spans="1:29" ht="16" x14ac:dyDescent="0.2">
      <c r="A332" s="25"/>
      <c r="H332" t="str">
        <f>IFERROR(VLOOKUP(G332,FILAMENTI_DB!$A:$C,3,FALSE),"")</f>
        <v/>
      </c>
      <c r="I332" t="str">
        <f>IFERROR(VLOOKUP(G332,FILAMENTI_DB!$A:$E,4,FALSE),"")</f>
        <v/>
      </c>
      <c r="J332" s="26"/>
      <c r="K332" s="27"/>
      <c r="L332" s="27"/>
      <c r="M332" s="27">
        <f t="shared" si="32"/>
        <v>0</v>
      </c>
      <c r="N332" s="26">
        <f t="shared" si="33"/>
        <v>0</v>
      </c>
      <c r="O332" s="26"/>
      <c r="P332" s="26"/>
      <c r="Q332" s="23"/>
      <c r="R332" s="23">
        <f t="shared" si="34"/>
        <v>0</v>
      </c>
      <c r="S332" s="23"/>
      <c r="T332" s="23">
        <f t="shared" si="35"/>
        <v>0</v>
      </c>
      <c r="U332" s="28" t="str">
        <f t="shared" si="36"/>
        <v/>
      </c>
      <c r="V332" s="10" t="str">
        <f>IFERROR(N332*VLOOKUP(G332,FILAMENTI_DB!$A:$J,10,FALSE),"")</f>
        <v/>
      </c>
      <c r="W332" s="23" t="str">
        <f>IFERROR((VLOOKUP(F332,STAMPANTI_DB!$A:$C,3,FALSE)/1000)*O332*SETTINGS!$C$6,"")</f>
        <v/>
      </c>
      <c r="X332" s="23" t="str">
        <f>IFERROR(O332*VLOOKUP(F332,STAMPANTI_DB!$A:$I,9,FALSE),"")</f>
        <v/>
      </c>
      <c r="Y332" s="23">
        <f>IFERROR(P332*SETTINGS!$C$7,"")</f>
        <v>0</v>
      </c>
      <c r="Z332" s="23">
        <f>SETTINGS!$C$11</f>
        <v>0.5</v>
      </c>
      <c r="AA332" s="23">
        <f t="shared" si="37"/>
        <v>0.5</v>
      </c>
      <c r="AB332" s="23">
        <f>IFERROR(AA332*SETTINGS!$C$9,"")</f>
        <v>2.5000000000000001E-2</v>
      </c>
      <c r="AC332" s="23">
        <f>IFERROR((AA332+AB332)*SETTINGS!$C$10,"")</f>
        <v>2.6250000000000002E-2</v>
      </c>
    </row>
    <row r="333" spans="1:29" ht="16" x14ac:dyDescent="0.2">
      <c r="A333" s="25"/>
      <c r="H333" t="str">
        <f>IFERROR(VLOOKUP(G333,FILAMENTI_DB!$A:$C,3,FALSE),"")</f>
        <v/>
      </c>
      <c r="I333" t="str">
        <f>IFERROR(VLOOKUP(G333,FILAMENTI_DB!$A:$E,4,FALSE),"")</f>
        <v/>
      </c>
      <c r="J333" s="26"/>
      <c r="K333" s="27"/>
      <c r="L333" s="27"/>
      <c r="M333" s="27">
        <f t="shared" si="32"/>
        <v>0</v>
      </c>
      <c r="N333" s="26">
        <f t="shared" si="33"/>
        <v>0</v>
      </c>
      <c r="O333" s="26"/>
      <c r="P333" s="26"/>
      <c r="Q333" s="23"/>
      <c r="R333" s="23">
        <f t="shared" si="34"/>
        <v>0</v>
      </c>
      <c r="S333" s="23"/>
      <c r="T333" s="23">
        <f t="shared" si="35"/>
        <v>0</v>
      </c>
      <c r="U333" s="28" t="str">
        <f t="shared" si="36"/>
        <v/>
      </c>
      <c r="V333" s="10" t="str">
        <f>IFERROR(N333*VLOOKUP(G333,FILAMENTI_DB!$A:$J,10,FALSE),"")</f>
        <v/>
      </c>
      <c r="W333" s="23" t="str">
        <f>IFERROR((VLOOKUP(F333,STAMPANTI_DB!$A:$C,3,FALSE)/1000)*O333*SETTINGS!$C$6,"")</f>
        <v/>
      </c>
      <c r="X333" s="23" t="str">
        <f>IFERROR(O333*VLOOKUP(F333,STAMPANTI_DB!$A:$I,9,FALSE),"")</f>
        <v/>
      </c>
      <c r="Y333" s="23">
        <f>IFERROR(P333*SETTINGS!$C$7,"")</f>
        <v>0</v>
      </c>
      <c r="Z333" s="23">
        <f>SETTINGS!$C$11</f>
        <v>0.5</v>
      </c>
      <c r="AA333" s="23">
        <f t="shared" si="37"/>
        <v>0.5</v>
      </c>
      <c r="AB333" s="23">
        <f>IFERROR(AA333*SETTINGS!$C$9,"")</f>
        <v>2.5000000000000001E-2</v>
      </c>
      <c r="AC333" s="23">
        <f>IFERROR((AA333+AB333)*SETTINGS!$C$10,"")</f>
        <v>2.6250000000000002E-2</v>
      </c>
    </row>
    <row r="334" spans="1:29" ht="16" x14ac:dyDescent="0.2">
      <c r="A334" s="25"/>
      <c r="H334" t="str">
        <f>IFERROR(VLOOKUP(G334,FILAMENTI_DB!$A:$C,3,FALSE),"")</f>
        <v/>
      </c>
      <c r="I334" t="str">
        <f>IFERROR(VLOOKUP(G334,FILAMENTI_DB!$A:$E,4,FALSE),"")</f>
        <v/>
      </c>
      <c r="J334" s="26"/>
      <c r="K334" s="27"/>
      <c r="L334" s="27"/>
      <c r="M334" s="27">
        <f t="shared" si="32"/>
        <v>0</v>
      </c>
      <c r="N334" s="26">
        <f t="shared" si="33"/>
        <v>0</v>
      </c>
      <c r="O334" s="26"/>
      <c r="P334" s="26"/>
      <c r="Q334" s="23"/>
      <c r="R334" s="23">
        <f t="shared" si="34"/>
        <v>0</v>
      </c>
      <c r="S334" s="23"/>
      <c r="T334" s="23">
        <f t="shared" si="35"/>
        <v>0</v>
      </c>
      <c r="U334" s="28" t="str">
        <f t="shared" si="36"/>
        <v/>
      </c>
      <c r="V334" s="10" t="str">
        <f>IFERROR(N334*VLOOKUP(G334,FILAMENTI_DB!$A:$J,10,FALSE),"")</f>
        <v/>
      </c>
      <c r="W334" s="23" t="str">
        <f>IFERROR((VLOOKUP(F334,STAMPANTI_DB!$A:$C,3,FALSE)/1000)*O334*SETTINGS!$C$6,"")</f>
        <v/>
      </c>
      <c r="X334" s="23" t="str">
        <f>IFERROR(O334*VLOOKUP(F334,STAMPANTI_DB!$A:$I,9,FALSE),"")</f>
        <v/>
      </c>
      <c r="Y334" s="23">
        <f>IFERROR(P334*SETTINGS!$C$7,"")</f>
        <v>0</v>
      </c>
      <c r="Z334" s="23">
        <f>SETTINGS!$C$11</f>
        <v>0.5</v>
      </c>
      <c r="AA334" s="23">
        <f t="shared" si="37"/>
        <v>0.5</v>
      </c>
      <c r="AB334" s="23">
        <f>IFERROR(AA334*SETTINGS!$C$9,"")</f>
        <v>2.5000000000000001E-2</v>
      </c>
      <c r="AC334" s="23">
        <f>IFERROR((AA334+AB334)*SETTINGS!$C$10,"")</f>
        <v>2.6250000000000002E-2</v>
      </c>
    </row>
    <row r="335" spans="1:29" ht="16" x14ac:dyDescent="0.2">
      <c r="A335" s="25"/>
      <c r="H335" t="str">
        <f>IFERROR(VLOOKUP(G335,FILAMENTI_DB!$A:$C,3,FALSE),"")</f>
        <v/>
      </c>
      <c r="I335" t="str">
        <f>IFERROR(VLOOKUP(G335,FILAMENTI_DB!$A:$E,4,FALSE),"")</f>
        <v/>
      </c>
      <c r="J335" s="26"/>
      <c r="K335" s="27"/>
      <c r="L335" s="27"/>
      <c r="M335" s="27">
        <f t="shared" si="32"/>
        <v>0</v>
      </c>
      <c r="N335" s="26">
        <f t="shared" si="33"/>
        <v>0</v>
      </c>
      <c r="O335" s="26"/>
      <c r="P335" s="26"/>
      <c r="Q335" s="23"/>
      <c r="R335" s="23">
        <f t="shared" si="34"/>
        <v>0</v>
      </c>
      <c r="S335" s="23"/>
      <c r="T335" s="23">
        <f t="shared" si="35"/>
        <v>0</v>
      </c>
      <c r="U335" s="28" t="str">
        <f t="shared" si="36"/>
        <v/>
      </c>
      <c r="V335" s="10" t="str">
        <f>IFERROR(N335*VLOOKUP(G335,FILAMENTI_DB!$A:$J,10,FALSE),"")</f>
        <v/>
      </c>
      <c r="W335" s="23" t="str">
        <f>IFERROR((VLOOKUP(F335,STAMPANTI_DB!$A:$C,3,FALSE)/1000)*O335*SETTINGS!$C$6,"")</f>
        <v/>
      </c>
      <c r="X335" s="23" t="str">
        <f>IFERROR(O335*VLOOKUP(F335,STAMPANTI_DB!$A:$I,9,FALSE),"")</f>
        <v/>
      </c>
      <c r="Y335" s="23">
        <f>IFERROR(P335*SETTINGS!$C$7,"")</f>
        <v>0</v>
      </c>
      <c r="Z335" s="23">
        <f>SETTINGS!$C$11</f>
        <v>0.5</v>
      </c>
      <c r="AA335" s="23">
        <f t="shared" si="37"/>
        <v>0.5</v>
      </c>
      <c r="AB335" s="23">
        <f>IFERROR(AA335*SETTINGS!$C$9,"")</f>
        <v>2.5000000000000001E-2</v>
      </c>
      <c r="AC335" s="23">
        <f>IFERROR((AA335+AB335)*SETTINGS!$C$10,"")</f>
        <v>2.6250000000000002E-2</v>
      </c>
    </row>
    <row r="336" spans="1:29" ht="16" x14ac:dyDescent="0.2">
      <c r="A336" s="25"/>
      <c r="H336" t="str">
        <f>IFERROR(VLOOKUP(G336,FILAMENTI_DB!$A:$C,3,FALSE),"")</f>
        <v/>
      </c>
      <c r="I336" t="str">
        <f>IFERROR(VLOOKUP(G336,FILAMENTI_DB!$A:$E,4,FALSE),"")</f>
        <v/>
      </c>
      <c r="J336" s="26"/>
      <c r="K336" s="27"/>
      <c r="L336" s="27"/>
      <c r="M336" s="27">
        <f t="shared" si="32"/>
        <v>0</v>
      </c>
      <c r="N336" s="26">
        <f t="shared" si="33"/>
        <v>0</v>
      </c>
      <c r="O336" s="26"/>
      <c r="P336" s="26"/>
      <c r="Q336" s="23"/>
      <c r="R336" s="23">
        <f t="shared" si="34"/>
        <v>0</v>
      </c>
      <c r="S336" s="23"/>
      <c r="T336" s="23">
        <f t="shared" si="35"/>
        <v>0</v>
      </c>
      <c r="U336" s="28" t="str">
        <f t="shared" si="36"/>
        <v/>
      </c>
      <c r="V336" s="10" t="str">
        <f>IFERROR(N336*VLOOKUP(G336,FILAMENTI_DB!$A:$J,10,FALSE),"")</f>
        <v/>
      </c>
      <c r="W336" s="23" t="str">
        <f>IFERROR((VLOOKUP(F336,STAMPANTI_DB!$A:$C,3,FALSE)/1000)*O336*SETTINGS!$C$6,"")</f>
        <v/>
      </c>
      <c r="X336" s="23" t="str">
        <f>IFERROR(O336*VLOOKUP(F336,STAMPANTI_DB!$A:$I,9,FALSE),"")</f>
        <v/>
      </c>
      <c r="Y336" s="23">
        <f>IFERROR(P336*SETTINGS!$C$7,"")</f>
        <v>0</v>
      </c>
      <c r="Z336" s="23">
        <f>SETTINGS!$C$11</f>
        <v>0.5</v>
      </c>
      <c r="AA336" s="23">
        <f t="shared" si="37"/>
        <v>0.5</v>
      </c>
      <c r="AB336" s="23">
        <f>IFERROR(AA336*SETTINGS!$C$9,"")</f>
        <v>2.5000000000000001E-2</v>
      </c>
      <c r="AC336" s="23">
        <f>IFERROR((AA336+AB336)*SETTINGS!$C$10,"")</f>
        <v>2.6250000000000002E-2</v>
      </c>
    </row>
    <row r="337" spans="1:29" ht="16" x14ac:dyDescent="0.2">
      <c r="A337" s="25"/>
      <c r="H337" t="str">
        <f>IFERROR(VLOOKUP(G337,FILAMENTI_DB!$A:$C,3,FALSE),"")</f>
        <v/>
      </c>
      <c r="I337" t="str">
        <f>IFERROR(VLOOKUP(G337,FILAMENTI_DB!$A:$E,4,FALSE),"")</f>
        <v/>
      </c>
      <c r="J337" s="26"/>
      <c r="K337" s="27"/>
      <c r="L337" s="27"/>
      <c r="M337" s="27">
        <f t="shared" si="32"/>
        <v>0</v>
      </c>
      <c r="N337" s="26">
        <f t="shared" si="33"/>
        <v>0</v>
      </c>
      <c r="O337" s="26"/>
      <c r="P337" s="26"/>
      <c r="Q337" s="23"/>
      <c r="R337" s="23">
        <f t="shared" si="34"/>
        <v>0</v>
      </c>
      <c r="S337" s="23"/>
      <c r="T337" s="23">
        <f t="shared" si="35"/>
        <v>0</v>
      </c>
      <c r="U337" s="28" t="str">
        <f t="shared" si="36"/>
        <v/>
      </c>
      <c r="V337" s="10" t="str">
        <f>IFERROR(N337*VLOOKUP(G337,FILAMENTI_DB!$A:$J,10,FALSE),"")</f>
        <v/>
      </c>
      <c r="W337" s="23" t="str">
        <f>IFERROR((VLOOKUP(F337,STAMPANTI_DB!$A:$C,3,FALSE)/1000)*O337*SETTINGS!$C$6,"")</f>
        <v/>
      </c>
      <c r="X337" s="23" t="str">
        <f>IFERROR(O337*VLOOKUP(F337,STAMPANTI_DB!$A:$I,9,FALSE),"")</f>
        <v/>
      </c>
      <c r="Y337" s="23">
        <f>IFERROR(P337*SETTINGS!$C$7,"")</f>
        <v>0</v>
      </c>
      <c r="Z337" s="23">
        <f>SETTINGS!$C$11</f>
        <v>0.5</v>
      </c>
      <c r="AA337" s="23">
        <f t="shared" si="37"/>
        <v>0.5</v>
      </c>
      <c r="AB337" s="23">
        <f>IFERROR(AA337*SETTINGS!$C$9,"")</f>
        <v>2.5000000000000001E-2</v>
      </c>
      <c r="AC337" s="23">
        <f>IFERROR((AA337+AB337)*SETTINGS!$C$10,"")</f>
        <v>2.6250000000000002E-2</v>
      </c>
    </row>
    <row r="338" spans="1:29" ht="16" x14ac:dyDescent="0.2">
      <c r="A338" s="25"/>
      <c r="H338" t="str">
        <f>IFERROR(VLOOKUP(G338,FILAMENTI_DB!$A:$C,3,FALSE),"")</f>
        <v/>
      </c>
      <c r="I338" t="str">
        <f>IFERROR(VLOOKUP(G338,FILAMENTI_DB!$A:$E,4,FALSE),"")</f>
        <v/>
      </c>
      <c r="J338" s="26"/>
      <c r="K338" s="27"/>
      <c r="L338" s="27"/>
      <c r="M338" s="27">
        <f t="shared" si="32"/>
        <v>0</v>
      </c>
      <c r="N338" s="26">
        <f t="shared" si="33"/>
        <v>0</v>
      </c>
      <c r="O338" s="26"/>
      <c r="P338" s="26"/>
      <c r="Q338" s="23"/>
      <c r="R338" s="23">
        <f t="shared" si="34"/>
        <v>0</v>
      </c>
      <c r="S338" s="23"/>
      <c r="T338" s="23">
        <f t="shared" si="35"/>
        <v>0</v>
      </c>
      <c r="U338" s="28" t="str">
        <f t="shared" si="36"/>
        <v/>
      </c>
      <c r="V338" s="10" t="str">
        <f>IFERROR(N338*VLOOKUP(G338,FILAMENTI_DB!$A:$J,10,FALSE),"")</f>
        <v/>
      </c>
      <c r="W338" s="23" t="str">
        <f>IFERROR((VLOOKUP(F338,STAMPANTI_DB!$A:$C,3,FALSE)/1000)*O338*SETTINGS!$C$6,"")</f>
        <v/>
      </c>
      <c r="X338" s="23" t="str">
        <f>IFERROR(O338*VLOOKUP(F338,STAMPANTI_DB!$A:$I,9,FALSE),"")</f>
        <v/>
      </c>
      <c r="Y338" s="23">
        <f>IFERROR(P338*SETTINGS!$C$7,"")</f>
        <v>0</v>
      </c>
      <c r="Z338" s="23">
        <f>SETTINGS!$C$11</f>
        <v>0.5</v>
      </c>
      <c r="AA338" s="23">
        <f t="shared" si="37"/>
        <v>0.5</v>
      </c>
      <c r="AB338" s="23">
        <f>IFERROR(AA338*SETTINGS!$C$9,"")</f>
        <v>2.5000000000000001E-2</v>
      </c>
      <c r="AC338" s="23">
        <f>IFERROR((AA338+AB338)*SETTINGS!$C$10,"")</f>
        <v>2.6250000000000002E-2</v>
      </c>
    </row>
    <row r="339" spans="1:29" ht="16" x14ac:dyDescent="0.2">
      <c r="A339" s="25"/>
      <c r="H339" t="str">
        <f>IFERROR(VLOOKUP(G339,FILAMENTI_DB!$A:$C,3,FALSE),"")</f>
        <v/>
      </c>
      <c r="I339" t="str">
        <f>IFERROR(VLOOKUP(G339,FILAMENTI_DB!$A:$E,4,FALSE),"")</f>
        <v/>
      </c>
      <c r="J339" s="26"/>
      <c r="K339" s="27"/>
      <c r="L339" s="27"/>
      <c r="M339" s="27">
        <f t="shared" si="32"/>
        <v>0</v>
      </c>
      <c r="N339" s="26">
        <f t="shared" si="33"/>
        <v>0</v>
      </c>
      <c r="O339" s="26"/>
      <c r="P339" s="26"/>
      <c r="Q339" s="23"/>
      <c r="R339" s="23">
        <f t="shared" si="34"/>
        <v>0</v>
      </c>
      <c r="S339" s="23"/>
      <c r="T339" s="23">
        <f t="shared" si="35"/>
        <v>0</v>
      </c>
      <c r="U339" s="28" t="str">
        <f t="shared" si="36"/>
        <v/>
      </c>
      <c r="V339" s="10" t="str">
        <f>IFERROR(N339*VLOOKUP(G339,FILAMENTI_DB!$A:$J,10,FALSE),"")</f>
        <v/>
      </c>
      <c r="W339" s="23" t="str">
        <f>IFERROR((VLOOKUP(F339,STAMPANTI_DB!$A:$C,3,FALSE)/1000)*O339*SETTINGS!$C$6,"")</f>
        <v/>
      </c>
      <c r="X339" s="23" t="str">
        <f>IFERROR(O339*VLOOKUP(F339,STAMPANTI_DB!$A:$I,9,FALSE),"")</f>
        <v/>
      </c>
      <c r="Y339" s="23">
        <f>IFERROR(P339*SETTINGS!$C$7,"")</f>
        <v>0</v>
      </c>
      <c r="Z339" s="23">
        <f>SETTINGS!$C$11</f>
        <v>0.5</v>
      </c>
      <c r="AA339" s="23">
        <f t="shared" si="37"/>
        <v>0.5</v>
      </c>
      <c r="AB339" s="23">
        <f>IFERROR(AA339*SETTINGS!$C$9,"")</f>
        <v>2.5000000000000001E-2</v>
      </c>
      <c r="AC339" s="23">
        <f>IFERROR((AA339+AB339)*SETTINGS!$C$10,"")</f>
        <v>2.6250000000000002E-2</v>
      </c>
    </row>
    <row r="340" spans="1:29" ht="16" x14ac:dyDescent="0.2">
      <c r="A340" s="25"/>
      <c r="H340" t="str">
        <f>IFERROR(VLOOKUP(G340,FILAMENTI_DB!$A:$C,3,FALSE),"")</f>
        <v/>
      </c>
      <c r="I340" t="str">
        <f>IFERROR(VLOOKUP(G340,FILAMENTI_DB!$A:$E,4,FALSE),"")</f>
        <v/>
      </c>
      <c r="J340" s="26"/>
      <c r="K340" s="27"/>
      <c r="L340" s="27"/>
      <c r="M340" s="27">
        <f t="shared" si="32"/>
        <v>0</v>
      </c>
      <c r="N340" s="26">
        <f t="shared" si="33"/>
        <v>0</v>
      </c>
      <c r="O340" s="26"/>
      <c r="P340" s="26"/>
      <c r="Q340" s="23"/>
      <c r="R340" s="23">
        <f t="shared" si="34"/>
        <v>0</v>
      </c>
      <c r="S340" s="23"/>
      <c r="T340" s="23">
        <f t="shared" si="35"/>
        <v>0</v>
      </c>
      <c r="U340" s="28" t="str">
        <f t="shared" si="36"/>
        <v/>
      </c>
      <c r="V340" s="10" t="str">
        <f>IFERROR(N340*VLOOKUP(G340,FILAMENTI_DB!$A:$J,10,FALSE),"")</f>
        <v/>
      </c>
      <c r="W340" s="23" t="str">
        <f>IFERROR((VLOOKUP(F340,STAMPANTI_DB!$A:$C,3,FALSE)/1000)*O340*SETTINGS!$C$6,"")</f>
        <v/>
      </c>
      <c r="X340" s="23" t="str">
        <f>IFERROR(O340*VLOOKUP(F340,STAMPANTI_DB!$A:$I,9,FALSE),"")</f>
        <v/>
      </c>
      <c r="Y340" s="23">
        <f>IFERROR(P340*SETTINGS!$C$7,"")</f>
        <v>0</v>
      </c>
      <c r="Z340" s="23">
        <f>SETTINGS!$C$11</f>
        <v>0.5</v>
      </c>
      <c r="AA340" s="23">
        <f t="shared" si="37"/>
        <v>0.5</v>
      </c>
      <c r="AB340" s="23">
        <f>IFERROR(AA340*SETTINGS!$C$9,"")</f>
        <v>2.5000000000000001E-2</v>
      </c>
      <c r="AC340" s="23">
        <f>IFERROR((AA340+AB340)*SETTINGS!$C$10,"")</f>
        <v>2.6250000000000002E-2</v>
      </c>
    </row>
    <row r="341" spans="1:29" ht="16" x14ac:dyDescent="0.2">
      <c r="A341" s="25"/>
      <c r="H341" t="str">
        <f>IFERROR(VLOOKUP(G341,FILAMENTI_DB!$A:$C,3,FALSE),"")</f>
        <v/>
      </c>
      <c r="I341" t="str">
        <f>IFERROR(VLOOKUP(G341,FILAMENTI_DB!$A:$E,4,FALSE),"")</f>
        <v/>
      </c>
      <c r="J341" s="26"/>
      <c r="K341" s="27"/>
      <c r="L341" s="27"/>
      <c r="M341" s="27">
        <f t="shared" si="32"/>
        <v>0</v>
      </c>
      <c r="N341" s="26">
        <f t="shared" si="33"/>
        <v>0</v>
      </c>
      <c r="O341" s="26"/>
      <c r="P341" s="26"/>
      <c r="Q341" s="23"/>
      <c r="R341" s="23">
        <f t="shared" si="34"/>
        <v>0</v>
      </c>
      <c r="S341" s="23"/>
      <c r="T341" s="23">
        <f t="shared" si="35"/>
        <v>0</v>
      </c>
      <c r="U341" s="28" t="str">
        <f t="shared" si="36"/>
        <v/>
      </c>
      <c r="V341" s="10" t="str">
        <f>IFERROR(N341*VLOOKUP(G341,FILAMENTI_DB!$A:$J,10,FALSE),"")</f>
        <v/>
      </c>
      <c r="W341" s="23" t="str">
        <f>IFERROR((VLOOKUP(F341,STAMPANTI_DB!$A:$C,3,FALSE)/1000)*O341*SETTINGS!$C$6,"")</f>
        <v/>
      </c>
      <c r="X341" s="23" t="str">
        <f>IFERROR(O341*VLOOKUP(F341,STAMPANTI_DB!$A:$I,9,FALSE),"")</f>
        <v/>
      </c>
      <c r="Y341" s="23">
        <f>IFERROR(P341*SETTINGS!$C$7,"")</f>
        <v>0</v>
      </c>
      <c r="Z341" s="23">
        <f>SETTINGS!$C$11</f>
        <v>0.5</v>
      </c>
      <c r="AA341" s="23">
        <f t="shared" si="37"/>
        <v>0.5</v>
      </c>
      <c r="AB341" s="23">
        <f>IFERROR(AA341*SETTINGS!$C$9,"")</f>
        <v>2.5000000000000001E-2</v>
      </c>
      <c r="AC341" s="23">
        <f>IFERROR((AA341+AB341)*SETTINGS!$C$10,"")</f>
        <v>2.6250000000000002E-2</v>
      </c>
    </row>
    <row r="342" spans="1:29" ht="16" x14ac:dyDescent="0.2">
      <c r="A342" s="25"/>
      <c r="H342" t="str">
        <f>IFERROR(VLOOKUP(G342,FILAMENTI_DB!$A:$C,3,FALSE),"")</f>
        <v/>
      </c>
      <c r="I342" t="str">
        <f>IFERROR(VLOOKUP(G342,FILAMENTI_DB!$A:$E,4,FALSE),"")</f>
        <v/>
      </c>
      <c r="J342" s="26"/>
      <c r="K342" s="27"/>
      <c r="L342" s="27"/>
      <c r="M342" s="27">
        <f t="shared" si="32"/>
        <v>0</v>
      </c>
      <c r="N342" s="26">
        <f t="shared" si="33"/>
        <v>0</v>
      </c>
      <c r="O342" s="26"/>
      <c r="P342" s="26"/>
      <c r="Q342" s="23"/>
      <c r="R342" s="23">
        <f t="shared" si="34"/>
        <v>0</v>
      </c>
      <c r="S342" s="23"/>
      <c r="T342" s="23">
        <f t="shared" si="35"/>
        <v>0</v>
      </c>
      <c r="U342" s="28" t="str">
        <f t="shared" si="36"/>
        <v/>
      </c>
      <c r="V342" s="10" t="str">
        <f>IFERROR(N342*VLOOKUP(G342,FILAMENTI_DB!$A:$J,10,FALSE),"")</f>
        <v/>
      </c>
      <c r="W342" s="23" t="str">
        <f>IFERROR((VLOOKUP(F342,STAMPANTI_DB!$A:$C,3,FALSE)/1000)*O342*SETTINGS!$C$6,"")</f>
        <v/>
      </c>
      <c r="X342" s="23" t="str">
        <f>IFERROR(O342*VLOOKUP(F342,STAMPANTI_DB!$A:$I,9,FALSE),"")</f>
        <v/>
      </c>
      <c r="Y342" s="23">
        <f>IFERROR(P342*SETTINGS!$C$7,"")</f>
        <v>0</v>
      </c>
      <c r="Z342" s="23">
        <f>SETTINGS!$C$11</f>
        <v>0.5</v>
      </c>
      <c r="AA342" s="23">
        <f t="shared" si="37"/>
        <v>0.5</v>
      </c>
      <c r="AB342" s="23">
        <f>IFERROR(AA342*SETTINGS!$C$9,"")</f>
        <v>2.5000000000000001E-2</v>
      </c>
      <c r="AC342" s="23">
        <f>IFERROR((AA342+AB342)*SETTINGS!$C$10,"")</f>
        <v>2.6250000000000002E-2</v>
      </c>
    </row>
    <row r="343" spans="1:29" ht="16" x14ac:dyDescent="0.2">
      <c r="A343" s="25"/>
      <c r="H343" t="str">
        <f>IFERROR(VLOOKUP(G343,FILAMENTI_DB!$A:$C,3,FALSE),"")</f>
        <v/>
      </c>
      <c r="I343" t="str">
        <f>IFERROR(VLOOKUP(G343,FILAMENTI_DB!$A:$E,4,FALSE),"")</f>
        <v/>
      </c>
      <c r="J343" s="26"/>
      <c r="K343" s="27"/>
      <c r="L343" s="27"/>
      <c r="M343" s="27">
        <f t="shared" si="32"/>
        <v>0</v>
      </c>
      <c r="N343" s="26">
        <f t="shared" si="33"/>
        <v>0</v>
      </c>
      <c r="O343" s="26"/>
      <c r="P343" s="26"/>
      <c r="Q343" s="23"/>
      <c r="R343" s="23">
        <f t="shared" si="34"/>
        <v>0</v>
      </c>
      <c r="S343" s="23"/>
      <c r="T343" s="23">
        <f t="shared" si="35"/>
        <v>0</v>
      </c>
      <c r="U343" s="28" t="str">
        <f t="shared" si="36"/>
        <v/>
      </c>
      <c r="V343" s="10" t="str">
        <f>IFERROR(N343*VLOOKUP(G343,FILAMENTI_DB!$A:$J,10,FALSE),"")</f>
        <v/>
      </c>
      <c r="W343" s="23" t="str">
        <f>IFERROR((VLOOKUP(F343,STAMPANTI_DB!$A:$C,3,FALSE)/1000)*O343*SETTINGS!$C$6,"")</f>
        <v/>
      </c>
      <c r="X343" s="23" t="str">
        <f>IFERROR(O343*VLOOKUP(F343,STAMPANTI_DB!$A:$I,9,FALSE),"")</f>
        <v/>
      </c>
      <c r="Y343" s="23">
        <f>IFERROR(P343*SETTINGS!$C$7,"")</f>
        <v>0</v>
      </c>
      <c r="Z343" s="23">
        <f>SETTINGS!$C$11</f>
        <v>0.5</v>
      </c>
      <c r="AA343" s="23">
        <f t="shared" si="37"/>
        <v>0.5</v>
      </c>
      <c r="AB343" s="23">
        <f>IFERROR(AA343*SETTINGS!$C$9,"")</f>
        <v>2.5000000000000001E-2</v>
      </c>
      <c r="AC343" s="23">
        <f>IFERROR((AA343+AB343)*SETTINGS!$C$10,"")</f>
        <v>2.6250000000000002E-2</v>
      </c>
    </row>
    <row r="344" spans="1:29" ht="16" x14ac:dyDescent="0.2">
      <c r="A344" s="25"/>
      <c r="H344" t="str">
        <f>IFERROR(VLOOKUP(G344,FILAMENTI_DB!$A:$C,3,FALSE),"")</f>
        <v/>
      </c>
      <c r="I344" t="str">
        <f>IFERROR(VLOOKUP(G344,FILAMENTI_DB!$A:$E,4,FALSE),"")</f>
        <v/>
      </c>
      <c r="J344" s="26"/>
      <c r="K344" s="27"/>
      <c r="L344" s="27"/>
      <c r="M344" s="27">
        <f t="shared" si="32"/>
        <v>0</v>
      </c>
      <c r="N344" s="26">
        <f t="shared" si="33"/>
        <v>0</v>
      </c>
      <c r="O344" s="26"/>
      <c r="P344" s="26"/>
      <c r="Q344" s="23"/>
      <c r="R344" s="23">
        <f t="shared" si="34"/>
        <v>0</v>
      </c>
      <c r="S344" s="23"/>
      <c r="T344" s="23">
        <f t="shared" si="35"/>
        <v>0</v>
      </c>
      <c r="U344" s="28" t="str">
        <f t="shared" si="36"/>
        <v/>
      </c>
      <c r="V344" s="10" t="str">
        <f>IFERROR(N344*VLOOKUP(G344,FILAMENTI_DB!$A:$J,10,FALSE),"")</f>
        <v/>
      </c>
      <c r="W344" s="23" t="str">
        <f>IFERROR((VLOOKUP(F344,STAMPANTI_DB!$A:$C,3,FALSE)/1000)*O344*SETTINGS!$C$6,"")</f>
        <v/>
      </c>
      <c r="X344" s="23" t="str">
        <f>IFERROR(O344*VLOOKUP(F344,STAMPANTI_DB!$A:$I,9,FALSE),"")</f>
        <v/>
      </c>
      <c r="Y344" s="23">
        <f>IFERROR(P344*SETTINGS!$C$7,"")</f>
        <v>0</v>
      </c>
      <c r="Z344" s="23">
        <f>SETTINGS!$C$11</f>
        <v>0.5</v>
      </c>
      <c r="AA344" s="23">
        <f t="shared" si="37"/>
        <v>0.5</v>
      </c>
      <c r="AB344" s="23">
        <f>IFERROR(AA344*SETTINGS!$C$9,"")</f>
        <v>2.5000000000000001E-2</v>
      </c>
      <c r="AC344" s="23">
        <f>IFERROR((AA344+AB344)*SETTINGS!$C$10,"")</f>
        <v>2.6250000000000002E-2</v>
      </c>
    </row>
    <row r="345" spans="1:29" ht="16" x14ac:dyDescent="0.2">
      <c r="A345" s="25"/>
      <c r="H345" t="str">
        <f>IFERROR(VLOOKUP(G345,FILAMENTI_DB!$A:$C,3,FALSE),"")</f>
        <v/>
      </c>
      <c r="I345" t="str">
        <f>IFERROR(VLOOKUP(G345,FILAMENTI_DB!$A:$E,4,FALSE),"")</f>
        <v/>
      </c>
      <c r="J345" s="26"/>
      <c r="K345" s="27"/>
      <c r="L345" s="27"/>
      <c r="M345" s="27">
        <f t="shared" si="32"/>
        <v>0</v>
      </c>
      <c r="N345" s="26">
        <f t="shared" si="33"/>
        <v>0</v>
      </c>
      <c r="O345" s="26"/>
      <c r="P345" s="26"/>
      <c r="Q345" s="23"/>
      <c r="R345" s="23">
        <f t="shared" si="34"/>
        <v>0</v>
      </c>
      <c r="S345" s="23"/>
      <c r="T345" s="23">
        <f t="shared" si="35"/>
        <v>0</v>
      </c>
      <c r="U345" s="28" t="str">
        <f t="shared" si="36"/>
        <v/>
      </c>
      <c r="V345" s="10" t="str">
        <f>IFERROR(N345*VLOOKUP(G345,FILAMENTI_DB!$A:$J,10,FALSE),"")</f>
        <v/>
      </c>
      <c r="W345" s="23" t="str">
        <f>IFERROR((VLOOKUP(F345,STAMPANTI_DB!$A:$C,3,FALSE)/1000)*O345*SETTINGS!$C$6,"")</f>
        <v/>
      </c>
      <c r="X345" s="23" t="str">
        <f>IFERROR(O345*VLOOKUP(F345,STAMPANTI_DB!$A:$I,9,FALSE),"")</f>
        <v/>
      </c>
      <c r="Y345" s="23">
        <f>IFERROR(P345*SETTINGS!$C$7,"")</f>
        <v>0</v>
      </c>
      <c r="Z345" s="23">
        <f>SETTINGS!$C$11</f>
        <v>0.5</v>
      </c>
      <c r="AA345" s="23">
        <f t="shared" si="37"/>
        <v>0.5</v>
      </c>
      <c r="AB345" s="23">
        <f>IFERROR(AA345*SETTINGS!$C$9,"")</f>
        <v>2.5000000000000001E-2</v>
      </c>
      <c r="AC345" s="23">
        <f>IFERROR((AA345+AB345)*SETTINGS!$C$10,"")</f>
        <v>2.6250000000000002E-2</v>
      </c>
    </row>
    <row r="346" spans="1:29" ht="16" x14ac:dyDescent="0.2">
      <c r="A346" s="25"/>
      <c r="H346" t="str">
        <f>IFERROR(VLOOKUP(G346,FILAMENTI_DB!$A:$C,3,FALSE),"")</f>
        <v/>
      </c>
      <c r="I346" t="str">
        <f>IFERROR(VLOOKUP(G346,FILAMENTI_DB!$A:$E,4,FALSE),"")</f>
        <v/>
      </c>
      <c r="J346" s="26"/>
      <c r="K346" s="27"/>
      <c r="L346" s="27"/>
      <c r="M346" s="27">
        <f t="shared" si="32"/>
        <v>0</v>
      </c>
      <c r="N346" s="26">
        <f t="shared" si="33"/>
        <v>0</v>
      </c>
      <c r="O346" s="26"/>
      <c r="P346" s="26"/>
      <c r="Q346" s="23"/>
      <c r="R346" s="23">
        <f t="shared" si="34"/>
        <v>0</v>
      </c>
      <c r="S346" s="23"/>
      <c r="T346" s="23">
        <f t="shared" si="35"/>
        <v>0</v>
      </c>
      <c r="U346" s="28" t="str">
        <f t="shared" si="36"/>
        <v/>
      </c>
      <c r="V346" s="10" t="str">
        <f>IFERROR(N346*VLOOKUP(G346,FILAMENTI_DB!$A:$J,10,FALSE),"")</f>
        <v/>
      </c>
      <c r="W346" s="23" t="str">
        <f>IFERROR((VLOOKUP(F346,STAMPANTI_DB!$A:$C,3,FALSE)/1000)*O346*SETTINGS!$C$6,"")</f>
        <v/>
      </c>
      <c r="X346" s="23" t="str">
        <f>IFERROR(O346*VLOOKUP(F346,STAMPANTI_DB!$A:$I,9,FALSE),"")</f>
        <v/>
      </c>
      <c r="Y346" s="23">
        <f>IFERROR(P346*SETTINGS!$C$7,"")</f>
        <v>0</v>
      </c>
      <c r="Z346" s="23">
        <f>SETTINGS!$C$11</f>
        <v>0.5</v>
      </c>
      <c r="AA346" s="23">
        <f t="shared" si="37"/>
        <v>0.5</v>
      </c>
      <c r="AB346" s="23">
        <f>IFERROR(AA346*SETTINGS!$C$9,"")</f>
        <v>2.5000000000000001E-2</v>
      </c>
      <c r="AC346" s="23">
        <f>IFERROR((AA346+AB346)*SETTINGS!$C$10,"")</f>
        <v>2.6250000000000002E-2</v>
      </c>
    </row>
    <row r="347" spans="1:29" ht="16" x14ac:dyDescent="0.2">
      <c r="A347" s="25"/>
      <c r="H347" t="str">
        <f>IFERROR(VLOOKUP(G347,FILAMENTI_DB!$A:$C,3,FALSE),"")</f>
        <v/>
      </c>
      <c r="I347" t="str">
        <f>IFERROR(VLOOKUP(G347,FILAMENTI_DB!$A:$E,4,FALSE),"")</f>
        <v/>
      </c>
      <c r="J347" s="26"/>
      <c r="K347" s="27"/>
      <c r="L347" s="27"/>
      <c r="M347" s="27">
        <f t="shared" si="32"/>
        <v>0</v>
      </c>
      <c r="N347" s="26">
        <f t="shared" si="33"/>
        <v>0</v>
      </c>
      <c r="O347" s="26"/>
      <c r="P347" s="26"/>
      <c r="Q347" s="23"/>
      <c r="R347" s="23">
        <f t="shared" si="34"/>
        <v>0</v>
      </c>
      <c r="S347" s="23"/>
      <c r="T347" s="23">
        <f t="shared" si="35"/>
        <v>0</v>
      </c>
      <c r="U347" s="28" t="str">
        <f t="shared" si="36"/>
        <v/>
      </c>
      <c r="V347" s="10" t="str">
        <f>IFERROR(N347*VLOOKUP(G347,FILAMENTI_DB!$A:$J,10,FALSE),"")</f>
        <v/>
      </c>
      <c r="W347" s="23" t="str">
        <f>IFERROR((VLOOKUP(F347,STAMPANTI_DB!$A:$C,3,FALSE)/1000)*O347*SETTINGS!$C$6,"")</f>
        <v/>
      </c>
      <c r="X347" s="23" t="str">
        <f>IFERROR(O347*VLOOKUP(F347,STAMPANTI_DB!$A:$I,9,FALSE),"")</f>
        <v/>
      </c>
      <c r="Y347" s="23">
        <f>IFERROR(P347*SETTINGS!$C$7,"")</f>
        <v>0</v>
      </c>
      <c r="Z347" s="23">
        <f>SETTINGS!$C$11</f>
        <v>0.5</v>
      </c>
      <c r="AA347" s="23">
        <f t="shared" si="37"/>
        <v>0.5</v>
      </c>
      <c r="AB347" s="23">
        <f>IFERROR(AA347*SETTINGS!$C$9,"")</f>
        <v>2.5000000000000001E-2</v>
      </c>
      <c r="AC347" s="23">
        <f>IFERROR((AA347+AB347)*SETTINGS!$C$10,"")</f>
        <v>2.6250000000000002E-2</v>
      </c>
    </row>
    <row r="348" spans="1:29" ht="16" x14ac:dyDescent="0.2">
      <c r="A348" s="25"/>
      <c r="H348" t="str">
        <f>IFERROR(VLOOKUP(G348,FILAMENTI_DB!$A:$C,3,FALSE),"")</f>
        <v/>
      </c>
      <c r="I348" t="str">
        <f>IFERROR(VLOOKUP(G348,FILAMENTI_DB!$A:$E,4,FALSE),"")</f>
        <v/>
      </c>
      <c r="J348" s="26"/>
      <c r="K348" s="27"/>
      <c r="L348" s="27"/>
      <c r="M348" s="27">
        <f t="shared" si="32"/>
        <v>0</v>
      </c>
      <c r="N348" s="26">
        <f t="shared" si="33"/>
        <v>0</v>
      </c>
      <c r="O348" s="26"/>
      <c r="P348" s="26"/>
      <c r="Q348" s="23"/>
      <c r="R348" s="23">
        <f t="shared" si="34"/>
        <v>0</v>
      </c>
      <c r="S348" s="23"/>
      <c r="T348" s="23">
        <f t="shared" si="35"/>
        <v>0</v>
      </c>
      <c r="U348" s="28" t="str">
        <f t="shared" si="36"/>
        <v/>
      </c>
      <c r="V348" s="10" t="str">
        <f>IFERROR(N348*VLOOKUP(G348,FILAMENTI_DB!$A:$J,10,FALSE),"")</f>
        <v/>
      </c>
      <c r="W348" s="23" t="str">
        <f>IFERROR((VLOOKUP(F348,STAMPANTI_DB!$A:$C,3,FALSE)/1000)*O348*SETTINGS!$C$6,"")</f>
        <v/>
      </c>
      <c r="X348" s="23" t="str">
        <f>IFERROR(O348*VLOOKUP(F348,STAMPANTI_DB!$A:$I,9,FALSE),"")</f>
        <v/>
      </c>
      <c r="Y348" s="23">
        <f>IFERROR(P348*SETTINGS!$C$7,"")</f>
        <v>0</v>
      </c>
      <c r="Z348" s="23">
        <f>SETTINGS!$C$11</f>
        <v>0.5</v>
      </c>
      <c r="AA348" s="23">
        <f t="shared" si="37"/>
        <v>0.5</v>
      </c>
      <c r="AB348" s="23">
        <f>IFERROR(AA348*SETTINGS!$C$9,"")</f>
        <v>2.5000000000000001E-2</v>
      </c>
      <c r="AC348" s="23">
        <f>IFERROR((AA348+AB348)*SETTINGS!$C$10,"")</f>
        <v>2.6250000000000002E-2</v>
      </c>
    </row>
    <row r="349" spans="1:29" ht="16" x14ac:dyDescent="0.2">
      <c r="A349" s="25"/>
      <c r="H349" t="str">
        <f>IFERROR(VLOOKUP(G349,FILAMENTI_DB!$A:$C,3,FALSE),"")</f>
        <v/>
      </c>
      <c r="I349" t="str">
        <f>IFERROR(VLOOKUP(G349,FILAMENTI_DB!$A:$E,4,FALSE),"")</f>
        <v/>
      </c>
      <c r="J349" s="26"/>
      <c r="K349" s="27"/>
      <c r="L349" s="27"/>
      <c r="M349" s="27">
        <f t="shared" si="32"/>
        <v>0</v>
      </c>
      <c r="N349" s="26">
        <f t="shared" si="33"/>
        <v>0</v>
      </c>
      <c r="O349" s="26"/>
      <c r="P349" s="26"/>
      <c r="Q349" s="23"/>
      <c r="R349" s="23">
        <f t="shared" si="34"/>
        <v>0</v>
      </c>
      <c r="S349" s="23"/>
      <c r="T349" s="23">
        <f t="shared" si="35"/>
        <v>0</v>
      </c>
      <c r="U349" s="28" t="str">
        <f t="shared" si="36"/>
        <v/>
      </c>
      <c r="V349" s="10" t="str">
        <f>IFERROR(N349*VLOOKUP(G349,FILAMENTI_DB!$A:$J,10,FALSE),"")</f>
        <v/>
      </c>
      <c r="W349" s="23" t="str">
        <f>IFERROR((VLOOKUP(F349,STAMPANTI_DB!$A:$C,3,FALSE)/1000)*O349*SETTINGS!$C$6,"")</f>
        <v/>
      </c>
      <c r="X349" s="23" t="str">
        <f>IFERROR(O349*VLOOKUP(F349,STAMPANTI_DB!$A:$I,9,FALSE),"")</f>
        <v/>
      </c>
      <c r="Y349" s="23">
        <f>IFERROR(P349*SETTINGS!$C$7,"")</f>
        <v>0</v>
      </c>
      <c r="Z349" s="23">
        <f>SETTINGS!$C$11</f>
        <v>0.5</v>
      </c>
      <c r="AA349" s="23">
        <f t="shared" si="37"/>
        <v>0.5</v>
      </c>
      <c r="AB349" s="23">
        <f>IFERROR(AA349*SETTINGS!$C$9,"")</f>
        <v>2.5000000000000001E-2</v>
      </c>
      <c r="AC349" s="23">
        <f>IFERROR((AA349+AB349)*SETTINGS!$C$10,"")</f>
        <v>2.6250000000000002E-2</v>
      </c>
    </row>
    <row r="350" spans="1:29" ht="16" x14ac:dyDescent="0.2">
      <c r="A350" s="25"/>
      <c r="H350" t="str">
        <f>IFERROR(VLOOKUP(G350,FILAMENTI_DB!$A:$C,3,FALSE),"")</f>
        <v/>
      </c>
      <c r="I350" t="str">
        <f>IFERROR(VLOOKUP(G350,FILAMENTI_DB!$A:$E,4,FALSE),"")</f>
        <v/>
      </c>
      <c r="J350" s="26"/>
      <c r="K350" s="27"/>
      <c r="L350" s="27"/>
      <c r="M350" s="27">
        <f t="shared" si="32"/>
        <v>0</v>
      </c>
      <c r="N350" s="26">
        <f t="shared" si="33"/>
        <v>0</v>
      </c>
      <c r="O350" s="26"/>
      <c r="P350" s="26"/>
      <c r="Q350" s="23"/>
      <c r="R350" s="23">
        <f t="shared" si="34"/>
        <v>0</v>
      </c>
      <c r="S350" s="23"/>
      <c r="T350" s="23">
        <f t="shared" si="35"/>
        <v>0</v>
      </c>
      <c r="U350" s="28" t="str">
        <f t="shared" si="36"/>
        <v/>
      </c>
      <c r="V350" s="10" t="str">
        <f>IFERROR(N350*VLOOKUP(G350,FILAMENTI_DB!$A:$J,10,FALSE),"")</f>
        <v/>
      </c>
      <c r="W350" s="23" t="str">
        <f>IFERROR((VLOOKUP(F350,STAMPANTI_DB!$A:$C,3,FALSE)/1000)*O350*SETTINGS!$C$6,"")</f>
        <v/>
      </c>
      <c r="X350" s="23" t="str">
        <f>IFERROR(O350*VLOOKUP(F350,STAMPANTI_DB!$A:$I,9,FALSE),"")</f>
        <v/>
      </c>
      <c r="Y350" s="23">
        <f>IFERROR(P350*SETTINGS!$C$7,"")</f>
        <v>0</v>
      </c>
      <c r="Z350" s="23">
        <f>SETTINGS!$C$11</f>
        <v>0.5</v>
      </c>
      <c r="AA350" s="23">
        <f t="shared" si="37"/>
        <v>0.5</v>
      </c>
      <c r="AB350" s="23">
        <f>IFERROR(AA350*SETTINGS!$C$9,"")</f>
        <v>2.5000000000000001E-2</v>
      </c>
      <c r="AC350" s="23">
        <f>IFERROR((AA350+AB350)*SETTINGS!$C$10,"")</f>
        <v>2.6250000000000002E-2</v>
      </c>
    </row>
    <row r="351" spans="1:29" ht="16" x14ac:dyDescent="0.2">
      <c r="A351" s="25"/>
      <c r="H351" t="str">
        <f>IFERROR(VLOOKUP(G351,FILAMENTI_DB!$A:$C,3,FALSE),"")</f>
        <v/>
      </c>
      <c r="I351" t="str">
        <f>IFERROR(VLOOKUP(G351,FILAMENTI_DB!$A:$E,4,FALSE),"")</f>
        <v/>
      </c>
      <c r="J351" s="26"/>
      <c r="K351" s="27"/>
      <c r="L351" s="27"/>
      <c r="M351" s="27">
        <f t="shared" si="32"/>
        <v>0</v>
      </c>
      <c r="N351" s="26">
        <f t="shared" si="33"/>
        <v>0</v>
      </c>
      <c r="O351" s="26"/>
      <c r="P351" s="26"/>
      <c r="Q351" s="23"/>
      <c r="R351" s="23">
        <f t="shared" si="34"/>
        <v>0</v>
      </c>
      <c r="S351" s="23"/>
      <c r="T351" s="23">
        <f t="shared" si="35"/>
        <v>0</v>
      </c>
      <c r="U351" s="28" t="str">
        <f t="shared" si="36"/>
        <v/>
      </c>
      <c r="V351" s="10" t="str">
        <f>IFERROR(N351*VLOOKUP(G351,FILAMENTI_DB!$A:$J,10,FALSE),"")</f>
        <v/>
      </c>
      <c r="W351" s="23" t="str">
        <f>IFERROR((VLOOKUP(F351,STAMPANTI_DB!$A:$C,3,FALSE)/1000)*O351*SETTINGS!$C$6,"")</f>
        <v/>
      </c>
      <c r="X351" s="23" t="str">
        <f>IFERROR(O351*VLOOKUP(F351,STAMPANTI_DB!$A:$I,9,FALSE),"")</f>
        <v/>
      </c>
      <c r="Y351" s="23">
        <f>IFERROR(P351*SETTINGS!$C$7,"")</f>
        <v>0</v>
      </c>
      <c r="Z351" s="23">
        <f>SETTINGS!$C$11</f>
        <v>0.5</v>
      </c>
      <c r="AA351" s="23">
        <f t="shared" si="37"/>
        <v>0.5</v>
      </c>
      <c r="AB351" s="23">
        <f>IFERROR(AA351*SETTINGS!$C$9,"")</f>
        <v>2.5000000000000001E-2</v>
      </c>
      <c r="AC351" s="23">
        <f>IFERROR((AA351+AB351)*SETTINGS!$C$10,"")</f>
        <v>2.6250000000000002E-2</v>
      </c>
    </row>
    <row r="352" spans="1:29" ht="16" x14ac:dyDescent="0.2">
      <c r="A352" s="25"/>
      <c r="H352" t="str">
        <f>IFERROR(VLOOKUP(G352,FILAMENTI_DB!$A:$C,3,FALSE),"")</f>
        <v/>
      </c>
      <c r="I352" t="str">
        <f>IFERROR(VLOOKUP(G352,FILAMENTI_DB!$A:$E,4,FALSE),"")</f>
        <v/>
      </c>
      <c r="J352" s="26"/>
      <c r="K352" s="27"/>
      <c r="L352" s="27"/>
      <c r="M352" s="27">
        <f t="shared" si="32"/>
        <v>0</v>
      </c>
      <c r="N352" s="26">
        <f t="shared" si="33"/>
        <v>0</v>
      </c>
      <c r="O352" s="26"/>
      <c r="P352" s="26"/>
      <c r="Q352" s="23"/>
      <c r="R352" s="23">
        <f t="shared" si="34"/>
        <v>0</v>
      </c>
      <c r="S352" s="23"/>
      <c r="T352" s="23">
        <f t="shared" si="35"/>
        <v>0</v>
      </c>
      <c r="U352" s="28" t="str">
        <f t="shared" si="36"/>
        <v/>
      </c>
      <c r="V352" s="10" t="str">
        <f>IFERROR(N352*VLOOKUP(G352,FILAMENTI_DB!$A:$J,10,FALSE),"")</f>
        <v/>
      </c>
      <c r="W352" s="23" t="str">
        <f>IFERROR((VLOOKUP(F352,STAMPANTI_DB!$A:$C,3,FALSE)/1000)*O352*SETTINGS!$C$6,"")</f>
        <v/>
      </c>
      <c r="X352" s="23" t="str">
        <f>IFERROR(O352*VLOOKUP(F352,STAMPANTI_DB!$A:$I,9,FALSE),"")</f>
        <v/>
      </c>
      <c r="Y352" s="23">
        <f>IFERROR(P352*SETTINGS!$C$7,"")</f>
        <v>0</v>
      </c>
      <c r="Z352" s="23">
        <f>SETTINGS!$C$11</f>
        <v>0.5</v>
      </c>
      <c r="AA352" s="23">
        <f t="shared" si="37"/>
        <v>0.5</v>
      </c>
      <c r="AB352" s="23">
        <f>IFERROR(AA352*SETTINGS!$C$9,"")</f>
        <v>2.5000000000000001E-2</v>
      </c>
      <c r="AC352" s="23">
        <f>IFERROR((AA352+AB352)*SETTINGS!$C$10,"")</f>
        <v>2.6250000000000002E-2</v>
      </c>
    </row>
    <row r="353" spans="1:29" ht="16" x14ac:dyDescent="0.2">
      <c r="A353" s="25"/>
      <c r="H353" t="str">
        <f>IFERROR(VLOOKUP(G353,FILAMENTI_DB!$A:$C,3,FALSE),"")</f>
        <v/>
      </c>
      <c r="I353" t="str">
        <f>IFERROR(VLOOKUP(G353,FILAMENTI_DB!$A:$E,4,FALSE),"")</f>
        <v/>
      </c>
      <c r="J353" s="26"/>
      <c r="K353" s="27"/>
      <c r="L353" s="27"/>
      <c r="M353" s="27">
        <f t="shared" si="32"/>
        <v>0</v>
      </c>
      <c r="N353" s="26">
        <f t="shared" si="33"/>
        <v>0</v>
      </c>
      <c r="O353" s="26"/>
      <c r="P353" s="26"/>
      <c r="Q353" s="23"/>
      <c r="R353" s="23">
        <f t="shared" si="34"/>
        <v>0</v>
      </c>
      <c r="S353" s="23"/>
      <c r="T353" s="23">
        <f t="shared" si="35"/>
        <v>0</v>
      </c>
      <c r="U353" s="28" t="str">
        <f t="shared" si="36"/>
        <v/>
      </c>
      <c r="V353" s="10" t="str">
        <f>IFERROR(N353*VLOOKUP(G353,FILAMENTI_DB!$A:$J,10,FALSE),"")</f>
        <v/>
      </c>
      <c r="W353" s="23" t="str">
        <f>IFERROR((VLOOKUP(F353,STAMPANTI_DB!$A:$C,3,FALSE)/1000)*O353*SETTINGS!$C$6,"")</f>
        <v/>
      </c>
      <c r="X353" s="23" t="str">
        <f>IFERROR(O353*VLOOKUP(F353,STAMPANTI_DB!$A:$I,9,FALSE),"")</f>
        <v/>
      </c>
      <c r="Y353" s="23">
        <f>IFERROR(P353*SETTINGS!$C$7,"")</f>
        <v>0</v>
      </c>
      <c r="Z353" s="23">
        <f>SETTINGS!$C$11</f>
        <v>0.5</v>
      </c>
      <c r="AA353" s="23">
        <f t="shared" si="37"/>
        <v>0.5</v>
      </c>
      <c r="AB353" s="23">
        <f>IFERROR(AA353*SETTINGS!$C$9,"")</f>
        <v>2.5000000000000001E-2</v>
      </c>
      <c r="AC353" s="23">
        <f>IFERROR((AA353+AB353)*SETTINGS!$C$10,"")</f>
        <v>2.6250000000000002E-2</v>
      </c>
    </row>
    <row r="354" spans="1:29" ht="16" x14ac:dyDescent="0.2">
      <c r="A354" s="25"/>
      <c r="H354" t="str">
        <f>IFERROR(VLOOKUP(G354,FILAMENTI_DB!$A:$C,3,FALSE),"")</f>
        <v/>
      </c>
      <c r="I354" t="str">
        <f>IFERROR(VLOOKUP(G354,FILAMENTI_DB!$A:$E,4,FALSE),"")</f>
        <v/>
      </c>
      <c r="J354" s="26"/>
      <c r="K354" s="27"/>
      <c r="L354" s="27"/>
      <c r="M354" s="27">
        <f t="shared" si="32"/>
        <v>0</v>
      </c>
      <c r="N354" s="26">
        <f t="shared" si="33"/>
        <v>0</v>
      </c>
      <c r="O354" s="26"/>
      <c r="P354" s="26"/>
      <c r="Q354" s="23"/>
      <c r="R354" s="23">
        <f t="shared" si="34"/>
        <v>0</v>
      </c>
      <c r="S354" s="23"/>
      <c r="T354" s="23">
        <f t="shared" si="35"/>
        <v>0</v>
      </c>
      <c r="U354" s="28" t="str">
        <f t="shared" si="36"/>
        <v/>
      </c>
      <c r="V354" s="10" t="str">
        <f>IFERROR(N354*VLOOKUP(G354,FILAMENTI_DB!$A:$J,10,FALSE),"")</f>
        <v/>
      </c>
      <c r="W354" s="23" t="str">
        <f>IFERROR((VLOOKUP(F354,STAMPANTI_DB!$A:$C,3,FALSE)/1000)*O354*SETTINGS!$C$6,"")</f>
        <v/>
      </c>
      <c r="X354" s="23" t="str">
        <f>IFERROR(O354*VLOOKUP(F354,STAMPANTI_DB!$A:$I,9,FALSE),"")</f>
        <v/>
      </c>
      <c r="Y354" s="23">
        <f>IFERROR(P354*SETTINGS!$C$7,"")</f>
        <v>0</v>
      </c>
      <c r="Z354" s="23">
        <f>SETTINGS!$C$11</f>
        <v>0.5</v>
      </c>
      <c r="AA354" s="23">
        <f t="shared" si="37"/>
        <v>0.5</v>
      </c>
      <c r="AB354" s="23">
        <f>IFERROR(AA354*SETTINGS!$C$9,"")</f>
        <v>2.5000000000000001E-2</v>
      </c>
      <c r="AC354" s="23">
        <f>IFERROR((AA354+AB354)*SETTINGS!$C$10,"")</f>
        <v>2.6250000000000002E-2</v>
      </c>
    </row>
    <row r="355" spans="1:29" ht="16" x14ac:dyDescent="0.2">
      <c r="A355" s="25"/>
      <c r="H355" t="str">
        <f>IFERROR(VLOOKUP(G355,FILAMENTI_DB!$A:$C,3,FALSE),"")</f>
        <v/>
      </c>
      <c r="I355" t="str">
        <f>IFERROR(VLOOKUP(G355,FILAMENTI_DB!$A:$E,4,FALSE),"")</f>
        <v/>
      </c>
      <c r="J355" s="26"/>
      <c r="K355" s="27"/>
      <c r="L355" s="27"/>
      <c r="M355" s="27">
        <f t="shared" si="32"/>
        <v>0</v>
      </c>
      <c r="N355" s="26">
        <f t="shared" si="33"/>
        <v>0</v>
      </c>
      <c r="O355" s="26"/>
      <c r="P355" s="26"/>
      <c r="Q355" s="23"/>
      <c r="R355" s="23">
        <f t="shared" si="34"/>
        <v>0</v>
      </c>
      <c r="S355" s="23"/>
      <c r="T355" s="23">
        <f t="shared" si="35"/>
        <v>0</v>
      </c>
      <c r="U355" s="28" t="str">
        <f t="shared" si="36"/>
        <v/>
      </c>
      <c r="V355" s="10" t="str">
        <f>IFERROR(N355*VLOOKUP(G355,FILAMENTI_DB!$A:$J,10,FALSE),"")</f>
        <v/>
      </c>
      <c r="W355" s="23" t="str">
        <f>IFERROR((VLOOKUP(F355,STAMPANTI_DB!$A:$C,3,FALSE)/1000)*O355*SETTINGS!$C$6,"")</f>
        <v/>
      </c>
      <c r="X355" s="23" t="str">
        <f>IFERROR(O355*VLOOKUP(F355,STAMPANTI_DB!$A:$I,9,FALSE),"")</f>
        <v/>
      </c>
      <c r="Y355" s="23">
        <f>IFERROR(P355*SETTINGS!$C$7,"")</f>
        <v>0</v>
      </c>
      <c r="Z355" s="23">
        <f>SETTINGS!$C$11</f>
        <v>0.5</v>
      </c>
      <c r="AA355" s="23">
        <f t="shared" si="37"/>
        <v>0.5</v>
      </c>
      <c r="AB355" s="23">
        <f>IFERROR(AA355*SETTINGS!$C$9,"")</f>
        <v>2.5000000000000001E-2</v>
      </c>
      <c r="AC355" s="23">
        <f>IFERROR((AA355+AB355)*SETTINGS!$C$10,"")</f>
        <v>2.6250000000000002E-2</v>
      </c>
    </row>
    <row r="356" spans="1:29" ht="16" x14ac:dyDescent="0.2">
      <c r="A356" s="25"/>
      <c r="H356" t="str">
        <f>IFERROR(VLOOKUP(G356,FILAMENTI_DB!$A:$C,3,FALSE),"")</f>
        <v/>
      </c>
      <c r="I356" t="str">
        <f>IFERROR(VLOOKUP(G356,FILAMENTI_DB!$A:$E,4,FALSE),"")</f>
        <v/>
      </c>
      <c r="J356" s="26"/>
      <c r="K356" s="27"/>
      <c r="L356" s="27"/>
      <c r="M356" s="27">
        <f t="shared" si="32"/>
        <v>0</v>
      </c>
      <c r="N356" s="26">
        <f t="shared" si="33"/>
        <v>0</v>
      </c>
      <c r="O356" s="26"/>
      <c r="P356" s="26"/>
      <c r="Q356" s="23"/>
      <c r="R356" s="23">
        <f t="shared" si="34"/>
        <v>0</v>
      </c>
      <c r="S356" s="23"/>
      <c r="T356" s="23">
        <f t="shared" si="35"/>
        <v>0</v>
      </c>
      <c r="U356" s="28" t="str">
        <f t="shared" si="36"/>
        <v/>
      </c>
      <c r="V356" s="10" t="str">
        <f>IFERROR(N356*VLOOKUP(G356,FILAMENTI_DB!$A:$J,10,FALSE),"")</f>
        <v/>
      </c>
      <c r="W356" s="23" t="str">
        <f>IFERROR((VLOOKUP(F356,STAMPANTI_DB!$A:$C,3,FALSE)/1000)*O356*SETTINGS!$C$6,"")</f>
        <v/>
      </c>
      <c r="X356" s="23" t="str">
        <f>IFERROR(O356*VLOOKUP(F356,STAMPANTI_DB!$A:$I,9,FALSE),"")</f>
        <v/>
      </c>
      <c r="Y356" s="23">
        <f>IFERROR(P356*SETTINGS!$C$7,"")</f>
        <v>0</v>
      </c>
      <c r="Z356" s="23">
        <f>SETTINGS!$C$11</f>
        <v>0.5</v>
      </c>
      <c r="AA356" s="23">
        <f t="shared" si="37"/>
        <v>0.5</v>
      </c>
      <c r="AB356" s="23">
        <f>IFERROR(AA356*SETTINGS!$C$9,"")</f>
        <v>2.5000000000000001E-2</v>
      </c>
      <c r="AC356" s="23">
        <f>IFERROR((AA356+AB356)*SETTINGS!$C$10,"")</f>
        <v>2.6250000000000002E-2</v>
      </c>
    </row>
    <row r="357" spans="1:29" ht="16" x14ac:dyDescent="0.2">
      <c r="A357" s="25"/>
      <c r="H357" t="str">
        <f>IFERROR(VLOOKUP(G357,FILAMENTI_DB!$A:$C,3,FALSE),"")</f>
        <v/>
      </c>
      <c r="I357" t="str">
        <f>IFERROR(VLOOKUP(G357,FILAMENTI_DB!$A:$E,4,FALSE),"")</f>
        <v/>
      </c>
      <c r="J357" s="26"/>
      <c r="K357" s="27"/>
      <c r="L357" s="27"/>
      <c r="M357" s="27">
        <f t="shared" si="32"/>
        <v>0</v>
      </c>
      <c r="N357" s="26">
        <f t="shared" si="33"/>
        <v>0</v>
      </c>
      <c r="O357" s="26"/>
      <c r="P357" s="26"/>
      <c r="Q357" s="23"/>
      <c r="R357" s="23">
        <f t="shared" si="34"/>
        <v>0</v>
      </c>
      <c r="S357" s="23"/>
      <c r="T357" s="23">
        <f t="shared" si="35"/>
        <v>0</v>
      </c>
      <c r="U357" s="28" t="str">
        <f t="shared" si="36"/>
        <v/>
      </c>
      <c r="V357" s="10" t="str">
        <f>IFERROR(N357*VLOOKUP(G357,FILAMENTI_DB!$A:$J,10,FALSE),"")</f>
        <v/>
      </c>
      <c r="W357" s="23" t="str">
        <f>IFERROR((VLOOKUP(F357,STAMPANTI_DB!$A:$C,3,FALSE)/1000)*O357*SETTINGS!$C$6,"")</f>
        <v/>
      </c>
      <c r="X357" s="23" t="str">
        <f>IFERROR(O357*VLOOKUP(F357,STAMPANTI_DB!$A:$I,9,FALSE),"")</f>
        <v/>
      </c>
      <c r="Y357" s="23">
        <f>IFERROR(P357*SETTINGS!$C$7,"")</f>
        <v>0</v>
      </c>
      <c r="Z357" s="23">
        <f>SETTINGS!$C$11</f>
        <v>0.5</v>
      </c>
      <c r="AA357" s="23">
        <f t="shared" si="37"/>
        <v>0.5</v>
      </c>
      <c r="AB357" s="23">
        <f>IFERROR(AA357*SETTINGS!$C$9,"")</f>
        <v>2.5000000000000001E-2</v>
      </c>
      <c r="AC357" s="23">
        <f>IFERROR((AA357+AB357)*SETTINGS!$C$10,"")</f>
        <v>2.6250000000000002E-2</v>
      </c>
    </row>
    <row r="358" spans="1:29" ht="16" x14ac:dyDescent="0.2">
      <c r="A358" s="25"/>
      <c r="H358" t="str">
        <f>IFERROR(VLOOKUP(G358,FILAMENTI_DB!$A:$C,3,FALSE),"")</f>
        <v/>
      </c>
      <c r="I358" t="str">
        <f>IFERROR(VLOOKUP(G358,FILAMENTI_DB!$A:$E,4,FALSE),"")</f>
        <v/>
      </c>
      <c r="J358" s="26"/>
      <c r="K358" s="27"/>
      <c r="L358" s="27"/>
      <c r="M358" s="27">
        <f t="shared" si="32"/>
        <v>0</v>
      </c>
      <c r="N358" s="26">
        <f t="shared" si="33"/>
        <v>0</v>
      </c>
      <c r="O358" s="26"/>
      <c r="P358" s="26"/>
      <c r="Q358" s="23"/>
      <c r="R358" s="23">
        <f t="shared" si="34"/>
        <v>0</v>
      </c>
      <c r="S358" s="23"/>
      <c r="T358" s="23">
        <f t="shared" si="35"/>
        <v>0</v>
      </c>
      <c r="U358" s="28" t="str">
        <f t="shared" si="36"/>
        <v/>
      </c>
      <c r="V358" s="10" t="str">
        <f>IFERROR(N358*VLOOKUP(G358,FILAMENTI_DB!$A:$J,10,FALSE),"")</f>
        <v/>
      </c>
      <c r="W358" s="23" t="str">
        <f>IFERROR((VLOOKUP(F358,STAMPANTI_DB!$A:$C,3,FALSE)/1000)*O358*SETTINGS!$C$6,"")</f>
        <v/>
      </c>
      <c r="X358" s="23" t="str">
        <f>IFERROR(O358*VLOOKUP(F358,STAMPANTI_DB!$A:$I,9,FALSE),"")</f>
        <v/>
      </c>
      <c r="Y358" s="23">
        <f>IFERROR(P358*SETTINGS!$C$7,"")</f>
        <v>0</v>
      </c>
      <c r="Z358" s="23">
        <f>SETTINGS!$C$11</f>
        <v>0.5</v>
      </c>
      <c r="AA358" s="23">
        <f t="shared" si="37"/>
        <v>0.5</v>
      </c>
      <c r="AB358" s="23">
        <f>IFERROR(AA358*SETTINGS!$C$9,"")</f>
        <v>2.5000000000000001E-2</v>
      </c>
      <c r="AC358" s="23">
        <f>IFERROR((AA358+AB358)*SETTINGS!$C$10,"")</f>
        <v>2.6250000000000002E-2</v>
      </c>
    </row>
    <row r="359" spans="1:29" ht="16" x14ac:dyDescent="0.2">
      <c r="A359" s="25"/>
      <c r="H359" t="str">
        <f>IFERROR(VLOOKUP(G359,FILAMENTI_DB!$A:$C,3,FALSE),"")</f>
        <v/>
      </c>
      <c r="I359" t="str">
        <f>IFERROR(VLOOKUP(G359,FILAMENTI_DB!$A:$E,4,FALSE),"")</f>
        <v/>
      </c>
      <c r="J359" s="26"/>
      <c r="K359" s="27"/>
      <c r="L359" s="27"/>
      <c r="M359" s="27">
        <f t="shared" si="32"/>
        <v>0</v>
      </c>
      <c r="N359" s="26">
        <f t="shared" si="33"/>
        <v>0</v>
      </c>
      <c r="O359" s="26"/>
      <c r="P359" s="26"/>
      <c r="Q359" s="23"/>
      <c r="R359" s="23">
        <f t="shared" si="34"/>
        <v>0</v>
      </c>
      <c r="S359" s="23"/>
      <c r="T359" s="23">
        <f t="shared" si="35"/>
        <v>0</v>
      </c>
      <c r="U359" s="28" t="str">
        <f t="shared" si="36"/>
        <v/>
      </c>
      <c r="V359" s="10" t="str">
        <f>IFERROR(N359*VLOOKUP(G359,FILAMENTI_DB!$A:$J,10,FALSE),"")</f>
        <v/>
      </c>
      <c r="W359" s="23" t="str">
        <f>IFERROR((VLOOKUP(F359,STAMPANTI_DB!$A:$C,3,FALSE)/1000)*O359*SETTINGS!$C$6,"")</f>
        <v/>
      </c>
      <c r="X359" s="23" t="str">
        <f>IFERROR(O359*VLOOKUP(F359,STAMPANTI_DB!$A:$I,9,FALSE),"")</f>
        <v/>
      </c>
      <c r="Y359" s="23">
        <f>IFERROR(P359*SETTINGS!$C$7,"")</f>
        <v>0</v>
      </c>
      <c r="Z359" s="23">
        <f>SETTINGS!$C$11</f>
        <v>0.5</v>
      </c>
      <c r="AA359" s="23">
        <f t="shared" si="37"/>
        <v>0.5</v>
      </c>
      <c r="AB359" s="23">
        <f>IFERROR(AA359*SETTINGS!$C$9,"")</f>
        <v>2.5000000000000001E-2</v>
      </c>
      <c r="AC359" s="23">
        <f>IFERROR((AA359+AB359)*SETTINGS!$C$10,"")</f>
        <v>2.6250000000000002E-2</v>
      </c>
    </row>
    <row r="360" spans="1:29" ht="16" x14ac:dyDescent="0.2">
      <c r="A360" s="25"/>
      <c r="H360" t="str">
        <f>IFERROR(VLOOKUP(G360,FILAMENTI_DB!$A:$C,3,FALSE),"")</f>
        <v/>
      </c>
      <c r="I360" t="str">
        <f>IFERROR(VLOOKUP(G360,FILAMENTI_DB!$A:$E,4,FALSE),"")</f>
        <v/>
      </c>
      <c r="J360" s="26"/>
      <c r="K360" s="27"/>
      <c r="L360" s="27"/>
      <c r="M360" s="27">
        <f t="shared" si="32"/>
        <v>0</v>
      </c>
      <c r="N360" s="26">
        <f t="shared" si="33"/>
        <v>0</v>
      </c>
      <c r="O360" s="26"/>
      <c r="P360" s="26"/>
      <c r="Q360" s="23"/>
      <c r="R360" s="23">
        <f t="shared" si="34"/>
        <v>0</v>
      </c>
      <c r="S360" s="23"/>
      <c r="T360" s="23">
        <f t="shared" si="35"/>
        <v>0</v>
      </c>
      <c r="U360" s="28" t="str">
        <f t="shared" si="36"/>
        <v/>
      </c>
      <c r="V360" s="10" t="str">
        <f>IFERROR(N360*VLOOKUP(G360,FILAMENTI_DB!$A:$J,10,FALSE),"")</f>
        <v/>
      </c>
      <c r="W360" s="23" t="str">
        <f>IFERROR((VLOOKUP(F360,STAMPANTI_DB!$A:$C,3,FALSE)/1000)*O360*SETTINGS!$C$6,"")</f>
        <v/>
      </c>
      <c r="X360" s="23" t="str">
        <f>IFERROR(O360*VLOOKUP(F360,STAMPANTI_DB!$A:$I,9,FALSE),"")</f>
        <v/>
      </c>
      <c r="Y360" s="23">
        <f>IFERROR(P360*SETTINGS!$C$7,"")</f>
        <v>0</v>
      </c>
      <c r="Z360" s="23">
        <f>SETTINGS!$C$11</f>
        <v>0.5</v>
      </c>
      <c r="AA360" s="23">
        <f t="shared" si="37"/>
        <v>0.5</v>
      </c>
      <c r="AB360" s="23">
        <f>IFERROR(AA360*SETTINGS!$C$9,"")</f>
        <v>2.5000000000000001E-2</v>
      </c>
      <c r="AC360" s="23">
        <f>IFERROR((AA360+AB360)*SETTINGS!$C$10,"")</f>
        <v>2.6250000000000002E-2</v>
      </c>
    </row>
    <row r="361" spans="1:29" ht="16" x14ac:dyDescent="0.2">
      <c r="A361" s="25"/>
      <c r="H361" t="str">
        <f>IFERROR(VLOOKUP(G361,FILAMENTI_DB!$A:$C,3,FALSE),"")</f>
        <v/>
      </c>
      <c r="I361" t="str">
        <f>IFERROR(VLOOKUP(G361,FILAMENTI_DB!$A:$E,4,FALSE),"")</f>
        <v/>
      </c>
      <c r="J361" s="26"/>
      <c r="K361" s="27"/>
      <c r="L361" s="27"/>
      <c r="M361" s="27">
        <f t="shared" si="32"/>
        <v>0</v>
      </c>
      <c r="N361" s="26">
        <f t="shared" si="33"/>
        <v>0</v>
      </c>
      <c r="O361" s="26"/>
      <c r="P361" s="26"/>
      <c r="Q361" s="23"/>
      <c r="R361" s="23">
        <f t="shared" si="34"/>
        <v>0</v>
      </c>
      <c r="S361" s="23"/>
      <c r="T361" s="23">
        <f t="shared" si="35"/>
        <v>0</v>
      </c>
      <c r="U361" s="28" t="str">
        <f t="shared" si="36"/>
        <v/>
      </c>
      <c r="V361" s="10" t="str">
        <f>IFERROR(N361*VLOOKUP(G361,FILAMENTI_DB!$A:$J,10,FALSE),"")</f>
        <v/>
      </c>
      <c r="W361" s="23" t="str">
        <f>IFERROR((VLOOKUP(F361,STAMPANTI_DB!$A:$C,3,FALSE)/1000)*O361*SETTINGS!$C$6,"")</f>
        <v/>
      </c>
      <c r="X361" s="23" t="str">
        <f>IFERROR(O361*VLOOKUP(F361,STAMPANTI_DB!$A:$I,9,FALSE),"")</f>
        <v/>
      </c>
      <c r="Y361" s="23">
        <f>IFERROR(P361*SETTINGS!$C$7,"")</f>
        <v>0</v>
      </c>
      <c r="Z361" s="23">
        <f>SETTINGS!$C$11</f>
        <v>0.5</v>
      </c>
      <c r="AA361" s="23">
        <f t="shared" si="37"/>
        <v>0.5</v>
      </c>
      <c r="AB361" s="23">
        <f>IFERROR(AA361*SETTINGS!$C$9,"")</f>
        <v>2.5000000000000001E-2</v>
      </c>
      <c r="AC361" s="23">
        <f>IFERROR((AA361+AB361)*SETTINGS!$C$10,"")</f>
        <v>2.6250000000000002E-2</v>
      </c>
    </row>
    <row r="362" spans="1:29" ht="16" x14ac:dyDescent="0.2">
      <c r="A362" s="25"/>
      <c r="H362" t="str">
        <f>IFERROR(VLOOKUP(G362,FILAMENTI_DB!$A:$C,3,FALSE),"")</f>
        <v/>
      </c>
      <c r="I362" t="str">
        <f>IFERROR(VLOOKUP(G362,FILAMENTI_DB!$A:$E,4,FALSE),"")</f>
        <v/>
      </c>
      <c r="J362" s="26"/>
      <c r="K362" s="27"/>
      <c r="L362" s="27"/>
      <c r="M362" s="27">
        <f t="shared" si="32"/>
        <v>0</v>
      </c>
      <c r="N362" s="26">
        <f t="shared" si="33"/>
        <v>0</v>
      </c>
      <c r="O362" s="26"/>
      <c r="P362" s="26"/>
      <c r="Q362" s="23"/>
      <c r="R362" s="23">
        <f t="shared" si="34"/>
        <v>0</v>
      </c>
      <c r="S362" s="23"/>
      <c r="T362" s="23">
        <f t="shared" si="35"/>
        <v>0</v>
      </c>
      <c r="U362" s="28" t="str">
        <f t="shared" si="36"/>
        <v/>
      </c>
      <c r="V362" s="10" t="str">
        <f>IFERROR(N362*VLOOKUP(G362,FILAMENTI_DB!$A:$J,10,FALSE),"")</f>
        <v/>
      </c>
      <c r="W362" s="23" t="str">
        <f>IFERROR((VLOOKUP(F362,STAMPANTI_DB!$A:$C,3,FALSE)/1000)*O362*SETTINGS!$C$6,"")</f>
        <v/>
      </c>
      <c r="X362" s="23" t="str">
        <f>IFERROR(O362*VLOOKUP(F362,STAMPANTI_DB!$A:$I,9,FALSE),"")</f>
        <v/>
      </c>
      <c r="Y362" s="23">
        <f>IFERROR(P362*SETTINGS!$C$7,"")</f>
        <v>0</v>
      </c>
      <c r="Z362" s="23">
        <f>SETTINGS!$C$11</f>
        <v>0.5</v>
      </c>
      <c r="AA362" s="23">
        <f t="shared" si="37"/>
        <v>0.5</v>
      </c>
      <c r="AB362" s="23">
        <f>IFERROR(AA362*SETTINGS!$C$9,"")</f>
        <v>2.5000000000000001E-2</v>
      </c>
      <c r="AC362" s="23">
        <f>IFERROR((AA362+AB362)*SETTINGS!$C$10,"")</f>
        <v>2.6250000000000002E-2</v>
      </c>
    </row>
    <row r="363" spans="1:29" ht="16" x14ac:dyDescent="0.2">
      <c r="A363" s="25"/>
      <c r="H363" t="str">
        <f>IFERROR(VLOOKUP(G363,FILAMENTI_DB!$A:$C,3,FALSE),"")</f>
        <v/>
      </c>
      <c r="I363" t="str">
        <f>IFERROR(VLOOKUP(G363,FILAMENTI_DB!$A:$E,4,FALSE),"")</f>
        <v/>
      </c>
      <c r="J363" s="26"/>
      <c r="K363" s="27"/>
      <c r="L363" s="27"/>
      <c r="M363" s="27">
        <f t="shared" si="32"/>
        <v>0</v>
      </c>
      <c r="N363" s="26">
        <f t="shared" si="33"/>
        <v>0</v>
      </c>
      <c r="O363" s="26"/>
      <c r="P363" s="26"/>
      <c r="Q363" s="23"/>
      <c r="R363" s="23">
        <f t="shared" si="34"/>
        <v>0</v>
      </c>
      <c r="S363" s="23"/>
      <c r="T363" s="23">
        <f t="shared" si="35"/>
        <v>0</v>
      </c>
      <c r="U363" s="28" t="str">
        <f t="shared" si="36"/>
        <v/>
      </c>
      <c r="V363" s="10" t="str">
        <f>IFERROR(N363*VLOOKUP(G363,FILAMENTI_DB!$A:$J,10,FALSE),"")</f>
        <v/>
      </c>
      <c r="W363" s="23" t="str">
        <f>IFERROR((VLOOKUP(F363,STAMPANTI_DB!$A:$C,3,FALSE)/1000)*O363*SETTINGS!$C$6,"")</f>
        <v/>
      </c>
      <c r="X363" s="23" t="str">
        <f>IFERROR(O363*VLOOKUP(F363,STAMPANTI_DB!$A:$I,9,FALSE),"")</f>
        <v/>
      </c>
      <c r="Y363" s="23">
        <f>IFERROR(P363*SETTINGS!$C$7,"")</f>
        <v>0</v>
      </c>
      <c r="Z363" s="23">
        <f>SETTINGS!$C$11</f>
        <v>0.5</v>
      </c>
      <c r="AA363" s="23">
        <f t="shared" si="37"/>
        <v>0.5</v>
      </c>
      <c r="AB363" s="23">
        <f>IFERROR(AA363*SETTINGS!$C$9,"")</f>
        <v>2.5000000000000001E-2</v>
      </c>
      <c r="AC363" s="23">
        <f>IFERROR((AA363+AB363)*SETTINGS!$C$10,"")</f>
        <v>2.6250000000000002E-2</v>
      </c>
    </row>
    <row r="364" spans="1:29" ht="16" x14ac:dyDescent="0.2">
      <c r="A364" s="25"/>
      <c r="H364" t="str">
        <f>IFERROR(VLOOKUP(G364,FILAMENTI_DB!$A:$C,3,FALSE),"")</f>
        <v/>
      </c>
      <c r="I364" t="str">
        <f>IFERROR(VLOOKUP(G364,FILAMENTI_DB!$A:$E,4,FALSE),"")</f>
        <v/>
      </c>
      <c r="J364" s="26"/>
      <c r="K364" s="27"/>
      <c r="L364" s="27"/>
      <c r="M364" s="27">
        <f t="shared" si="32"/>
        <v>0</v>
      </c>
      <c r="N364" s="26">
        <f t="shared" si="33"/>
        <v>0</v>
      </c>
      <c r="O364" s="26"/>
      <c r="P364" s="26"/>
      <c r="Q364" s="23"/>
      <c r="R364" s="23">
        <f t="shared" si="34"/>
        <v>0</v>
      </c>
      <c r="S364" s="23"/>
      <c r="T364" s="23">
        <f t="shared" si="35"/>
        <v>0</v>
      </c>
      <c r="U364" s="28" t="str">
        <f t="shared" si="36"/>
        <v/>
      </c>
      <c r="V364" s="10" t="str">
        <f>IFERROR(N364*VLOOKUP(G364,FILAMENTI_DB!$A:$J,10,FALSE),"")</f>
        <v/>
      </c>
      <c r="W364" s="23" t="str">
        <f>IFERROR((VLOOKUP(F364,STAMPANTI_DB!$A:$C,3,FALSE)/1000)*O364*SETTINGS!$C$6,"")</f>
        <v/>
      </c>
      <c r="X364" s="23" t="str">
        <f>IFERROR(O364*VLOOKUP(F364,STAMPANTI_DB!$A:$I,9,FALSE),"")</f>
        <v/>
      </c>
      <c r="Y364" s="23">
        <f>IFERROR(P364*SETTINGS!$C$7,"")</f>
        <v>0</v>
      </c>
      <c r="Z364" s="23">
        <f>SETTINGS!$C$11</f>
        <v>0.5</v>
      </c>
      <c r="AA364" s="23">
        <f t="shared" si="37"/>
        <v>0.5</v>
      </c>
      <c r="AB364" s="23">
        <f>IFERROR(AA364*SETTINGS!$C$9,"")</f>
        <v>2.5000000000000001E-2</v>
      </c>
      <c r="AC364" s="23">
        <f>IFERROR((AA364+AB364)*SETTINGS!$C$10,"")</f>
        <v>2.6250000000000002E-2</v>
      </c>
    </row>
    <row r="365" spans="1:29" ht="16" x14ac:dyDescent="0.2">
      <c r="A365" s="25"/>
      <c r="H365" t="str">
        <f>IFERROR(VLOOKUP(G365,FILAMENTI_DB!$A:$C,3,FALSE),"")</f>
        <v/>
      </c>
      <c r="I365" t="str">
        <f>IFERROR(VLOOKUP(G365,FILAMENTI_DB!$A:$E,4,FALSE),"")</f>
        <v/>
      </c>
      <c r="J365" s="26"/>
      <c r="K365" s="27"/>
      <c r="L365" s="27"/>
      <c r="M365" s="27">
        <f t="shared" si="32"/>
        <v>0</v>
      </c>
      <c r="N365" s="26">
        <f t="shared" si="33"/>
        <v>0</v>
      </c>
      <c r="O365" s="26"/>
      <c r="P365" s="26"/>
      <c r="Q365" s="23"/>
      <c r="R365" s="23">
        <f t="shared" si="34"/>
        <v>0</v>
      </c>
      <c r="S365" s="23"/>
      <c r="T365" s="23">
        <f t="shared" si="35"/>
        <v>0</v>
      </c>
      <c r="U365" s="28" t="str">
        <f t="shared" si="36"/>
        <v/>
      </c>
      <c r="V365" s="10" t="str">
        <f>IFERROR(N365*VLOOKUP(G365,FILAMENTI_DB!$A:$J,10,FALSE),"")</f>
        <v/>
      </c>
      <c r="W365" s="23" t="str">
        <f>IFERROR((VLOOKUP(F365,STAMPANTI_DB!$A:$C,3,FALSE)/1000)*O365*SETTINGS!$C$6,"")</f>
        <v/>
      </c>
      <c r="X365" s="23" t="str">
        <f>IFERROR(O365*VLOOKUP(F365,STAMPANTI_DB!$A:$I,9,FALSE),"")</f>
        <v/>
      </c>
      <c r="Y365" s="23">
        <f>IFERROR(P365*SETTINGS!$C$7,"")</f>
        <v>0</v>
      </c>
      <c r="Z365" s="23">
        <f>SETTINGS!$C$11</f>
        <v>0.5</v>
      </c>
      <c r="AA365" s="23">
        <f t="shared" si="37"/>
        <v>0.5</v>
      </c>
      <c r="AB365" s="23">
        <f>IFERROR(AA365*SETTINGS!$C$9,"")</f>
        <v>2.5000000000000001E-2</v>
      </c>
      <c r="AC365" s="23">
        <f>IFERROR((AA365+AB365)*SETTINGS!$C$10,"")</f>
        <v>2.6250000000000002E-2</v>
      </c>
    </row>
    <row r="366" spans="1:29" ht="16" x14ac:dyDescent="0.2">
      <c r="A366" s="25"/>
      <c r="H366" t="str">
        <f>IFERROR(VLOOKUP(G366,FILAMENTI_DB!$A:$C,3,FALSE),"")</f>
        <v/>
      </c>
      <c r="I366" t="str">
        <f>IFERROR(VLOOKUP(G366,FILAMENTI_DB!$A:$E,4,FALSE),"")</f>
        <v/>
      </c>
      <c r="J366" s="26"/>
      <c r="K366" s="27"/>
      <c r="L366" s="27"/>
      <c r="M366" s="27">
        <f t="shared" si="32"/>
        <v>0</v>
      </c>
      <c r="N366" s="26">
        <f t="shared" si="33"/>
        <v>0</v>
      </c>
      <c r="O366" s="26"/>
      <c r="P366" s="26"/>
      <c r="Q366" s="23"/>
      <c r="R366" s="23">
        <f t="shared" si="34"/>
        <v>0</v>
      </c>
      <c r="S366" s="23"/>
      <c r="T366" s="23">
        <f t="shared" si="35"/>
        <v>0</v>
      </c>
      <c r="U366" s="28" t="str">
        <f t="shared" si="36"/>
        <v/>
      </c>
      <c r="V366" s="10" t="str">
        <f>IFERROR(N366*VLOOKUP(G366,FILAMENTI_DB!$A:$J,10,FALSE),"")</f>
        <v/>
      </c>
      <c r="W366" s="23" t="str">
        <f>IFERROR((VLOOKUP(F366,STAMPANTI_DB!$A:$C,3,FALSE)/1000)*O366*SETTINGS!$C$6,"")</f>
        <v/>
      </c>
      <c r="X366" s="23" t="str">
        <f>IFERROR(O366*VLOOKUP(F366,STAMPANTI_DB!$A:$I,9,FALSE),"")</f>
        <v/>
      </c>
      <c r="Y366" s="23">
        <f>IFERROR(P366*SETTINGS!$C$7,"")</f>
        <v>0</v>
      </c>
      <c r="Z366" s="23">
        <f>SETTINGS!$C$11</f>
        <v>0.5</v>
      </c>
      <c r="AA366" s="23">
        <f t="shared" si="37"/>
        <v>0.5</v>
      </c>
      <c r="AB366" s="23">
        <f>IFERROR(AA366*SETTINGS!$C$9,"")</f>
        <v>2.5000000000000001E-2</v>
      </c>
      <c r="AC366" s="23">
        <f>IFERROR((AA366+AB366)*SETTINGS!$C$10,"")</f>
        <v>2.6250000000000002E-2</v>
      </c>
    </row>
    <row r="367" spans="1:29" ht="16" x14ac:dyDescent="0.2">
      <c r="A367" s="25"/>
      <c r="H367" t="str">
        <f>IFERROR(VLOOKUP(G367,FILAMENTI_DB!$A:$C,3,FALSE),"")</f>
        <v/>
      </c>
      <c r="I367" t="str">
        <f>IFERROR(VLOOKUP(G367,FILAMENTI_DB!$A:$E,4,FALSE),"")</f>
        <v/>
      </c>
      <c r="J367" s="26"/>
      <c r="K367" s="27"/>
      <c r="L367" s="27"/>
      <c r="M367" s="27">
        <f t="shared" si="32"/>
        <v>0</v>
      </c>
      <c r="N367" s="26">
        <f t="shared" si="33"/>
        <v>0</v>
      </c>
      <c r="O367" s="26"/>
      <c r="P367" s="26"/>
      <c r="Q367" s="23"/>
      <c r="R367" s="23">
        <f t="shared" si="34"/>
        <v>0</v>
      </c>
      <c r="S367" s="23"/>
      <c r="T367" s="23">
        <f t="shared" si="35"/>
        <v>0</v>
      </c>
      <c r="U367" s="28" t="str">
        <f t="shared" si="36"/>
        <v/>
      </c>
      <c r="V367" s="10" t="str">
        <f>IFERROR(N367*VLOOKUP(G367,FILAMENTI_DB!$A:$J,10,FALSE),"")</f>
        <v/>
      </c>
      <c r="W367" s="23" t="str">
        <f>IFERROR((VLOOKUP(F367,STAMPANTI_DB!$A:$C,3,FALSE)/1000)*O367*SETTINGS!$C$6,"")</f>
        <v/>
      </c>
      <c r="X367" s="23" t="str">
        <f>IFERROR(O367*VLOOKUP(F367,STAMPANTI_DB!$A:$I,9,FALSE),"")</f>
        <v/>
      </c>
      <c r="Y367" s="23">
        <f>IFERROR(P367*SETTINGS!$C$7,"")</f>
        <v>0</v>
      </c>
      <c r="Z367" s="23">
        <f>SETTINGS!$C$11</f>
        <v>0.5</v>
      </c>
      <c r="AA367" s="23">
        <f t="shared" si="37"/>
        <v>0.5</v>
      </c>
      <c r="AB367" s="23">
        <f>IFERROR(AA367*SETTINGS!$C$9,"")</f>
        <v>2.5000000000000001E-2</v>
      </c>
      <c r="AC367" s="23">
        <f>IFERROR((AA367+AB367)*SETTINGS!$C$10,"")</f>
        <v>2.6250000000000002E-2</v>
      </c>
    </row>
    <row r="368" spans="1:29" ht="16" x14ac:dyDescent="0.2">
      <c r="A368" s="25"/>
      <c r="H368" t="str">
        <f>IFERROR(VLOOKUP(G368,FILAMENTI_DB!$A:$C,3,FALSE),"")</f>
        <v/>
      </c>
      <c r="I368" t="str">
        <f>IFERROR(VLOOKUP(G368,FILAMENTI_DB!$A:$E,4,FALSE),"")</f>
        <v/>
      </c>
      <c r="J368" s="26"/>
      <c r="K368" s="27"/>
      <c r="L368" s="27"/>
      <c r="M368" s="27">
        <f t="shared" si="32"/>
        <v>0</v>
      </c>
      <c r="N368" s="26">
        <f t="shared" si="33"/>
        <v>0</v>
      </c>
      <c r="O368" s="26"/>
      <c r="P368" s="26"/>
      <c r="Q368" s="23"/>
      <c r="R368" s="23">
        <f t="shared" si="34"/>
        <v>0</v>
      </c>
      <c r="S368" s="23"/>
      <c r="T368" s="23">
        <f t="shared" si="35"/>
        <v>0</v>
      </c>
      <c r="U368" s="28" t="str">
        <f t="shared" si="36"/>
        <v/>
      </c>
      <c r="V368" s="10" t="str">
        <f>IFERROR(N368*VLOOKUP(G368,FILAMENTI_DB!$A:$J,10,FALSE),"")</f>
        <v/>
      </c>
      <c r="W368" s="23" t="str">
        <f>IFERROR((VLOOKUP(F368,STAMPANTI_DB!$A:$C,3,FALSE)/1000)*O368*SETTINGS!$C$6,"")</f>
        <v/>
      </c>
      <c r="X368" s="23" t="str">
        <f>IFERROR(O368*VLOOKUP(F368,STAMPANTI_DB!$A:$I,9,FALSE),"")</f>
        <v/>
      </c>
      <c r="Y368" s="23">
        <f>IFERROR(P368*SETTINGS!$C$7,"")</f>
        <v>0</v>
      </c>
      <c r="Z368" s="23">
        <f>SETTINGS!$C$11</f>
        <v>0.5</v>
      </c>
      <c r="AA368" s="23">
        <f t="shared" si="37"/>
        <v>0.5</v>
      </c>
      <c r="AB368" s="23">
        <f>IFERROR(AA368*SETTINGS!$C$9,"")</f>
        <v>2.5000000000000001E-2</v>
      </c>
      <c r="AC368" s="23">
        <f>IFERROR((AA368+AB368)*SETTINGS!$C$10,"")</f>
        <v>2.6250000000000002E-2</v>
      </c>
    </row>
    <row r="369" spans="1:29" ht="16" x14ac:dyDescent="0.2">
      <c r="A369" s="25"/>
      <c r="H369" t="str">
        <f>IFERROR(VLOOKUP(G369,FILAMENTI_DB!$A:$C,3,FALSE),"")</f>
        <v/>
      </c>
      <c r="I369" t="str">
        <f>IFERROR(VLOOKUP(G369,FILAMENTI_DB!$A:$E,4,FALSE),"")</f>
        <v/>
      </c>
      <c r="J369" s="26"/>
      <c r="K369" s="27"/>
      <c r="L369" s="27"/>
      <c r="M369" s="27">
        <f t="shared" si="32"/>
        <v>0</v>
      </c>
      <c r="N369" s="26">
        <f t="shared" si="33"/>
        <v>0</v>
      </c>
      <c r="O369" s="26"/>
      <c r="P369" s="26"/>
      <c r="Q369" s="23"/>
      <c r="R369" s="23">
        <f t="shared" si="34"/>
        <v>0</v>
      </c>
      <c r="S369" s="23"/>
      <c r="T369" s="23">
        <f t="shared" si="35"/>
        <v>0</v>
      </c>
      <c r="U369" s="28" t="str">
        <f t="shared" si="36"/>
        <v/>
      </c>
      <c r="V369" s="10" t="str">
        <f>IFERROR(N369*VLOOKUP(G369,FILAMENTI_DB!$A:$J,10,FALSE),"")</f>
        <v/>
      </c>
      <c r="W369" s="23" t="str">
        <f>IFERROR((VLOOKUP(F369,STAMPANTI_DB!$A:$C,3,FALSE)/1000)*O369*SETTINGS!$C$6,"")</f>
        <v/>
      </c>
      <c r="X369" s="23" t="str">
        <f>IFERROR(O369*VLOOKUP(F369,STAMPANTI_DB!$A:$I,9,FALSE),"")</f>
        <v/>
      </c>
      <c r="Y369" s="23">
        <f>IFERROR(P369*SETTINGS!$C$7,"")</f>
        <v>0</v>
      </c>
      <c r="Z369" s="23">
        <f>SETTINGS!$C$11</f>
        <v>0.5</v>
      </c>
      <c r="AA369" s="23">
        <f t="shared" si="37"/>
        <v>0.5</v>
      </c>
      <c r="AB369" s="23">
        <f>IFERROR(AA369*SETTINGS!$C$9,"")</f>
        <v>2.5000000000000001E-2</v>
      </c>
      <c r="AC369" s="23">
        <f>IFERROR((AA369+AB369)*SETTINGS!$C$10,"")</f>
        <v>2.6250000000000002E-2</v>
      </c>
    </row>
    <row r="370" spans="1:29" ht="16" x14ac:dyDescent="0.2">
      <c r="A370" s="25"/>
      <c r="H370" t="str">
        <f>IFERROR(VLOOKUP(G370,FILAMENTI_DB!$A:$C,3,FALSE),"")</f>
        <v/>
      </c>
      <c r="I370" t="str">
        <f>IFERROR(VLOOKUP(G370,FILAMENTI_DB!$A:$E,4,FALSE),"")</f>
        <v/>
      </c>
      <c r="J370" s="26"/>
      <c r="K370" s="27"/>
      <c r="L370" s="27"/>
      <c r="M370" s="27">
        <f t="shared" si="32"/>
        <v>0</v>
      </c>
      <c r="N370" s="26">
        <f t="shared" si="33"/>
        <v>0</v>
      </c>
      <c r="O370" s="26"/>
      <c r="P370" s="26"/>
      <c r="Q370" s="23"/>
      <c r="R370" s="23">
        <f t="shared" si="34"/>
        <v>0</v>
      </c>
      <c r="S370" s="23"/>
      <c r="T370" s="23">
        <f t="shared" si="35"/>
        <v>0</v>
      </c>
      <c r="U370" s="28" t="str">
        <f t="shared" si="36"/>
        <v/>
      </c>
      <c r="V370" s="10" t="str">
        <f>IFERROR(N370*VLOOKUP(G370,FILAMENTI_DB!$A:$J,10,FALSE),"")</f>
        <v/>
      </c>
      <c r="W370" s="23" t="str">
        <f>IFERROR((VLOOKUP(F370,STAMPANTI_DB!$A:$C,3,FALSE)/1000)*O370*SETTINGS!$C$6,"")</f>
        <v/>
      </c>
      <c r="X370" s="23" t="str">
        <f>IFERROR(O370*VLOOKUP(F370,STAMPANTI_DB!$A:$I,9,FALSE),"")</f>
        <v/>
      </c>
      <c r="Y370" s="23">
        <f>IFERROR(P370*SETTINGS!$C$7,"")</f>
        <v>0</v>
      </c>
      <c r="Z370" s="23">
        <f>SETTINGS!$C$11</f>
        <v>0.5</v>
      </c>
      <c r="AA370" s="23">
        <f t="shared" si="37"/>
        <v>0.5</v>
      </c>
      <c r="AB370" s="23">
        <f>IFERROR(AA370*SETTINGS!$C$9,"")</f>
        <v>2.5000000000000001E-2</v>
      </c>
      <c r="AC370" s="23">
        <f>IFERROR((AA370+AB370)*SETTINGS!$C$10,"")</f>
        <v>2.6250000000000002E-2</v>
      </c>
    </row>
    <row r="371" spans="1:29" ht="16" x14ac:dyDescent="0.2">
      <c r="A371" s="25"/>
      <c r="H371" t="str">
        <f>IFERROR(VLOOKUP(G371,FILAMENTI_DB!$A:$C,3,FALSE),"")</f>
        <v/>
      </c>
      <c r="I371" t="str">
        <f>IFERROR(VLOOKUP(G371,FILAMENTI_DB!$A:$E,4,FALSE),"")</f>
        <v/>
      </c>
      <c r="J371" s="26"/>
      <c r="K371" s="27"/>
      <c r="L371" s="27"/>
      <c r="M371" s="27">
        <f t="shared" si="32"/>
        <v>0</v>
      </c>
      <c r="N371" s="26">
        <f t="shared" si="33"/>
        <v>0</v>
      </c>
      <c r="O371" s="26"/>
      <c r="P371" s="26"/>
      <c r="Q371" s="23"/>
      <c r="R371" s="23">
        <f t="shared" si="34"/>
        <v>0</v>
      </c>
      <c r="S371" s="23"/>
      <c r="T371" s="23">
        <f t="shared" si="35"/>
        <v>0</v>
      </c>
      <c r="U371" s="28" t="str">
        <f t="shared" si="36"/>
        <v/>
      </c>
      <c r="V371" s="10" t="str">
        <f>IFERROR(N371*VLOOKUP(G371,FILAMENTI_DB!$A:$J,10,FALSE),"")</f>
        <v/>
      </c>
      <c r="W371" s="23" t="str">
        <f>IFERROR((VLOOKUP(F371,STAMPANTI_DB!$A:$C,3,FALSE)/1000)*O371*SETTINGS!$C$6,"")</f>
        <v/>
      </c>
      <c r="X371" s="23" t="str">
        <f>IFERROR(O371*VLOOKUP(F371,STAMPANTI_DB!$A:$I,9,FALSE),"")</f>
        <v/>
      </c>
      <c r="Y371" s="23">
        <f>IFERROR(P371*SETTINGS!$C$7,"")</f>
        <v>0</v>
      </c>
      <c r="Z371" s="23">
        <f>SETTINGS!$C$11</f>
        <v>0.5</v>
      </c>
      <c r="AA371" s="23">
        <f t="shared" si="37"/>
        <v>0.5</v>
      </c>
      <c r="AB371" s="23">
        <f>IFERROR(AA371*SETTINGS!$C$9,"")</f>
        <v>2.5000000000000001E-2</v>
      </c>
      <c r="AC371" s="23">
        <f>IFERROR((AA371+AB371)*SETTINGS!$C$10,"")</f>
        <v>2.6250000000000002E-2</v>
      </c>
    </row>
    <row r="372" spans="1:29" ht="16" x14ac:dyDescent="0.2">
      <c r="A372" s="25"/>
      <c r="H372" t="str">
        <f>IFERROR(VLOOKUP(G372,FILAMENTI_DB!$A:$C,3,FALSE),"")</f>
        <v/>
      </c>
      <c r="I372" t="str">
        <f>IFERROR(VLOOKUP(G372,FILAMENTI_DB!$A:$E,4,FALSE),"")</f>
        <v/>
      </c>
      <c r="J372" s="26"/>
      <c r="K372" s="27"/>
      <c r="L372" s="27"/>
      <c r="M372" s="27">
        <f t="shared" si="32"/>
        <v>0</v>
      </c>
      <c r="N372" s="26">
        <f t="shared" si="33"/>
        <v>0</v>
      </c>
      <c r="O372" s="26"/>
      <c r="P372" s="26"/>
      <c r="Q372" s="23"/>
      <c r="R372" s="23">
        <f t="shared" si="34"/>
        <v>0</v>
      </c>
      <c r="S372" s="23"/>
      <c r="T372" s="23">
        <f t="shared" si="35"/>
        <v>0</v>
      </c>
      <c r="U372" s="28" t="str">
        <f t="shared" si="36"/>
        <v/>
      </c>
      <c r="V372" s="10" t="str">
        <f>IFERROR(N372*VLOOKUP(G372,FILAMENTI_DB!$A:$J,10,FALSE),"")</f>
        <v/>
      </c>
      <c r="W372" s="23" t="str">
        <f>IFERROR((VLOOKUP(F372,STAMPANTI_DB!$A:$C,3,FALSE)/1000)*O372*SETTINGS!$C$6,"")</f>
        <v/>
      </c>
      <c r="X372" s="23" t="str">
        <f>IFERROR(O372*VLOOKUP(F372,STAMPANTI_DB!$A:$I,9,FALSE),"")</f>
        <v/>
      </c>
      <c r="Y372" s="23">
        <f>IFERROR(P372*SETTINGS!$C$7,"")</f>
        <v>0</v>
      </c>
      <c r="Z372" s="23">
        <f>SETTINGS!$C$11</f>
        <v>0.5</v>
      </c>
      <c r="AA372" s="23">
        <f t="shared" si="37"/>
        <v>0.5</v>
      </c>
      <c r="AB372" s="23">
        <f>IFERROR(AA372*SETTINGS!$C$9,"")</f>
        <v>2.5000000000000001E-2</v>
      </c>
      <c r="AC372" s="23">
        <f>IFERROR((AA372+AB372)*SETTINGS!$C$10,"")</f>
        <v>2.6250000000000002E-2</v>
      </c>
    </row>
    <row r="373" spans="1:29" ht="16" x14ac:dyDescent="0.2">
      <c r="A373" s="25"/>
      <c r="H373" t="str">
        <f>IFERROR(VLOOKUP(G373,FILAMENTI_DB!$A:$C,3,FALSE),"")</f>
        <v/>
      </c>
      <c r="I373" t="str">
        <f>IFERROR(VLOOKUP(G373,FILAMENTI_DB!$A:$E,4,FALSE),"")</f>
        <v/>
      </c>
      <c r="J373" s="26"/>
      <c r="K373" s="27"/>
      <c r="L373" s="27"/>
      <c r="M373" s="27">
        <f t="shared" si="32"/>
        <v>0</v>
      </c>
      <c r="N373" s="26">
        <f t="shared" si="33"/>
        <v>0</v>
      </c>
      <c r="O373" s="26"/>
      <c r="P373" s="26"/>
      <c r="Q373" s="23"/>
      <c r="R373" s="23">
        <f t="shared" si="34"/>
        <v>0</v>
      </c>
      <c r="S373" s="23"/>
      <c r="T373" s="23">
        <f t="shared" si="35"/>
        <v>0</v>
      </c>
      <c r="U373" s="28" t="str">
        <f t="shared" si="36"/>
        <v/>
      </c>
      <c r="V373" s="10" t="str">
        <f>IFERROR(N373*VLOOKUP(G373,FILAMENTI_DB!$A:$J,10,FALSE),"")</f>
        <v/>
      </c>
      <c r="W373" s="23" t="str">
        <f>IFERROR((VLOOKUP(F373,STAMPANTI_DB!$A:$C,3,FALSE)/1000)*O373*SETTINGS!$C$6,"")</f>
        <v/>
      </c>
      <c r="X373" s="23" t="str">
        <f>IFERROR(O373*VLOOKUP(F373,STAMPANTI_DB!$A:$I,9,FALSE),"")</f>
        <v/>
      </c>
      <c r="Y373" s="23">
        <f>IFERROR(P373*SETTINGS!$C$7,"")</f>
        <v>0</v>
      </c>
      <c r="Z373" s="23">
        <f>SETTINGS!$C$11</f>
        <v>0.5</v>
      </c>
      <c r="AA373" s="23">
        <f t="shared" si="37"/>
        <v>0.5</v>
      </c>
      <c r="AB373" s="23">
        <f>IFERROR(AA373*SETTINGS!$C$9,"")</f>
        <v>2.5000000000000001E-2</v>
      </c>
      <c r="AC373" s="23">
        <f>IFERROR((AA373+AB373)*SETTINGS!$C$10,"")</f>
        <v>2.6250000000000002E-2</v>
      </c>
    </row>
    <row r="374" spans="1:29" ht="16" x14ac:dyDescent="0.2">
      <c r="A374" s="25"/>
      <c r="H374" t="str">
        <f>IFERROR(VLOOKUP(G374,FILAMENTI_DB!$A:$C,3,FALSE),"")</f>
        <v/>
      </c>
      <c r="I374" t="str">
        <f>IFERROR(VLOOKUP(G374,FILAMENTI_DB!$A:$E,4,FALSE),"")</f>
        <v/>
      </c>
      <c r="J374" s="26"/>
      <c r="K374" s="27"/>
      <c r="L374" s="27"/>
      <c r="M374" s="27">
        <f t="shared" si="32"/>
        <v>0</v>
      </c>
      <c r="N374" s="26">
        <f t="shared" si="33"/>
        <v>0</v>
      </c>
      <c r="O374" s="26"/>
      <c r="P374" s="26"/>
      <c r="Q374" s="23"/>
      <c r="R374" s="23">
        <f t="shared" si="34"/>
        <v>0</v>
      </c>
      <c r="S374" s="23"/>
      <c r="T374" s="23">
        <f t="shared" si="35"/>
        <v>0</v>
      </c>
      <c r="U374" s="28" t="str">
        <f t="shared" si="36"/>
        <v/>
      </c>
      <c r="V374" s="10" t="str">
        <f>IFERROR(N374*VLOOKUP(G374,FILAMENTI_DB!$A:$J,10,FALSE),"")</f>
        <v/>
      </c>
      <c r="W374" s="23" t="str">
        <f>IFERROR((VLOOKUP(F374,STAMPANTI_DB!$A:$C,3,FALSE)/1000)*O374*SETTINGS!$C$6,"")</f>
        <v/>
      </c>
      <c r="X374" s="23" t="str">
        <f>IFERROR(O374*VLOOKUP(F374,STAMPANTI_DB!$A:$I,9,FALSE),"")</f>
        <v/>
      </c>
      <c r="Y374" s="23">
        <f>IFERROR(P374*SETTINGS!$C$7,"")</f>
        <v>0</v>
      </c>
      <c r="Z374" s="23">
        <f>SETTINGS!$C$11</f>
        <v>0.5</v>
      </c>
      <c r="AA374" s="23">
        <f t="shared" si="37"/>
        <v>0.5</v>
      </c>
      <c r="AB374" s="23">
        <f>IFERROR(AA374*SETTINGS!$C$9,"")</f>
        <v>2.5000000000000001E-2</v>
      </c>
      <c r="AC374" s="23">
        <f>IFERROR((AA374+AB374)*SETTINGS!$C$10,"")</f>
        <v>2.6250000000000002E-2</v>
      </c>
    </row>
    <row r="375" spans="1:29" ht="16" x14ac:dyDescent="0.2">
      <c r="A375" s="25"/>
      <c r="H375" t="str">
        <f>IFERROR(VLOOKUP(G375,FILAMENTI_DB!$A:$C,3,FALSE),"")</f>
        <v/>
      </c>
      <c r="I375" t="str">
        <f>IFERROR(VLOOKUP(G375,FILAMENTI_DB!$A:$E,4,FALSE),"")</f>
        <v/>
      </c>
      <c r="J375" s="26"/>
      <c r="K375" s="27"/>
      <c r="L375" s="27"/>
      <c r="M375" s="27">
        <f t="shared" si="32"/>
        <v>0</v>
      </c>
      <c r="N375" s="26">
        <f t="shared" si="33"/>
        <v>0</v>
      </c>
      <c r="O375" s="26"/>
      <c r="P375" s="26"/>
      <c r="Q375" s="23"/>
      <c r="R375" s="23">
        <f t="shared" si="34"/>
        <v>0</v>
      </c>
      <c r="S375" s="23"/>
      <c r="T375" s="23">
        <f t="shared" si="35"/>
        <v>0</v>
      </c>
      <c r="U375" s="28" t="str">
        <f t="shared" si="36"/>
        <v/>
      </c>
      <c r="V375" s="10" t="str">
        <f>IFERROR(N375*VLOOKUP(G375,FILAMENTI_DB!$A:$J,10,FALSE),"")</f>
        <v/>
      </c>
      <c r="W375" s="23" t="str">
        <f>IFERROR((VLOOKUP(F375,STAMPANTI_DB!$A:$C,3,FALSE)/1000)*O375*SETTINGS!$C$6,"")</f>
        <v/>
      </c>
      <c r="X375" s="23" t="str">
        <f>IFERROR(O375*VLOOKUP(F375,STAMPANTI_DB!$A:$I,9,FALSE),"")</f>
        <v/>
      </c>
      <c r="Y375" s="23">
        <f>IFERROR(P375*SETTINGS!$C$7,"")</f>
        <v>0</v>
      </c>
      <c r="Z375" s="23">
        <f>SETTINGS!$C$11</f>
        <v>0.5</v>
      </c>
      <c r="AA375" s="23">
        <f t="shared" si="37"/>
        <v>0.5</v>
      </c>
      <c r="AB375" s="23">
        <f>IFERROR(AA375*SETTINGS!$C$9,"")</f>
        <v>2.5000000000000001E-2</v>
      </c>
      <c r="AC375" s="23">
        <f>IFERROR((AA375+AB375)*SETTINGS!$C$10,"")</f>
        <v>2.6250000000000002E-2</v>
      </c>
    </row>
    <row r="376" spans="1:29" ht="16" x14ac:dyDescent="0.2">
      <c r="A376" s="25"/>
      <c r="H376" t="str">
        <f>IFERROR(VLOOKUP(G376,FILAMENTI_DB!$A:$C,3,FALSE),"")</f>
        <v/>
      </c>
      <c r="I376" t="str">
        <f>IFERROR(VLOOKUP(G376,FILAMENTI_DB!$A:$E,4,FALSE),"")</f>
        <v/>
      </c>
      <c r="J376" s="26"/>
      <c r="K376" s="27"/>
      <c r="L376" s="27"/>
      <c r="M376" s="27">
        <f t="shared" si="32"/>
        <v>0</v>
      </c>
      <c r="N376" s="26">
        <f t="shared" si="33"/>
        <v>0</v>
      </c>
      <c r="O376" s="26"/>
      <c r="P376" s="26"/>
      <c r="Q376" s="23"/>
      <c r="R376" s="23">
        <f t="shared" si="34"/>
        <v>0</v>
      </c>
      <c r="S376" s="23"/>
      <c r="T376" s="23">
        <f t="shared" si="35"/>
        <v>0</v>
      </c>
      <c r="U376" s="28" t="str">
        <f t="shared" si="36"/>
        <v/>
      </c>
      <c r="V376" s="10" t="str">
        <f>IFERROR(N376*VLOOKUP(G376,FILAMENTI_DB!$A:$J,10,FALSE),"")</f>
        <v/>
      </c>
      <c r="W376" s="23" t="str">
        <f>IFERROR((VLOOKUP(F376,STAMPANTI_DB!$A:$C,3,FALSE)/1000)*O376*SETTINGS!$C$6,"")</f>
        <v/>
      </c>
      <c r="X376" s="23" t="str">
        <f>IFERROR(O376*VLOOKUP(F376,STAMPANTI_DB!$A:$I,9,FALSE),"")</f>
        <v/>
      </c>
      <c r="Y376" s="23">
        <f>IFERROR(P376*SETTINGS!$C$7,"")</f>
        <v>0</v>
      </c>
      <c r="Z376" s="23">
        <f>SETTINGS!$C$11</f>
        <v>0.5</v>
      </c>
      <c r="AA376" s="23">
        <f t="shared" si="37"/>
        <v>0.5</v>
      </c>
      <c r="AB376" s="23">
        <f>IFERROR(AA376*SETTINGS!$C$9,"")</f>
        <v>2.5000000000000001E-2</v>
      </c>
      <c r="AC376" s="23">
        <f>IFERROR((AA376+AB376)*SETTINGS!$C$10,"")</f>
        <v>2.6250000000000002E-2</v>
      </c>
    </row>
    <row r="377" spans="1:29" ht="16" x14ac:dyDescent="0.2">
      <c r="A377" s="25"/>
      <c r="H377" t="str">
        <f>IFERROR(VLOOKUP(G377,FILAMENTI_DB!$A:$C,3,FALSE),"")</f>
        <v/>
      </c>
      <c r="I377" t="str">
        <f>IFERROR(VLOOKUP(G377,FILAMENTI_DB!$A:$E,4,FALSE),"")</f>
        <v/>
      </c>
      <c r="J377" s="26"/>
      <c r="K377" s="27"/>
      <c r="L377" s="27"/>
      <c r="M377" s="27">
        <f t="shared" si="32"/>
        <v>0</v>
      </c>
      <c r="N377" s="26">
        <f t="shared" si="33"/>
        <v>0</v>
      </c>
      <c r="O377" s="26"/>
      <c r="P377" s="26"/>
      <c r="Q377" s="23"/>
      <c r="R377" s="23">
        <f t="shared" si="34"/>
        <v>0</v>
      </c>
      <c r="S377" s="23"/>
      <c r="T377" s="23">
        <f t="shared" si="35"/>
        <v>0</v>
      </c>
      <c r="U377" s="28" t="str">
        <f t="shared" si="36"/>
        <v/>
      </c>
      <c r="V377" s="10" t="str">
        <f>IFERROR(N377*VLOOKUP(G377,FILAMENTI_DB!$A:$J,10,FALSE),"")</f>
        <v/>
      </c>
      <c r="W377" s="23" t="str">
        <f>IFERROR((VLOOKUP(F377,STAMPANTI_DB!$A:$C,3,FALSE)/1000)*O377*SETTINGS!$C$6,"")</f>
        <v/>
      </c>
      <c r="X377" s="23" t="str">
        <f>IFERROR(O377*VLOOKUP(F377,STAMPANTI_DB!$A:$I,9,FALSE),"")</f>
        <v/>
      </c>
      <c r="Y377" s="23">
        <f>IFERROR(P377*SETTINGS!$C$7,"")</f>
        <v>0</v>
      </c>
      <c r="Z377" s="23">
        <f>SETTINGS!$C$11</f>
        <v>0.5</v>
      </c>
      <c r="AA377" s="23">
        <f t="shared" si="37"/>
        <v>0.5</v>
      </c>
      <c r="AB377" s="23">
        <f>IFERROR(AA377*SETTINGS!$C$9,"")</f>
        <v>2.5000000000000001E-2</v>
      </c>
      <c r="AC377" s="23">
        <f>IFERROR((AA377+AB377)*SETTINGS!$C$10,"")</f>
        <v>2.6250000000000002E-2</v>
      </c>
    </row>
    <row r="378" spans="1:29" ht="16" x14ac:dyDescent="0.2">
      <c r="A378" s="25"/>
      <c r="H378" t="str">
        <f>IFERROR(VLOOKUP(G378,FILAMENTI_DB!$A:$C,3,FALSE),"")</f>
        <v/>
      </c>
      <c r="I378" t="str">
        <f>IFERROR(VLOOKUP(G378,FILAMENTI_DB!$A:$E,4,FALSE),"")</f>
        <v/>
      </c>
      <c r="J378" s="26"/>
      <c r="K378" s="27"/>
      <c r="L378" s="27"/>
      <c r="M378" s="27">
        <f t="shared" si="32"/>
        <v>0</v>
      </c>
      <c r="N378" s="26">
        <f t="shared" si="33"/>
        <v>0</v>
      </c>
      <c r="O378" s="26"/>
      <c r="P378" s="26"/>
      <c r="Q378" s="23"/>
      <c r="R378" s="23">
        <f t="shared" si="34"/>
        <v>0</v>
      </c>
      <c r="S378" s="23"/>
      <c r="T378" s="23">
        <f t="shared" si="35"/>
        <v>0</v>
      </c>
      <c r="U378" s="28" t="str">
        <f t="shared" si="36"/>
        <v/>
      </c>
      <c r="V378" s="10" t="str">
        <f>IFERROR(N378*VLOOKUP(G378,FILAMENTI_DB!$A:$J,10,FALSE),"")</f>
        <v/>
      </c>
      <c r="W378" s="23" t="str">
        <f>IFERROR((VLOOKUP(F378,STAMPANTI_DB!$A:$C,3,FALSE)/1000)*O378*SETTINGS!$C$6,"")</f>
        <v/>
      </c>
      <c r="X378" s="23" t="str">
        <f>IFERROR(O378*VLOOKUP(F378,STAMPANTI_DB!$A:$I,9,FALSE),"")</f>
        <v/>
      </c>
      <c r="Y378" s="23">
        <f>IFERROR(P378*SETTINGS!$C$7,"")</f>
        <v>0</v>
      </c>
      <c r="Z378" s="23">
        <f>SETTINGS!$C$11</f>
        <v>0.5</v>
      </c>
      <c r="AA378" s="23">
        <f t="shared" si="37"/>
        <v>0.5</v>
      </c>
      <c r="AB378" s="23">
        <f>IFERROR(AA378*SETTINGS!$C$9,"")</f>
        <v>2.5000000000000001E-2</v>
      </c>
      <c r="AC378" s="23">
        <f>IFERROR((AA378+AB378)*SETTINGS!$C$10,"")</f>
        <v>2.6250000000000002E-2</v>
      </c>
    </row>
    <row r="379" spans="1:29" ht="16" x14ac:dyDescent="0.2">
      <c r="A379" s="25"/>
      <c r="H379" t="str">
        <f>IFERROR(VLOOKUP(G379,FILAMENTI_DB!$A:$C,3,FALSE),"")</f>
        <v/>
      </c>
      <c r="I379" t="str">
        <f>IFERROR(VLOOKUP(G379,FILAMENTI_DB!$A:$E,4,FALSE),"")</f>
        <v/>
      </c>
      <c r="J379" s="26"/>
      <c r="K379" s="27"/>
      <c r="L379" s="27"/>
      <c r="M379" s="27">
        <f t="shared" si="32"/>
        <v>0</v>
      </c>
      <c r="N379" s="26">
        <f t="shared" si="33"/>
        <v>0</v>
      </c>
      <c r="O379" s="26"/>
      <c r="P379" s="26"/>
      <c r="Q379" s="23"/>
      <c r="R379" s="23">
        <f t="shared" si="34"/>
        <v>0</v>
      </c>
      <c r="S379" s="23"/>
      <c r="T379" s="23">
        <f t="shared" si="35"/>
        <v>0</v>
      </c>
      <c r="U379" s="28" t="str">
        <f t="shared" si="36"/>
        <v/>
      </c>
      <c r="V379" s="10" t="str">
        <f>IFERROR(N379*VLOOKUP(G379,FILAMENTI_DB!$A:$J,10,FALSE),"")</f>
        <v/>
      </c>
      <c r="W379" s="23" t="str">
        <f>IFERROR((VLOOKUP(F379,STAMPANTI_DB!$A:$C,3,FALSE)/1000)*O379*SETTINGS!$C$6,"")</f>
        <v/>
      </c>
      <c r="X379" s="23" t="str">
        <f>IFERROR(O379*VLOOKUP(F379,STAMPANTI_DB!$A:$I,9,FALSE),"")</f>
        <v/>
      </c>
      <c r="Y379" s="23">
        <f>IFERROR(P379*SETTINGS!$C$7,"")</f>
        <v>0</v>
      </c>
      <c r="Z379" s="23">
        <f>SETTINGS!$C$11</f>
        <v>0.5</v>
      </c>
      <c r="AA379" s="23">
        <f t="shared" si="37"/>
        <v>0.5</v>
      </c>
      <c r="AB379" s="23">
        <f>IFERROR(AA379*SETTINGS!$C$9,"")</f>
        <v>2.5000000000000001E-2</v>
      </c>
      <c r="AC379" s="23">
        <f>IFERROR((AA379+AB379)*SETTINGS!$C$10,"")</f>
        <v>2.6250000000000002E-2</v>
      </c>
    </row>
    <row r="380" spans="1:29" ht="16" x14ac:dyDescent="0.2">
      <c r="A380" s="25"/>
      <c r="H380" t="str">
        <f>IFERROR(VLOOKUP(G380,FILAMENTI_DB!$A:$C,3,FALSE),"")</f>
        <v/>
      </c>
      <c r="I380" t="str">
        <f>IFERROR(VLOOKUP(G380,FILAMENTI_DB!$A:$E,4,FALSE),"")</f>
        <v/>
      </c>
      <c r="J380" s="26"/>
      <c r="K380" s="27"/>
      <c r="L380" s="27"/>
      <c r="M380" s="27">
        <f t="shared" si="32"/>
        <v>0</v>
      </c>
      <c r="N380" s="26">
        <f t="shared" si="33"/>
        <v>0</v>
      </c>
      <c r="O380" s="26"/>
      <c r="P380" s="26"/>
      <c r="Q380" s="23"/>
      <c r="R380" s="23">
        <f t="shared" si="34"/>
        <v>0</v>
      </c>
      <c r="S380" s="23"/>
      <c r="T380" s="23">
        <f t="shared" si="35"/>
        <v>0</v>
      </c>
      <c r="U380" s="28" t="str">
        <f t="shared" si="36"/>
        <v/>
      </c>
      <c r="V380" s="10" t="str">
        <f>IFERROR(N380*VLOOKUP(G380,FILAMENTI_DB!$A:$J,10,FALSE),"")</f>
        <v/>
      </c>
      <c r="W380" s="23" t="str">
        <f>IFERROR((VLOOKUP(F380,STAMPANTI_DB!$A:$C,3,FALSE)/1000)*O380*SETTINGS!$C$6,"")</f>
        <v/>
      </c>
      <c r="X380" s="23" t="str">
        <f>IFERROR(O380*VLOOKUP(F380,STAMPANTI_DB!$A:$I,9,FALSE),"")</f>
        <v/>
      </c>
      <c r="Y380" s="23">
        <f>IFERROR(P380*SETTINGS!$C$7,"")</f>
        <v>0</v>
      </c>
      <c r="Z380" s="23">
        <f>SETTINGS!$C$11</f>
        <v>0.5</v>
      </c>
      <c r="AA380" s="23">
        <f t="shared" si="37"/>
        <v>0.5</v>
      </c>
      <c r="AB380" s="23">
        <f>IFERROR(AA380*SETTINGS!$C$9,"")</f>
        <v>2.5000000000000001E-2</v>
      </c>
      <c r="AC380" s="23">
        <f>IFERROR((AA380+AB380)*SETTINGS!$C$10,"")</f>
        <v>2.6250000000000002E-2</v>
      </c>
    </row>
    <row r="381" spans="1:29" ht="16" x14ac:dyDescent="0.2">
      <c r="A381" s="25"/>
      <c r="H381" t="str">
        <f>IFERROR(VLOOKUP(G381,FILAMENTI_DB!$A:$C,3,FALSE),"")</f>
        <v/>
      </c>
      <c r="I381" t="str">
        <f>IFERROR(VLOOKUP(G381,FILAMENTI_DB!$A:$E,4,FALSE),"")</f>
        <v/>
      </c>
      <c r="J381" s="26"/>
      <c r="K381" s="27"/>
      <c r="L381" s="27"/>
      <c r="M381" s="27">
        <f t="shared" si="32"/>
        <v>0</v>
      </c>
      <c r="N381" s="26">
        <f t="shared" si="33"/>
        <v>0</v>
      </c>
      <c r="O381" s="26"/>
      <c r="P381" s="26"/>
      <c r="Q381" s="23"/>
      <c r="R381" s="23">
        <f t="shared" si="34"/>
        <v>0</v>
      </c>
      <c r="S381" s="23"/>
      <c r="T381" s="23">
        <f t="shared" si="35"/>
        <v>0</v>
      </c>
      <c r="U381" s="28" t="str">
        <f t="shared" si="36"/>
        <v/>
      </c>
      <c r="V381" s="10" t="str">
        <f>IFERROR(N381*VLOOKUP(G381,FILAMENTI_DB!$A:$J,10,FALSE),"")</f>
        <v/>
      </c>
      <c r="W381" s="23" t="str">
        <f>IFERROR((VLOOKUP(F381,STAMPANTI_DB!$A:$C,3,FALSE)/1000)*O381*SETTINGS!$C$6,"")</f>
        <v/>
      </c>
      <c r="X381" s="23" t="str">
        <f>IFERROR(O381*VLOOKUP(F381,STAMPANTI_DB!$A:$I,9,FALSE),"")</f>
        <v/>
      </c>
      <c r="Y381" s="23">
        <f>IFERROR(P381*SETTINGS!$C$7,"")</f>
        <v>0</v>
      </c>
      <c r="Z381" s="23">
        <f>SETTINGS!$C$11</f>
        <v>0.5</v>
      </c>
      <c r="AA381" s="23">
        <f t="shared" si="37"/>
        <v>0.5</v>
      </c>
      <c r="AB381" s="23">
        <f>IFERROR(AA381*SETTINGS!$C$9,"")</f>
        <v>2.5000000000000001E-2</v>
      </c>
      <c r="AC381" s="23">
        <f>IFERROR((AA381+AB381)*SETTINGS!$C$10,"")</f>
        <v>2.6250000000000002E-2</v>
      </c>
    </row>
    <row r="382" spans="1:29" ht="16" x14ac:dyDescent="0.2">
      <c r="A382" s="25"/>
      <c r="H382" t="str">
        <f>IFERROR(VLOOKUP(G382,FILAMENTI_DB!$A:$C,3,FALSE),"")</f>
        <v/>
      </c>
      <c r="I382" t="str">
        <f>IFERROR(VLOOKUP(G382,FILAMENTI_DB!$A:$E,4,FALSE),"")</f>
        <v/>
      </c>
      <c r="J382" s="26"/>
      <c r="K382" s="27"/>
      <c r="L382" s="27"/>
      <c r="M382" s="27">
        <f t="shared" si="32"/>
        <v>0</v>
      </c>
      <c r="N382" s="26">
        <f t="shared" si="33"/>
        <v>0</v>
      </c>
      <c r="O382" s="26"/>
      <c r="P382" s="26"/>
      <c r="Q382" s="23"/>
      <c r="R382" s="23">
        <f t="shared" si="34"/>
        <v>0</v>
      </c>
      <c r="S382" s="23"/>
      <c r="T382" s="23">
        <f t="shared" si="35"/>
        <v>0</v>
      </c>
      <c r="U382" s="28" t="str">
        <f t="shared" si="36"/>
        <v/>
      </c>
      <c r="V382" s="10" t="str">
        <f>IFERROR(N382*VLOOKUP(G382,FILAMENTI_DB!$A:$J,10,FALSE),"")</f>
        <v/>
      </c>
      <c r="W382" s="23" t="str">
        <f>IFERROR((VLOOKUP(F382,STAMPANTI_DB!$A:$C,3,FALSE)/1000)*O382*SETTINGS!$C$6,"")</f>
        <v/>
      </c>
      <c r="X382" s="23" t="str">
        <f>IFERROR(O382*VLOOKUP(F382,STAMPANTI_DB!$A:$I,9,FALSE),"")</f>
        <v/>
      </c>
      <c r="Y382" s="23">
        <f>IFERROR(P382*SETTINGS!$C$7,"")</f>
        <v>0</v>
      </c>
      <c r="Z382" s="23">
        <f>SETTINGS!$C$11</f>
        <v>0.5</v>
      </c>
      <c r="AA382" s="23">
        <f t="shared" si="37"/>
        <v>0.5</v>
      </c>
      <c r="AB382" s="23">
        <f>IFERROR(AA382*SETTINGS!$C$9,"")</f>
        <v>2.5000000000000001E-2</v>
      </c>
      <c r="AC382" s="23">
        <f>IFERROR((AA382+AB382)*SETTINGS!$C$10,"")</f>
        <v>2.6250000000000002E-2</v>
      </c>
    </row>
    <row r="383" spans="1:29" ht="16" x14ac:dyDescent="0.2">
      <c r="A383" s="25"/>
      <c r="H383" t="str">
        <f>IFERROR(VLOOKUP(G383,FILAMENTI_DB!$A:$C,3,FALSE),"")</f>
        <v/>
      </c>
      <c r="I383" t="str">
        <f>IFERROR(VLOOKUP(G383,FILAMENTI_DB!$A:$E,4,FALSE),"")</f>
        <v/>
      </c>
      <c r="J383" s="26"/>
      <c r="K383" s="27"/>
      <c r="L383" s="27"/>
      <c r="M383" s="27">
        <f t="shared" si="32"/>
        <v>0</v>
      </c>
      <c r="N383" s="26">
        <f t="shared" si="33"/>
        <v>0</v>
      </c>
      <c r="O383" s="26"/>
      <c r="P383" s="26"/>
      <c r="Q383" s="23"/>
      <c r="R383" s="23">
        <f t="shared" si="34"/>
        <v>0</v>
      </c>
      <c r="S383" s="23"/>
      <c r="T383" s="23">
        <f t="shared" si="35"/>
        <v>0</v>
      </c>
      <c r="U383" s="28" t="str">
        <f t="shared" si="36"/>
        <v/>
      </c>
      <c r="V383" s="10" t="str">
        <f>IFERROR(N383*VLOOKUP(G383,FILAMENTI_DB!$A:$J,10,FALSE),"")</f>
        <v/>
      </c>
      <c r="W383" s="23" t="str">
        <f>IFERROR((VLOOKUP(F383,STAMPANTI_DB!$A:$C,3,FALSE)/1000)*O383*SETTINGS!$C$6,"")</f>
        <v/>
      </c>
      <c r="X383" s="23" t="str">
        <f>IFERROR(O383*VLOOKUP(F383,STAMPANTI_DB!$A:$I,9,FALSE),"")</f>
        <v/>
      </c>
      <c r="Y383" s="23">
        <f>IFERROR(P383*SETTINGS!$C$7,"")</f>
        <v>0</v>
      </c>
      <c r="Z383" s="23">
        <f>SETTINGS!$C$11</f>
        <v>0.5</v>
      </c>
      <c r="AA383" s="23">
        <f t="shared" si="37"/>
        <v>0.5</v>
      </c>
      <c r="AB383" s="23">
        <f>IFERROR(AA383*SETTINGS!$C$9,"")</f>
        <v>2.5000000000000001E-2</v>
      </c>
      <c r="AC383" s="23">
        <f>IFERROR((AA383+AB383)*SETTINGS!$C$10,"")</f>
        <v>2.6250000000000002E-2</v>
      </c>
    </row>
    <row r="384" spans="1:29" ht="16" x14ac:dyDescent="0.2">
      <c r="A384" s="25"/>
      <c r="H384" t="str">
        <f>IFERROR(VLOOKUP(G384,FILAMENTI_DB!$A:$C,3,FALSE),"")</f>
        <v/>
      </c>
      <c r="I384" t="str">
        <f>IFERROR(VLOOKUP(G384,FILAMENTI_DB!$A:$E,4,FALSE),"")</f>
        <v/>
      </c>
      <c r="J384" s="26"/>
      <c r="K384" s="27"/>
      <c r="L384" s="27"/>
      <c r="M384" s="27">
        <f t="shared" si="32"/>
        <v>0</v>
      </c>
      <c r="N384" s="26">
        <f t="shared" si="33"/>
        <v>0</v>
      </c>
      <c r="O384" s="26"/>
      <c r="P384" s="26"/>
      <c r="Q384" s="23"/>
      <c r="R384" s="23">
        <f t="shared" si="34"/>
        <v>0</v>
      </c>
      <c r="S384" s="23"/>
      <c r="T384" s="23">
        <f t="shared" si="35"/>
        <v>0</v>
      </c>
      <c r="U384" s="28" t="str">
        <f t="shared" si="36"/>
        <v/>
      </c>
      <c r="V384" s="10" t="str">
        <f>IFERROR(N384*VLOOKUP(G384,FILAMENTI_DB!$A:$J,10,FALSE),"")</f>
        <v/>
      </c>
      <c r="W384" s="23" t="str">
        <f>IFERROR((VLOOKUP(F384,STAMPANTI_DB!$A:$C,3,FALSE)/1000)*O384*SETTINGS!$C$6,"")</f>
        <v/>
      </c>
      <c r="X384" s="23" t="str">
        <f>IFERROR(O384*VLOOKUP(F384,STAMPANTI_DB!$A:$I,9,FALSE),"")</f>
        <v/>
      </c>
      <c r="Y384" s="23">
        <f>IFERROR(P384*SETTINGS!$C$7,"")</f>
        <v>0</v>
      </c>
      <c r="Z384" s="23">
        <f>SETTINGS!$C$11</f>
        <v>0.5</v>
      </c>
      <c r="AA384" s="23">
        <f t="shared" si="37"/>
        <v>0.5</v>
      </c>
      <c r="AB384" s="23">
        <f>IFERROR(AA384*SETTINGS!$C$9,"")</f>
        <v>2.5000000000000001E-2</v>
      </c>
      <c r="AC384" s="23">
        <f>IFERROR((AA384+AB384)*SETTINGS!$C$10,"")</f>
        <v>2.6250000000000002E-2</v>
      </c>
    </row>
    <row r="385" spans="1:29" ht="16" x14ac:dyDescent="0.2">
      <c r="A385" s="25"/>
      <c r="H385" t="str">
        <f>IFERROR(VLOOKUP(G385,FILAMENTI_DB!$A:$C,3,FALSE),"")</f>
        <v/>
      </c>
      <c r="I385" t="str">
        <f>IFERROR(VLOOKUP(G385,FILAMENTI_DB!$A:$E,4,FALSE),"")</f>
        <v/>
      </c>
      <c r="J385" s="26"/>
      <c r="K385" s="27"/>
      <c r="L385" s="27"/>
      <c r="M385" s="27">
        <f t="shared" si="32"/>
        <v>0</v>
      </c>
      <c r="N385" s="26">
        <f t="shared" si="33"/>
        <v>0</v>
      </c>
      <c r="O385" s="26"/>
      <c r="P385" s="26"/>
      <c r="Q385" s="23"/>
      <c r="R385" s="23">
        <f t="shared" si="34"/>
        <v>0</v>
      </c>
      <c r="S385" s="23"/>
      <c r="T385" s="23">
        <f t="shared" si="35"/>
        <v>0</v>
      </c>
      <c r="U385" s="28" t="str">
        <f t="shared" si="36"/>
        <v/>
      </c>
      <c r="V385" s="10" t="str">
        <f>IFERROR(N385*VLOOKUP(G385,FILAMENTI_DB!$A:$J,10,FALSE),"")</f>
        <v/>
      </c>
      <c r="W385" s="23" t="str">
        <f>IFERROR((VLOOKUP(F385,STAMPANTI_DB!$A:$C,3,FALSE)/1000)*O385*SETTINGS!$C$6,"")</f>
        <v/>
      </c>
      <c r="X385" s="23" t="str">
        <f>IFERROR(O385*VLOOKUP(F385,STAMPANTI_DB!$A:$I,9,FALSE),"")</f>
        <v/>
      </c>
      <c r="Y385" s="23">
        <f>IFERROR(P385*SETTINGS!$C$7,"")</f>
        <v>0</v>
      </c>
      <c r="Z385" s="23">
        <f>SETTINGS!$C$11</f>
        <v>0.5</v>
      </c>
      <c r="AA385" s="23">
        <f t="shared" si="37"/>
        <v>0.5</v>
      </c>
      <c r="AB385" s="23">
        <f>IFERROR(AA385*SETTINGS!$C$9,"")</f>
        <v>2.5000000000000001E-2</v>
      </c>
      <c r="AC385" s="23">
        <f>IFERROR((AA385+AB385)*SETTINGS!$C$10,"")</f>
        <v>2.6250000000000002E-2</v>
      </c>
    </row>
    <row r="386" spans="1:29" ht="16" x14ac:dyDescent="0.2">
      <c r="A386" s="25"/>
      <c r="H386" t="str">
        <f>IFERROR(VLOOKUP(G386,FILAMENTI_DB!$A:$C,3,FALSE),"")</f>
        <v/>
      </c>
      <c r="I386" t="str">
        <f>IFERROR(VLOOKUP(G386,FILAMENTI_DB!$A:$E,4,FALSE),"")</f>
        <v/>
      </c>
      <c r="J386" s="26"/>
      <c r="K386" s="27"/>
      <c r="L386" s="27"/>
      <c r="M386" s="27">
        <f t="shared" si="32"/>
        <v>0</v>
      </c>
      <c r="N386" s="26">
        <f t="shared" si="33"/>
        <v>0</v>
      </c>
      <c r="O386" s="26"/>
      <c r="P386" s="26"/>
      <c r="Q386" s="23"/>
      <c r="R386" s="23">
        <f t="shared" si="34"/>
        <v>0</v>
      </c>
      <c r="S386" s="23"/>
      <c r="T386" s="23">
        <f t="shared" si="35"/>
        <v>0</v>
      </c>
      <c r="U386" s="28" t="str">
        <f t="shared" si="36"/>
        <v/>
      </c>
      <c r="V386" s="10" t="str">
        <f>IFERROR(N386*VLOOKUP(G386,FILAMENTI_DB!$A:$J,10,FALSE),"")</f>
        <v/>
      </c>
      <c r="W386" s="23" t="str">
        <f>IFERROR((VLOOKUP(F386,STAMPANTI_DB!$A:$C,3,FALSE)/1000)*O386*SETTINGS!$C$6,"")</f>
        <v/>
      </c>
      <c r="X386" s="23" t="str">
        <f>IFERROR(O386*VLOOKUP(F386,STAMPANTI_DB!$A:$I,9,FALSE),"")</f>
        <v/>
      </c>
      <c r="Y386" s="23">
        <f>IFERROR(P386*SETTINGS!$C$7,"")</f>
        <v>0</v>
      </c>
      <c r="Z386" s="23">
        <f>SETTINGS!$C$11</f>
        <v>0.5</v>
      </c>
      <c r="AA386" s="23">
        <f t="shared" si="37"/>
        <v>0.5</v>
      </c>
      <c r="AB386" s="23">
        <f>IFERROR(AA386*SETTINGS!$C$9,"")</f>
        <v>2.5000000000000001E-2</v>
      </c>
      <c r="AC386" s="23">
        <f>IFERROR((AA386+AB386)*SETTINGS!$C$10,"")</f>
        <v>2.6250000000000002E-2</v>
      </c>
    </row>
    <row r="387" spans="1:29" ht="16" x14ac:dyDescent="0.2">
      <c r="A387" s="25"/>
      <c r="H387" t="str">
        <f>IFERROR(VLOOKUP(G387,FILAMENTI_DB!$A:$C,3,FALSE),"")</f>
        <v/>
      </c>
      <c r="I387" t="str">
        <f>IFERROR(VLOOKUP(G387,FILAMENTI_DB!$A:$E,4,FALSE),"")</f>
        <v/>
      </c>
      <c r="J387" s="26"/>
      <c r="K387" s="27"/>
      <c r="L387" s="27"/>
      <c r="M387" s="27">
        <f t="shared" si="32"/>
        <v>0</v>
      </c>
      <c r="N387" s="26">
        <f t="shared" si="33"/>
        <v>0</v>
      </c>
      <c r="O387" s="26"/>
      <c r="P387" s="26"/>
      <c r="Q387" s="23"/>
      <c r="R387" s="23">
        <f t="shared" si="34"/>
        <v>0</v>
      </c>
      <c r="S387" s="23"/>
      <c r="T387" s="23">
        <f t="shared" si="35"/>
        <v>0</v>
      </c>
      <c r="U387" s="28" t="str">
        <f t="shared" si="36"/>
        <v/>
      </c>
      <c r="V387" s="10" t="str">
        <f>IFERROR(N387*VLOOKUP(G387,FILAMENTI_DB!$A:$J,10,FALSE),"")</f>
        <v/>
      </c>
      <c r="W387" s="23" t="str">
        <f>IFERROR((VLOOKUP(F387,STAMPANTI_DB!$A:$C,3,FALSE)/1000)*O387*SETTINGS!$C$6,"")</f>
        <v/>
      </c>
      <c r="X387" s="23" t="str">
        <f>IFERROR(O387*VLOOKUP(F387,STAMPANTI_DB!$A:$I,9,FALSE),"")</f>
        <v/>
      </c>
      <c r="Y387" s="23">
        <f>IFERROR(P387*SETTINGS!$C$7,"")</f>
        <v>0</v>
      </c>
      <c r="Z387" s="23">
        <f>SETTINGS!$C$11</f>
        <v>0.5</v>
      </c>
      <c r="AA387" s="23">
        <f t="shared" si="37"/>
        <v>0.5</v>
      </c>
      <c r="AB387" s="23">
        <f>IFERROR(AA387*SETTINGS!$C$9,"")</f>
        <v>2.5000000000000001E-2</v>
      </c>
      <c r="AC387" s="23">
        <f>IFERROR((AA387+AB387)*SETTINGS!$C$10,"")</f>
        <v>2.6250000000000002E-2</v>
      </c>
    </row>
    <row r="388" spans="1:29" ht="16" x14ac:dyDescent="0.2">
      <c r="A388" s="25"/>
      <c r="H388" t="str">
        <f>IFERROR(VLOOKUP(G388,FILAMENTI_DB!$A:$C,3,FALSE),"")</f>
        <v/>
      </c>
      <c r="I388" t="str">
        <f>IFERROR(VLOOKUP(G388,FILAMENTI_DB!$A:$E,4,FALSE),"")</f>
        <v/>
      </c>
      <c r="J388" s="26"/>
      <c r="K388" s="27"/>
      <c r="L388" s="27"/>
      <c r="M388" s="27">
        <f t="shared" si="32"/>
        <v>0</v>
      </c>
      <c r="N388" s="26">
        <f t="shared" si="33"/>
        <v>0</v>
      </c>
      <c r="O388" s="26"/>
      <c r="P388" s="26"/>
      <c r="Q388" s="23"/>
      <c r="R388" s="23">
        <f t="shared" si="34"/>
        <v>0</v>
      </c>
      <c r="S388" s="23"/>
      <c r="T388" s="23">
        <f t="shared" si="35"/>
        <v>0</v>
      </c>
      <c r="U388" s="28" t="str">
        <f t="shared" si="36"/>
        <v/>
      </c>
      <c r="V388" s="10" t="str">
        <f>IFERROR(N388*VLOOKUP(G388,FILAMENTI_DB!$A:$J,10,FALSE),"")</f>
        <v/>
      </c>
      <c r="W388" s="23" t="str">
        <f>IFERROR((VLOOKUP(F388,STAMPANTI_DB!$A:$C,3,FALSE)/1000)*O388*SETTINGS!$C$6,"")</f>
        <v/>
      </c>
      <c r="X388" s="23" t="str">
        <f>IFERROR(O388*VLOOKUP(F388,STAMPANTI_DB!$A:$I,9,FALSE),"")</f>
        <v/>
      </c>
      <c r="Y388" s="23">
        <f>IFERROR(P388*SETTINGS!$C$7,"")</f>
        <v>0</v>
      </c>
      <c r="Z388" s="23">
        <f>SETTINGS!$C$11</f>
        <v>0.5</v>
      </c>
      <c r="AA388" s="23">
        <f t="shared" si="37"/>
        <v>0.5</v>
      </c>
      <c r="AB388" s="23">
        <f>IFERROR(AA388*SETTINGS!$C$9,"")</f>
        <v>2.5000000000000001E-2</v>
      </c>
      <c r="AC388" s="23">
        <f>IFERROR((AA388+AB388)*SETTINGS!$C$10,"")</f>
        <v>2.6250000000000002E-2</v>
      </c>
    </row>
    <row r="389" spans="1:29" ht="16" x14ac:dyDescent="0.2">
      <c r="A389" s="25"/>
      <c r="H389" t="str">
        <f>IFERROR(VLOOKUP(G389,FILAMENTI_DB!$A:$C,3,FALSE),"")</f>
        <v/>
      </c>
      <c r="I389" t="str">
        <f>IFERROR(VLOOKUP(G389,FILAMENTI_DB!$A:$E,4,FALSE),"")</f>
        <v/>
      </c>
      <c r="J389" s="26"/>
      <c r="K389" s="27"/>
      <c r="L389" s="27"/>
      <c r="M389" s="27">
        <f t="shared" ref="M389:M452" si="38">IFERROR(K389+L389,"")</f>
        <v>0</v>
      </c>
      <c r="N389" s="26">
        <f t="shared" ref="N389:N452" si="39">IFERROR(J389*M389,"")</f>
        <v>0</v>
      </c>
      <c r="O389" s="26"/>
      <c r="P389" s="26"/>
      <c r="Q389" s="23"/>
      <c r="R389" s="23">
        <f t="shared" ref="R389:R452" si="40">IFERROR(Q389*K389,"")</f>
        <v>0</v>
      </c>
      <c r="S389" s="23"/>
      <c r="T389" s="23">
        <f t="shared" ref="T389:T452" si="41">IFERROR(R389-S389,"")</f>
        <v>0</v>
      </c>
      <c r="U389" s="28" t="str">
        <f t="shared" ref="U389:U452" si="42">IFERROR(T389/R389,"")</f>
        <v/>
      </c>
      <c r="V389" s="10" t="str">
        <f>IFERROR(N389*VLOOKUP(G389,FILAMENTI_DB!$A:$J,10,FALSE),"")</f>
        <v/>
      </c>
      <c r="W389" s="23" t="str">
        <f>IFERROR((VLOOKUP(F389,STAMPANTI_DB!$A:$C,3,FALSE)/1000)*O389*SETTINGS!$C$6,"")</f>
        <v/>
      </c>
      <c r="X389" s="23" t="str">
        <f>IFERROR(O389*VLOOKUP(F389,STAMPANTI_DB!$A:$I,9,FALSE),"")</f>
        <v/>
      </c>
      <c r="Y389" s="23">
        <f>IFERROR(P389*SETTINGS!$C$7,"")</f>
        <v>0</v>
      </c>
      <c r="Z389" s="23">
        <f>SETTINGS!$C$11</f>
        <v>0.5</v>
      </c>
      <c r="AA389" s="23">
        <f t="shared" ref="AA389:AA452" si="43">IFERROR(SUM(V389:Z389),"")</f>
        <v>0.5</v>
      </c>
      <c r="AB389" s="23">
        <f>IFERROR(AA389*SETTINGS!$C$9,"")</f>
        <v>2.5000000000000001E-2</v>
      </c>
      <c r="AC389" s="23">
        <f>IFERROR((AA389+AB389)*SETTINGS!$C$10,"")</f>
        <v>2.6250000000000002E-2</v>
      </c>
    </row>
    <row r="390" spans="1:29" ht="16" x14ac:dyDescent="0.2">
      <c r="A390" s="25"/>
      <c r="H390" t="str">
        <f>IFERROR(VLOOKUP(G390,FILAMENTI_DB!$A:$C,3,FALSE),"")</f>
        <v/>
      </c>
      <c r="I390" t="str">
        <f>IFERROR(VLOOKUP(G390,FILAMENTI_DB!$A:$E,4,FALSE),"")</f>
        <v/>
      </c>
      <c r="J390" s="26"/>
      <c r="K390" s="27"/>
      <c r="L390" s="27"/>
      <c r="M390" s="27">
        <f t="shared" si="38"/>
        <v>0</v>
      </c>
      <c r="N390" s="26">
        <f t="shared" si="39"/>
        <v>0</v>
      </c>
      <c r="O390" s="26"/>
      <c r="P390" s="26"/>
      <c r="Q390" s="23"/>
      <c r="R390" s="23">
        <f t="shared" si="40"/>
        <v>0</v>
      </c>
      <c r="S390" s="23"/>
      <c r="T390" s="23">
        <f t="shared" si="41"/>
        <v>0</v>
      </c>
      <c r="U390" s="28" t="str">
        <f t="shared" si="42"/>
        <v/>
      </c>
      <c r="V390" s="10" t="str">
        <f>IFERROR(N390*VLOOKUP(G390,FILAMENTI_DB!$A:$J,10,FALSE),"")</f>
        <v/>
      </c>
      <c r="W390" s="23" t="str">
        <f>IFERROR((VLOOKUP(F390,STAMPANTI_DB!$A:$C,3,FALSE)/1000)*O390*SETTINGS!$C$6,"")</f>
        <v/>
      </c>
      <c r="X390" s="23" t="str">
        <f>IFERROR(O390*VLOOKUP(F390,STAMPANTI_DB!$A:$I,9,FALSE),"")</f>
        <v/>
      </c>
      <c r="Y390" s="23">
        <f>IFERROR(P390*SETTINGS!$C$7,"")</f>
        <v>0</v>
      </c>
      <c r="Z390" s="23">
        <f>SETTINGS!$C$11</f>
        <v>0.5</v>
      </c>
      <c r="AA390" s="23">
        <f t="shared" si="43"/>
        <v>0.5</v>
      </c>
      <c r="AB390" s="23">
        <f>IFERROR(AA390*SETTINGS!$C$9,"")</f>
        <v>2.5000000000000001E-2</v>
      </c>
      <c r="AC390" s="23">
        <f>IFERROR((AA390+AB390)*SETTINGS!$C$10,"")</f>
        <v>2.6250000000000002E-2</v>
      </c>
    </row>
    <row r="391" spans="1:29" ht="16" x14ac:dyDescent="0.2">
      <c r="A391" s="25"/>
      <c r="H391" t="str">
        <f>IFERROR(VLOOKUP(G391,FILAMENTI_DB!$A:$C,3,FALSE),"")</f>
        <v/>
      </c>
      <c r="I391" t="str">
        <f>IFERROR(VLOOKUP(G391,FILAMENTI_DB!$A:$E,4,FALSE),"")</f>
        <v/>
      </c>
      <c r="J391" s="26"/>
      <c r="K391" s="27"/>
      <c r="L391" s="27"/>
      <c r="M391" s="27">
        <f t="shared" si="38"/>
        <v>0</v>
      </c>
      <c r="N391" s="26">
        <f t="shared" si="39"/>
        <v>0</v>
      </c>
      <c r="O391" s="26"/>
      <c r="P391" s="26"/>
      <c r="Q391" s="23"/>
      <c r="R391" s="23">
        <f t="shared" si="40"/>
        <v>0</v>
      </c>
      <c r="S391" s="23"/>
      <c r="T391" s="23">
        <f t="shared" si="41"/>
        <v>0</v>
      </c>
      <c r="U391" s="28" t="str">
        <f t="shared" si="42"/>
        <v/>
      </c>
      <c r="V391" s="10" t="str">
        <f>IFERROR(N391*VLOOKUP(G391,FILAMENTI_DB!$A:$J,10,FALSE),"")</f>
        <v/>
      </c>
      <c r="W391" s="23" t="str">
        <f>IFERROR((VLOOKUP(F391,STAMPANTI_DB!$A:$C,3,FALSE)/1000)*O391*SETTINGS!$C$6,"")</f>
        <v/>
      </c>
      <c r="X391" s="23" t="str">
        <f>IFERROR(O391*VLOOKUP(F391,STAMPANTI_DB!$A:$I,9,FALSE),"")</f>
        <v/>
      </c>
      <c r="Y391" s="23">
        <f>IFERROR(P391*SETTINGS!$C$7,"")</f>
        <v>0</v>
      </c>
      <c r="Z391" s="23">
        <f>SETTINGS!$C$11</f>
        <v>0.5</v>
      </c>
      <c r="AA391" s="23">
        <f t="shared" si="43"/>
        <v>0.5</v>
      </c>
      <c r="AB391" s="23">
        <f>IFERROR(AA391*SETTINGS!$C$9,"")</f>
        <v>2.5000000000000001E-2</v>
      </c>
      <c r="AC391" s="23">
        <f>IFERROR((AA391+AB391)*SETTINGS!$C$10,"")</f>
        <v>2.6250000000000002E-2</v>
      </c>
    </row>
    <row r="392" spans="1:29" ht="16" x14ac:dyDescent="0.2">
      <c r="A392" s="25"/>
      <c r="H392" t="str">
        <f>IFERROR(VLOOKUP(G392,FILAMENTI_DB!$A:$C,3,FALSE),"")</f>
        <v/>
      </c>
      <c r="I392" t="str">
        <f>IFERROR(VLOOKUP(G392,FILAMENTI_DB!$A:$E,4,FALSE),"")</f>
        <v/>
      </c>
      <c r="J392" s="26"/>
      <c r="K392" s="27"/>
      <c r="L392" s="27"/>
      <c r="M392" s="27">
        <f t="shared" si="38"/>
        <v>0</v>
      </c>
      <c r="N392" s="26">
        <f t="shared" si="39"/>
        <v>0</v>
      </c>
      <c r="O392" s="26"/>
      <c r="P392" s="26"/>
      <c r="Q392" s="23"/>
      <c r="R392" s="23">
        <f t="shared" si="40"/>
        <v>0</v>
      </c>
      <c r="S392" s="23"/>
      <c r="T392" s="23">
        <f t="shared" si="41"/>
        <v>0</v>
      </c>
      <c r="U392" s="28" t="str">
        <f t="shared" si="42"/>
        <v/>
      </c>
      <c r="V392" s="10" t="str">
        <f>IFERROR(N392*VLOOKUP(G392,FILAMENTI_DB!$A:$J,10,FALSE),"")</f>
        <v/>
      </c>
      <c r="W392" s="23" t="str">
        <f>IFERROR((VLOOKUP(F392,STAMPANTI_DB!$A:$C,3,FALSE)/1000)*O392*SETTINGS!$C$6,"")</f>
        <v/>
      </c>
      <c r="X392" s="23" t="str">
        <f>IFERROR(O392*VLOOKUP(F392,STAMPANTI_DB!$A:$I,9,FALSE),"")</f>
        <v/>
      </c>
      <c r="Y392" s="23">
        <f>IFERROR(P392*SETTINGS!$C$7,"")</f>
        <v>0</v>
      </c>
      <c r="Z392" s="23">
        <f>SETTINGS!$C$11</f>
        <v>0.5</v>
      </c>
      <c r="AA392" s="23">
        <f t="shared" si="43"/>
        <v>0.5</v>
      </c>
      <c r="AB392" s="23">
        <f>IFERROR(AA392*SETTINGS!$C$9,"")</f>
        <v>2.5000000000000001E-2</v>
      </c>
      <c r="AC392" s="23">
        <f>IFERROR((AA392+AB392)*SETTINGS!$C$10,"")</f>
        <v>2.6250000000000002E-2</v>
      </c>
    </row>
    <row r="393" spans="1:29" ht="16" x14ac:dyDescent="0.2">
      <c r="A393" s="25"/>
      <c r="H393" t="str">
        <f>IFERROR(VLOOKUP(G393,FILAMENTI_DB!$A:$C,3,FALSE),"")</f>
        <v/>
      </c>
      <c r="I393" t="str">
        <f>IFERROR(VLOOKUP(G393,FILAMENTI_DB!$A:$E,4,FALSE),"")</f>
        <v/>
      </c>
      <c r="J393" s="26"/>
      <c r="K393" s="27"/>
      <c r="L393" s="27"/>
      <c r="M393" s="27">
        <f t="shared" si="38"/>
        <v>0</v>
      </c>
      <c r="N393" s="26">
        <f t="shared" si="39"/>
        <v>0</v>
      </c>
      <c r="O393" s="26"/>
      <c r="P393" s="26"/>
      <c r="Q393" s="23"/>
      <c r="R393" s="23">
        <f t="shared" si="40"/>
        <v>0</v>
      </c>
      <c r="S393" s="23"/>
      <c r="T393" s="23">
        <f t="shared" si="41"/>
        <v>0</v>
      </c>
      <c r="U393" s="28" t="str">
        <f t="shared" si="42"/>
        <v/>
      </c>
      <c r="V393" s="10" t="str">
        <f>IFERROR(N393*VLOOKUP(G393,FILAMENTI_DB!$A:$J,10,FALSE),"")</f>
        <v/>
      </c>
      <c r="W393" s="23" t="str">
        <f>IFERROR((VLOOKUP(F393,STAMPANTI_DB!$A:$C,3,FALSE)/1000)*O393*SETTINGS!$C$6,"")</f>
        <v/>
      </c>
      <c r="X393" s="23" t="str">
        <f>IFERROR(O393*VLOOKUP(F393,STAMPANTI_DB!$A:$I,9,FALSE),"")</f>
        <v/>
      </c>
      <c r="Y393" s="23">
        <f>IFERROR(P393*SETTINGS!$C$7,"")</f>
        <v>0</v>
      </c>
      <c r="Z393" s="23">
        <f>SETTINGS!$C$11</f>
        <v>0.5</v>
      </c>
      <c r="AA393" s="23">
        <f t="shared" si="43"/>
        <v>0.5</v>
      </c>
      <c r="AB393" s="23">
        <f>IFERROR(AA393*SETTINGS!$C$9,"")</f>
        <v>2.5000000000000001E-2</v>
      </c>
      <c r="AC393" s="23">
        <f>IFERROR((AA393+AB393)*SETTINGS!$C$10,"")</f>
        <v>2.6250000000000002E-2</v>
      </c>
    </row>
    <row r="394" spans="1:29" ht="16" x14ac:dyDescent="0.2">
      <c r="A394" s="25"/>
      <c r="H394" t="str">
        <f>IFERROR(VLOOKUP(G394,FILAMENTI_DB!$A:$C,3,FALSE),"")</f>
        <v/>
      </c>
      <c r="I394" t="str">
        <f>IFERROR(VLOOKUP(G394,FILAMENTI_DB!$A:$E,4,FALSE),"")</f>
        <v/>
      </c>
      <c r="J394" s="26"/>
      <c r="K394" s="27"/>
      <c r="L394" s="27"/>
      <c r="M394" s="27">
        <f t="shared" si="38"/>
        <v>0</v>
      </c>
      <c r="N394" s="26">
        <f t="shared" si="39"/>
        <v>0</v>
      </c>
      <c r="O394" s="26"/>
      <c r="P394" s="26"/>
      <c r="Q394" s="23"/>
      <c r="R394" s="23">
        <f t="shared" si="40"/>
        <v>0</v>
      </c>
      <c r="S394" s="23"/>
      <c r="T394" s="23">
        <f t="shared" si="41"/>
        <v>0</v>
      </c>
      <c r="U394" s="28" t="str">
        <f t="shared" si="42"/>
        <v/>
      </c>
      <c r="V394" s="10" t="str">
        <f>IFERROR(N394*VLOOKUP(G394,FILAMENTI_DB!$A:$J,10,FALSE),"")</f>
        <v/>
      </c>
      <c r="W394" s="23" t="str">
        <f>IFERROR((VLOOKUP(F394,STAMPANTI_DB!$A:$C,3,FALSE)/1000)*O394*SETTINGS!$C$6,"")</f>
        <v/>
      </c>
      <c r="X394" s="23" t="str">
        <f>IFERROR(O394*VLOOKUP(F394,STAMPANTI_DB!$A:$I,9,FALSE),"")</f>
        <v/>
      </c>
      <c r="Y394" s="23">
        <f>IFERROR(P394*SETTINGS!$C$7,"")</f>
        <v>0</v>
      </c>
      <c r="Z394" s="23">
        <f>SETTINGS!$C$11</f>
        <v>0.5</v>
      </c>
      <c r="AA394" s="23">
        <f t="shared" si="43"/>
        <v>0.5</v>
      </c>
      <c r="AB394" s="23">
        <f>IFERROR(AA394*SETTINGS!$C$9,"")</f>
        <v>2.5000000000000001E-2</v>
      </c>
      <c r="AC394" s="23">
        <f>IFERROR((AA394+AB394)*SETTINGS!$C$10,"")</f>
        <v>2.6250000000000002E-2</v>
      </c>
    </row>
    <row r="395" spans="1:29" ht="16" x14ac:dyDescent="0.2">
      <c r="A395" s="25"/>
      <c r="H395" t="str">
        <f>IFERROR(VLOOKUP(G395,FILAMENTI_DB!$A:$C,3,FALSE),"")</f>
        <v/>
      </c>
      <c r="I395" t="str">
        <f>IFERROR(VLOOKUP(G395,FILAMENTI_DB!$A:$E,4,FALSE),"")</f>
        <v/>
      </c>
      <c r="J395" s="26"/>
      <c r="K395" s="27"/>
      <c r="L395" s="27"/>
      <c r="M395" s="27">
        <f t="shared" si="38"/>
        <v>0</v>
      </c>
      <c r="N395" s="26">
        <f t="shared" si="39"/>
        <v>0</v>
      </c>
      <c r="O395" s="26"/>
      <c r="P395" s="26"/>
      <c r="Q395" s="23"/>
      <c r="R395" s="23">
        <f t="shared" si="40"/>
        <v>0</v>
      </c>
      <c r="S395" s="23"/>
      <c r="T395" s="23">
        <f t="shared" si="41"/>
        <v>0</v>
      </c>
      <c r="U395" s="28" t="str">
        <f t="shared" si="42"/>
        <v/>
      </c>
      <c r="V395" s="10" t="str">
        <f>IFERROR(N395*VLOOKUP(G395,FILAMENTI_DB!$A:$J,10,FALSE),"")</f>
        <v/>
      </c>
      <c r="W395" s="23" t="str">
        <f>IFERROR((VLOOKUP(F395,STAMPANTI_DB!$A:$C,3,FALSE)/1000)*O395*SETTINGS!$C$6,"")</f>
        <v/>
      </c>
      <c r="X395" s="23" t="str">
        <f>IFERROR(O395*VLOOKUP(F395,STAMPANTI_DB!$A:$I,9,FALSE),"")</f>
        <v/>
      </c>
      <c r="Y395" s="23">
        <f>IFERROR(P395*SETTINGS!$C$7,"")</f>
        <v>0</v>
      </c>
      <c r="Z395" s="23">
        <f>SETTINGS!$C$11</f>
        <v>0.5</v>
      </c>
      <c r="AA395" s="23">
        <f t="shared" si="43"/>
        <v>0.5</v>
      </c>
      <c r="AB395" s="23">
        <f>IFERROR(AA395*SETTINGS!$C$9,"")</f>
        <v>2.5000000000000001E-2</v>
      </c>
      <c r="AC395" s="23">
        <f>IFERROR((AA395+AB395)*SETTINGS!$C$10,"")</f>
        <v>2.6250000000000002E-2</v>
      </c>
    </row>
    <row r="396" spans="1:29" ht="16" x14ac:dyDescent="0.2">
      <c r="A396" s="25"/>
      <c r="H396" t="str">
        <f>IFERROR(VLOOKUP(G396,FILAMENTI_DB!$A:$C,3,FALSE),"")</f>
        <v/>
      </c>
      <c r="I396" t="str">
        <f>IFERROR(VLOOKUP(G396,FILAMENTI_DB!$A:$E,4,FALSE),"")</f>
        <v/>
      </c>
      <c r="J396" s="26"/>
      <c r="K396" s="27"/>
      <c r="L396" s="27"/>
      <c r="M396" s="27">
        <f t="shared" si="38"/>
        <v>0</v>
      </c>
      <c r="N396" s="26">
        <f t="shared" si="39"/>
        <v>0</v>
      </c>
      <c r="O396" s="26"/>
      <c r="P396" s="26"/>
      <c r="Q396" s="23"/>
      <c r="R396" s="23">
        <f t="shared" si="40"/>
        <v>0</v>
      </c>
      <c r="S396" s="23"/>
      <c r="T396" s="23">
        <f t="shared" si="41"/>
        <v>0</v>
      </c>
      <c r="U396" s="28" t="str">
        <f t="shared" si="42"/>
        <v/>
      </c>
      <c r="V396" s="10" t="str">
        <f>IFERROR(N396*VLOOKUP(G396,FILAMENTI_DB!$A:$J,10,FALSE),"")</f>
        <v/>
      </c>
      <c r="W396" s="23" t="str">
        <f>IFERROR((VLOOKUP(F396,STAMPANTI_DB!$A:$C,3,FALSE)/1000)*O396*SETTINGS!$C$6,"")</f>
        <v/>
      </c>
      <c r="X396" s="23" t="str">
        <f>IFERROR(O396*VLOOKUP(F396,STAMPANTI_DB!$A:$I,9,FALSE),"")</f>
        <v/>
      </c>
      <c r="Y396" s="23">
        <f>IFERROR(P396*SETTINGS!$C$7,"")</f>
        <v>0</v>
      </c>
      <c r="Z396" s="23">
        <f>SETTINGS!$C$11</f>
        <v>0.5</v>
      </c>
      <c r="AA396" s="23">
        <f t="shared" si="43"/>
        <v>0.5</v>
      </c>
      <c r="AB396" s="23">
        <f>IFERROR(AA396*SETTINGS!$C$9,"")</f>
        <v>2.5000000000000001E-2</v>
      </c>
      <c r="AC396" s="23">
        <f>IFERROR((AA396+AB396)*SETTINGS!$C$10,"")</f>
        <v>2.6250000000000002E-2</v>
      </c>
    </row>
    <row r="397" spans="1:29" ht="16" x14ac:dyDescent="0.2">
      <c r="A397" s="25"/>
      <c r="H397" t="str">
        <f>IFERROR(VLOOKUP(G397,FILAMENTI_DB!$A:$C,3,FALSE),"")</f>
        <v/>
      </c>
      <c r="I397" t="str">
        <f>IFERROR(VLOOKUP(G397,FILAMENTI_DB!$A:$E,4,FALSE),"")</f>
        <v/>
      </c>
      <c r="J397" s="26"/>
      <c r="K397" s="27"/>
      <c r="L397" s="27"/>
      <c r="M397" s="27">
        <f t="shared" si="38"/>
        <v>0</v>
      </c>
      <c r="N397" s="26">
        <f t="shared" si="39"/>
        <v>0</v>
      </c>
      <c r="O397" s="26"/>
      <c r="P397" s="26"/>
      <c r="Q397" s="23"/>
      <c r="R397" s="23">
        <f t="shared" si="40"/>
        <v>0</v>
      </c>
      <c r="S397" s="23"/>
      <c r="T397" s="23">
        <f t="shared" si="41"/>
        <v>0</v>
      </c>
      <c r="U397" s="28" t="str">
        <f t="shared" si="42"/>
        <v/>
      </c>
      <c r="V397" s="10" t="str">
        <f>IFERROR(N397*VLOOKUP(G397,FILAMENTI_DB!$A:$J,10,FALSE),"")</f>
        <v/>
      </c>
      <c r="W397" s="23" t="str">
        <f>IFERROR((VLOOKUP(F397,STAMPANTI_DB!$A:$C,3,FALSE)/1000)*O397*SETTINGS!$C$6,"")</f>
        <v/>
      </c>
      <c r="X397" s="23" t="str">
        <f>IFERROR(O397*VLOOKUP(F397,STAMPANTI_DB!$A:$I,9,FALSE),"")</f>
        <v/>
      </c>
      <c r="Y397" s="23">
        <f>IFERROR(P397*SETTINGS!$C$7,"")</f>
        <v>0</v>
      </c>
      <c r="Z397" s="23">
        <f>SETTINGS!$C$11</f>
        <v>0.5</v>
      </c>
      <c r="AA397" s="23">
        <f t="shared" si="43"/>
        <v>0.5</v>
      </c>
      <c r="AB397" s="23">
        <f>IFERROR(AA397*SETTINGS!$C$9,"")</f>
        <v>2.5000000000000001E-2</v>
      </c>
      <c r="AC397" s="23">
        <f>IFERROR((AA397+AB397)*SETTINGS!$C$10,"")</f>
        <v>2.6250000000000002E-2</v>
      </c>
    </row>
    <row r="398" spans="1:29" ht="16" x14ac:dyDescent="0.2">
      <c r="A398" s="25"/>
      <c r="H398" t="str">
        <f>IFERROR(VLOOKUP(G398,FILAMENTI_DB!$A:$C,3,FALSE),"")</f>
        <v/>
      </c>
      <c r="I398" t="str">
        <f>IFERROR(VLOOKUP(G398,FILAMENTI_DB!$A:$E,4,FALSE),"")</f>
        <v/>
      </c>
      <c r="J398" s="26"/>
      <c r="K398" s="27"/>
      <c r="L398" s="27"/>
      <c r="M398" s="27">
        <f t="shared" si="38"/>
        <v>0</v>
      </c>
      <c r="N398" s="26">
        <f t="shared" si="39"/>
        <v>0</v>
      </c>
      <c r="O398" s="26"/>
      <c r="P398" s="26"/>
      <c r="Q398" s="23"/>
      <c r="R398" s="23">
        <f t="shared" si="40"/>
        <v>0</v>
      </c>
      <c r="S398" s="23"/>
      <c r="T398" s="23">
        <f t="shared" si="41"/>
        <v>0</v>
      </c>
      <c r="U398" s="28" t="str">
        <f t="shared" si="42"/>
        <v/>
      </c>
      <c r="V398" s="10" t="str">
        <f>IFERROR(N398*VLOOKUP(G398,FILAMENTI_DB!$A:$J,10,FALSE),"")</f>
        <v/>
      </c>
      <c r="W398" s="23" t="str">
        <f>IFERROR((VLOOKUP(F398,STAMPANTI_DB!$A:$C,3,FALSE)/1000)*O398*SETTINGS!$C$6,"")</f>
        <v/>
      </c>
      <c r="X398" s="23" t="str">
        <f>IFERROR(O398*VLOOKUP(F398,STAMPANTI_DB!$A:$I,9,FALSE),"")</f>
        <v/>
      </c>
      <c r="Y398" s="23">
        <f>IFERROR(P398*SETTINGS!$C$7,"")</f>
        <v>0</v>
      </c>
      <c r="Z398" s="23">
        <f>SETTINGS!$C$11</f>
        <v>0.5</v>
      </c>
      <c r="AA398" s="23">
        <f t="shared" si="43"/>
        <v>0.5</v>
      </c>
      <c r="AB398" s="23">
        <f>IFERROR(AA398*SETTINGS!$C$9,"")</f>
        <v>2.5000000000000001E-2</v>
      </c>
      <c r="AC398" s="23">
        <f>IFERROR((AA398+AB398)*SETTINGS!$C$10,"")</f>
        <v>2.6250000000000002E-2</v>
      </c>
    </row>
    <row r="399" spans="1:29" ht="16" x14ac:dyDescent="0.2">
      <c r="A399" s="25"/>
      <c r="H399" t="str">
        <f>IFERROR(VLOOKUP(G399,FILAMENTI_DB!$A:$C,3,FALSE),"")</f>
        <v/>
      </c>
      <c r="I399" t="str">
        <f>IFERROR(VLOOKUP(G399,FILAMENTI_DB!$A:$E,4,FALSE),"")</f>
        <v/>
      </c>
      <c r="J399" s="26"/>
      <c r="K399" s="27"/>
      <c r="L399" s="27"/>
      <c r="M399" s="27">
        <f t="shared" si="38"/>
        <v>0</v>
      </c>
      <c r="N399" s="26">
        <f t="shared" si="39"/>
        <v>0</v>
      </c>
      <c r="O399" s="26"/>
      <c r="P399" s="26"/>
      <c r="Q399" s="23"/>
      <c r="R399" s="23">
        <f t="shared" si="40"/>
        <v>0</v>
      </c>
      <c r="S399" s="23"/>
      <c r="T399" s="23">
        <f t="shared" si="41"/>
        <v>0</v>
      </c>
      <c r="U399" s="28" t="str">
        <f t="shared" si="42"/>
        <v/>
      </c>
      <c r="V399" s="10" t="str">
        <f>IFERROR(N399*VLOOKUP(G399,FILAMENTI_DB!$A:$J,10,FALSE),"")</f>
        <v/>
      </c>
      <c r="W399" s="23" t="str">
        <f>IFERROR((VLOOKUP(F399,STAMPANTI_DB!$A:$C,3,FALSE)/1000)*O399*SETTINGS!$C$6,"")</f>
        <v/>
      </c>
      <c r="X399" s="23" t="str">
        <f>IFERROR(O399*VLOOKUP(F399,STAMPANTI_DB!$A:$I,9,FALSE),"")</f>
        <v/>
      </c>
      <c r="Y399" s="23">
        <f>IFERROR(P399*SETTINGS!$C$7,"")</f>
        <v>0</v>
      </c>
      <c r="Z399" s="23">
        <f>SETTINGS!$C$11</f>
        <v>0.5</v>
      </c>
      <c r="AA399" s="23">
        <f t="shared" si="43"/>
        <v>0.5</v>
      </c>
      <c r="AB399" s="23">
        <f>IFERROR(AA399*SETTINGS!$C$9,"")</f>
        <v>2.5000000000000001E-2</v>
      </c>
      <c r="AC399" s="23">
        <f>IFERROR((AA399+AB399)*SETTINGS!$C$10,"")</f>
        <v>2.6250000000000002E-2</v>
      </c>
    </row>
    <row r="400" spans="1:29" ht="16" x14ac:dyDescent="0.2">
      <c r="A400" s="25"/>
      <c r="H400" t="str">
        <f>IFERROR(VLOOKUP(G400,FILAMENTI_DB!$A:$C,3,FALSE),"")</f>
        <v/>
      </c>
      <c r="I400" t="str">
        <f>IFERROR(VLOOKUP(G400,FILAMENTI_DB!$A:$E,4,FALSE),"")</f>
        <v/>
      </c>
      <c r="J400" s="26"/>
      <c r="K400" s="27"/>
      <c r="L400" s="27"/>
      <c r="M400" s="27">
        <f t="shared" si="38"/>
        <v>0</v>
      </c>
      <c r="N400" s="26">
        <f t="shared" si="39"/>
        <v>0</v>
      </c>
      <c r="O400" s="26"/>
      <c r="P400" s="26"/>
      <c r="Q400" s="23"/>
      <c r="R400" s="23">
        <f t="shared" si="40"/>
        <v>0</v>
      </c>
      <c r="S400" s="23"/>
      <c r="T400" s="23">
        <f t="shared" si="41"/>
        <v>0</v>
      </c>
      <c r="U400" s="28" t="str">
        <f t="shared" si="42"/>
        <v/>
      </c>
      <c r="V400" s="10" t="str">
        <f>IFERROR(N400*VLOOKUP(G400,FILAMENTI_DB!$A:$J,10,FALSE),"")</f>
        <v/>
      </c>
      <c r="W400" s="23" t="str">
        <f>IFERROR((VLOOKUP(F400,STAMPANTI_DB!$A:$C,3,FALSE)/1000)*O400*SETTINGS!$C$6,"")</f>
        <v/>
      </c>
      <c r="X400" s="23" t="str">
        <f>IFERROR(O400*VLOOKUP(F400,STAMPANTI_DB!$A:$I,9,FALSE),"")</f>
        <v/>
      </c>
      <c r="Y400" s="23">
        <f>IFERROR(P400*SETTINGS!$C$7,"")</f>
        <v>0</v>
      </c>
      <c r="Z400" s="23">
        <f>SETTINGS!$C$11</f>
        <v>0.5</v>
      </c>
      <c r="AA400" s="23">
        <f t="shared" si="43"/>
        <v>0.5</v>
      </c>
      <c r="AB400" s="23">
        <f>IFERROR(AA400*SETTINGS!$C$9,"")</f>
        <v>2.5000000000000001E-2</v>
      </c>
      <c r="AC400" s="23">
        <f>IFERROR((AA400+AB400)*SETTINGS!$C$10,"")</f>
        <v>2.6250000000000002E-2</v>
      </c>
    </row>
    <row r="401" spans="1:29" ht="16" x14ac:dyDescent="0.2">
      <c r="A401" s="25"/>
      <c r="H401" t="str">
        <f>IFERROR(VLOOKUP(G401,FILAMENTI_DB!$A:$C,3,FALSE),"")</f>
        <v/>
      </c>
      <c r="I401" t="str">
        <f>IFERROR(VLOOKUP(G401,FILAMENTI_DB!$A:$E,4,FALSE),"")</f>
        <v/>
      </c>
      <c r="J401" s="26"/>
      <c r="K401" s="27"/>
      <c r="L401" s="27"/>
      <c r="M401" s="27">
        <f t="shared" si="38"/>
        <v>0</v>
      </c>
      <c r="N401" s="26">
        <f t="shared" si="39"/>
        <v>0</v>
      </c>
      <c r="O401" s="26"/>
      <c r="P401" s="26"/>
      <c r="Q401" s="23"/>
      <c r="R401" s="23">
        <f t="shared" si="40"/>
        <v>0</v>
      </c>
      <c r="S401" s="23"/>
      <c r="T401" s="23">
        <f t="shared" si="41"/>
        <v>0</v>
      </c>
      <c r="U401" s="28" t="str">
        <f t="shared" si="42"/>
        <v/>
      </c>
      <c r="V401" s="10" t="str">
        <f>IFERROR(N401*VLOOKUP(G401,FILAMENTI_DB!$A:$J,10,FALSE),"")</f>
        <v/>
      </c>
      <c r="W401" s="23" t="str">
        <f>IFERROR((VLOOKUP(F401,STAMPANTI_DB!$A:$C,3,FALSE)/1000)*O401*SETTINGS!$C$6,"")</f>
        <v/>
      </c>
      <c r="X401" s="23" t="str">
        <f>IFERROR(O401*VLOOKUP(F401,STAMPANTI_DB!$A:$I,9,FALSE),"")</f>
        <v/>
      </c>
      <c r="Y401" s="23">
        <f>IFERROR(P401*SETTINGS!$C$7,"")</f>
        <v>0</v>
      </c>
      <c r="Z401" s="23">
        <f>SETTINGS!$C$11</f>
        <v>0.5</v>
      </c>
      <c r="AA401" s="23">
        <f t="shared" si="43"/>
        <v>0.5</v>
      </c>
      <c r="AB401" s="23">
        <f>IFERROR(AA401*SETTINGS!$C$9,"")</f>
        <v>2.5000000000000001E-2</v>
      </c>
      <c r="AC401" s="23">
        <f>IFERROR((AA401+AB401)*SETTINGS!$C$10,"")</f>
        <v>2.6250000000000002E-2</v>
      </c>
    </row>
    <row r="402" spans="1:29" ht="16" x14ac:dyDescent="0.2">
      <c r="A402" s="25"/>
      <c r="H402" t="str">
        <f>IFERROR(VLOOKUP(G402,FILAMENTI_DB!$A:$C,3,FALSE),"")</f>
        <v/>
      </c>
      <c r="I402" t="str">
        <f>IFERROR(VLOOKUP(G402,FILAMENTI_DB!$A:$E,4,FALSE),"")</f>
        <v/>
      </c>
      <c r="J402" s="26"/>
      <c r="K402" s="27"/>
      <c r="L402" s="27"/>
      <c r="M402" s="27">
        <f t="shared" si="38"/>
        <v>0</v>
      </c>
      <c r="N402" s="26">
        <f t="shared" si="39"/>
        <v>0</v>
      </c>
      <c r="O402" s="26"/>
      <c r="P402" s="26"/>
      <c r="Q402" s="23"/>
      <c r="R402" s="23">
        <f t="shared" si="40"/>
        <v>0</v>
      </c>
      <c r="S402" s="23"/>
      <c r="T402" s="23">
        <f t="shared" si="41"/>
        <v>0</v>
      </c>
      <c r="U402" s="28" t="str">
        <f t="shared" si="42"/>
        <v/>
      </c>
      <c r="V402" s="10" t="str">
        <f>IFERROR(N402*VLOOKUP(G402,FILAMENTI_DB!$A:$J,10,FALSE),"")</f>
        <v/>
      </c>
      <c r="W402" s="23" t="str">
        <f>IFERROR((VLOOKUP(F402,STAMPANTI_DB!$A:$C,3,FALSE)/1000)*O402*SETTINGS!$C$6,"")</f>
        <v/>
      </c>
      <c r="X402" s="23" t="str">
        <f>IFERROR(O402*VLOOKUP(F402,STAMPANTI_DB!$A:$I,9,FALSE),"")</f>
        <v/>
      </c>
      <c r="Y402" s="23">
        <f>IFERROR(P402*SETTINGS!$C$7,"")</f>
        <v>0</v>
      </c>
      <c r="Z402" s="23">
        <f>SETTINGS!$C$11</f>
        <v>0.5</v>
      </c>
      <c r="AA402" s="23">
        <f t="shared" si="43"/>
        <v>0.5</v>
      </c>
      <c r="AB402" s="23">
        <f>IFERROR(AA402*SETTINGS!$C$9,"")</f>
        <v>2.5000000000000001E-2</v>
      </c>
      <c r="AC402" s="23">
        <f>IFERROR((AA402+AB402)*SETTINGS!$C$10,"")</f>
        <v>2.6250000000000002E-2</v>
      </c>
    </row>
    <row r="403" spans="1:29" ht="16" x14ac:dyDescent="0.2">
      <c r="A403" s="25"/>
      <c r="H403" t="str">
        <f>IFERROR(VLOOKUP(G403,FILAMENTI_DB!$A:$C,3,FALSE),"")</f>
        <v/>
      </c>
      <c r="I403" t="str">
        <f>IFERROR(VLOOKUP(G403,FILAMENTI_DB!$A:$E,4,FALSE),"")</f>
        <v/>
      </c>
      <c r="J403" s="26"/>
      <c r="K403" s="27"/>
      <c r="L403" s="27"/>
      <c r="M403" s="27">
        <f t="shared" si="38"/>
        <v>0</v>
      </c>
      <c r="N403" s="26">
        <f t="shared" si="39"/>
        <v>0</v>
      </c>
      <c r="O403" s="26"/>
      <c r="P403" s="26"/>
      <c r="Q403" s="23"/>
      <c r="R403" s="23">
        <f t="shared" si="40"/>
        <v>0</v>
      </c>
      <c r="S403" s="23"/>
      <c r="T403" s="23">
        <f t="shared" si="41"/>
        <v>0</v>
      </c>
      <c r="U403" s="28" t="str">
        <f t="shared" si="42"/>
        <v/>
      </c>
      <c r="V403" s="10" t="str">
        <f>IFERROR(N403*VLOOKUP(G403,FILAMENTI_DB!$A:$J,10,FALSE),"")</f>
        <v/>
      </c>
      <c r="W403" s="23" t="str">
        <f>IFERROR((VLOOKUP(F403,STAMPANTI_DB!$A:$C,3,FALSE)/1000)*O403*SETTINGS!$C$6,"")</f>
        <v/>
      </c>
      <c r="X403" s="23" t="str">
        <f>IFERROR(O403*VLOOKUP(F403,STAMPANTI_DB!$A:$I,9,FALSE),"")</f>
        <v/>
      </c>
      <c r="Y403" s="23">
        <f>IFERROR(P403*SETTINGS!$C$7,"")</f>
        <v>0</v>
      </c>
      <c r="Z403" s="23">
        <f>SETTINGS!$C$11</f>
        <v>0.5</v>
      </c>
      <c r="AA403" s="23">
        <f t="shared" si="43"/>
        <v>0.5</v>
      </c>
      <c r="AB403" s="23">
        <f>IFERROR(AA403*SETTINGS!$C$9,"")</f>
        <v>2.5000000000000001E-2</v>
      </c>
      <c r="AC403" s="23">
        <f>IFERROR((AA403+AB403)*SETTINGS!$C$10,"")</f>
        <v>2.6250000000000002E-2</v>
      </c>
    </row>
    <row r="404" spans="1:29" ht="16" x14ac:dyDescent="0.2">
      <c r="A404" s="25"/>
      <c r="H404" t="str">
        <f>IFERROR(VLOOKUP(G404,FILAMENTI_DB!$A:$C,3,FALSE),"")</f>
        <v/>
      </c>
      <c r="I404" t="str">
        <f>IFERROR(VLOOKUP(G404,FILAMENTI_DB!$A:$E,4,FALSE),"")</f>
        <v/>
      </c>
      <c r="J404" s="26"/>
      <c r="K404" s="27"/>
      <c r="L404" s="27"/>
      <c r="M404" s="27">
        <f t="shared" si="38"/>
        <v>0</v>
      </c>
      <c r="N404" s="26">
        <f t="shared" si="39"/>
        <v>0</v>
      </c>
      <c r="O404" s="26"/>
      <c r="P404" s="26"/>
      <c r="Q404" s="23"/>
      <c r="R404" s="23">
        <f t="shared" si="40"/>
        <v>0</v>
      </c>
      <c r="S404" s="23"/>
      <c r="T404" s="23">
        <f t="shared" si="41"/>
        <v>0</v>
      </c>
      <c r="U404" s="28" t="str">
        <f t="shared" si="42"/>
        <v/>
      </c>
      <c r="V404" s="10" t="str">
        <f>IFERROR(N404*VLOOKUP(G404,FILAMENTI_DB!$A:$J,10,FALSE),"")</f>
        <v/>
      </c>
      <c r="W404" s="23" t="str">
        <f>IFERROR((VLOOKUP(F404,STAMPANTI_DB!$A:$C,3,FALSE)/1000)*O404*SETTINGS!$C$6,"")</f>
        <v/>
      </c>
      <c r="X404" s="23" t="str">
        <f>IFERROR(O404*VLOOKUP(F404,STAMPANTI_DB!$A:$I,9,FALSE),"")</f>
        <v/>
      </c>
      <c r="Y404" s="23">
        <f>IFERROR(P404*SETTINGS!$C$7,"")</f>
        <v>0</v>
      </c>
      <c r="Z404" s="23">
        <f>SETTINGS!$C$11</f>
        <v>0.5</v>
      </c>
      <c r="AA404" s="23">
        <f t="shared" si="43"/>
        <v>0.5</v>
      </c>
      <c r="AB404" s="23">
        <f>IFERROR(AA404*SETTINGS!$C$9,"")</f>
        <v>2.5000000000000001E-2</v>
      </c>
      <c r="AC404" s="23">
        <f>IFERROR((AA404+AB404)*SETTINGS!$C$10,"")</f>
        <v>2.6250000000000002E-2</v>
      </c>
    </row>
    <row r="405" spans="1:29" ht="16" x14ac:dyDescent="0.2">
      <c r="A405" s="25"/>
      <c r="H405" t="str">
        <f>IFERROR(VLOOKUP(G405,FILAMENTI_DB!$A:$C,3,FALSE),"")</f>
        <v/>
      </c>
      <c r="I405" t="str">
        <f>IFERROR(VLOOKUP(G405,FILAMENTI_DB!$A:$E,4,FALSE),"")</f>
        <v/>
      </c>
      <c r="J405" s="26"/>
      <c r="K405" s="27"/>
      <c r="L405" s="27"/>
      <c r="M405" s="27">
        <f t="shared" si="38"/>
        <v>0</v>
      </c>
      <c r="N405" s="26">
        <f t="shared" si="39"/>
        <v>0</v>
      </c>
      <c r="O405" s="26"/>
      <c r="P405" s="26"/>
      <c r="Q405" s="23"/>
      <c r="R405" s="23">
        <f t="shared" si="40"/>
        <v>0</v>
      </c>
      <c r="S405" s="23"/>
      <c r="T405" s="23">
        <f t="shared" si="41"/>
        <v>0</v>
      </c>
      <c r="U405" s="28" t="str">
        <f t="shared" si="42"/>
        <v/>
      </c>
      <c r="V405" s="10" t="str">
        <f>IFERROR(N405*VLOOKUP(G405,FILAMENTI_DB!$A:$J,10,FALSE),"")</f>
        <v/>
      </c>
      <c r="W405" s="23" t="str">
        <f>IFERROR((VLOOKUP(F405,STAMPANTI_DB!$A:$C,3,FALSE)/1000)*O405*SETTINGS!$C$6,"")</f>
        <v/>
      </c>
      <c r="X405" s="23" t="str">
        <f>IFERROR(O405*VLOOKUP(F405,STAMPANTI_DB!$A:$I,9,FALSE),"")</f>
        <v/>
      </c>
      <c r="Y405" s="23">
        <f>IFERROR(P405*SETTINGS!$C$7,"")</f>
        <v>0</v>
      </c>
      <c r="Z405" s="23">
        <f>SETTINGS!$C$11</f>
        <v>0.5</v>
      </c>
      <c r="AA405" s="23">
        <f t="shared" si="43"/>
        <v>0.5</v>
      </c>
      <c r="AB405" s="23">
        <f>IFERROR(AA405*SETTINGS!$C$9,"")</f>
        <v>2.5000000000000001E-2</v>
      </c>
      <c r="AC405" s="23">
        <f>IFERROR((AA405+AB405)*SETTINGS!$C$10,"")</f>
        <v>2.6250000000000002E-2</v>
      </c>
    </row>
    <row r="406" spans="1:29" ht="16" x14ac:dyDescent="0.2">
      <c r="A406" s="25"/>
      <c r="H406" t="str">
        <f>IFERROR(VLOOKUP(G406,FILAMENTI_DB!$A:$C,3,FALSE),"")</f>
        <v/>
      </c>
      <c r="I406" t="str">
        <f>IFERROR(VLOOKUP(G406,FILAMENTI_DB!$A:$E,4,FALSE),"")</f>
        <v/>
      </c>
      <c r="J406" s="26"/>
      <c r="K406" s="27"/>
      <c r="L406" s="27"/>
      <c r="M406" s="27">
        <f t="shared" si="38"/>
        <v>0</v>
      </c>
      <c r="N406" s="26">
        <f t="shared" si="39"/>
        <v>0</v>
      </c>
      <c r="O406" s="26"/>
      <c r="P406" s="26"/>
      <c r="Q406" s="23"/>
      <c r="R406" s="23">
        <f t="shared" si="40"/>
        <v>0</v>
      </c>
      <c r="S406" s="23"/>
      <c r="T406" s="23">
        <f t="shared" si="41"/>
        <v>0</v>
      </c>
      <c r="U406" s="28" t="str">
        <f t="shared" si="42"/>
        <v/>
      </c>
      <c r="V406" s="10" t="str">
        <f>IFERROR(N406*VLOOKUP(G406,FILAMENTI_DB!$A:$J,10,FALSE),"")</f>
        <v/>
      </c>
      <c r="W406" s="23" t="str">
        <f>IFERROR((VLOOKUP(F406,STAMPANTI_DB!$A:$C,3,FALSE)/1000)*O406*SETTINGS!$C$6,"")</f>
        <v/>
      </c>
      <c r="X406" s="23" t="str">
        <f>IFERROR(O406*VLOOKUP(F406,STAMPANTI_DB!$A:$I,9,FALSE),"")</f>
        <v/>
      </c>
      <c r="Y406" s="23">
        <f>IFERROR(P406*SETTINGS!$C$7,"")</f>
        <v>0</v>
      </c>
      <c r="Z406" s="23">
        <f>SETTINGS!$C$11</f>
        <v>0.5</v>
      </c>
      <c r="AA406" s="23">
        <f t="shared" si="43"/>
        <v>0.5</v>
      </c>
      <c r="AB406" s="23">
        <f>IFERROR(AA406*SETTINGS!$C$9,"")</f>
        <v>2.5000000000000001E-2</v>
      </c>
      <c r="AC406" s="23">
        <f>IFERROR((AA406+AB406)*SETTINGS!$C$10,"")</f>
        <v>2.6250000000000002E-2</v>
      </c>
    </row>
    <row r="407" spans="1:29" ht="16" x14ac:dyDescent="0.2">
      <c r="A407" s="25"/>
      <c r="H407" t="str">
        <f>IFERROR(VLOOKUP(G407,FILAMENTI_DB!$A:$C,3,FALSE),"")</f>
        <v/>
      </c>
      <c r="I407" t="str">
        <f>IFERROR(VLOOKUP(G407,FILAMENTI_DB!$A:$E,4,FALSE),"")</f>
        <v/>
      </c>
      <c r="J407" s="26"/>
      <c r="K407" s="27"/>
      <c r="L407" s="27"/>
      <c r="M407" s="27">
        <f t="shared" si="38"/>
        <v>0</v>
      </c>
      <c r="N407" s="26">
        <f t="shared" si="39"/>
        <v>0</v>
      </c>
      <c r="O407" s="26"/>
      <c r="P407" s="26"/>
      <c r="Q407" s="23"/>
      <c r="R407" s="23">
        <f t="shared" si="40"/>
        <v>0</v>
      </c>
      <c r="S407" s="23"/>
      <c r="T407" s="23">
        <f t="shared" si="41"/>
        <v>0</v>
      </c>
      <c r="U407" s="28" t="str">
        <f t="shared" si="42"/>
        <v/>
      </c>
      <c r="V407" s="10" t="str">
        <f>IFERROR(N407*VLOOKUP(G407,FILAMENTI_DB!$A:$J,10,FALSE),"")</f>
        <v/>
      </c>
      <c r="W407" s="23" t="str">
        <f>IFERROR((VLOOKUP(F407,STAMPANTI_DB!$A:$C,3,FALSE)/1000)*O407*SETTINGS!$C$6,"")</f>
        <v/>
      </c>
      <c r="X407" s="23" t="str">
        <f>IFERROR(O407*VLOOKUP(F407,STAMPANTI_DB!$A:$I,9,FALSE),"")</f>
        <v/>
      </c>
      <c r="Y407" s="23">
        <f>IFERROR(P407*SETTINGS!$C$7,"")</f>
        <v>0</v>
      </c>
      <c r="Z407" s="23">
        <f>SETTINGS!$C$11</f>
        <v>0.5</v>
      </c>
      <c r="AA407" s="23">
        <f t="shared" si="43"/>
        <v>0.5</v>
      </c>
      <c r="AB407" s="23">
        <f>IFERROR(AA407*SETTINGS!$C$9,"")</f>
        <v>2.5000000000000001E-2</v>
      </c>
      <c r="AC407" s="23">
        <f>IFERROR((AA407+AB407)*SETTINGS!$C$10,"")</f>
        <v>2.6250000000000002E-2</v>
      </c>
    </row>
    <row r="408" spans="1:29" ht="16" x14ac:dyDescent="0.2">
      <c r="A408" s="25"/>
      <c r="H408" t="str">
        <f>IFERROR(VLOOKUP(G408,FILAMENTI_DB!$A:$C,3,FALSE),"")</f>
        <v/>
      </c>
      <c r="I408" t="str">
        <f>IFERROR(VLOOKUP(G408,FILAMENTI_DB!$A:$E,4,FALSE),"")</f>
        <v/>
      </c>
      <c r="J408" s="26"/>
      <c r="K408" s="27"/>
      <c r="L408" s="27"/>
      <c r="M408" s="27">
        <f t="shared" si="38"/>
        <v>0</v>
      </c>
      <c r="N408" s="26">
        <f t="shared" si="39"/>
        <v>0</v>
      </c>
      <c r="O408" s="26"/>
      <c r="P408" s="26"/>
      <c r="Q408" s="23"/>
      <c r="R408" s="23">
        <f t="shared" si="40"/>
        <v>0</v>
      </c>
      <c r="S408" s="23"/>
      <c r="T408" s="23">
        <f t="shared" si="41"/>
        <v>0</v>
      </c>
      <c r="U408" s="28" t="str">
        <f t="shared" si="42"/>
        <v/>
      </c>
      <c r="V408" s="10" t="str">
        <f>IFERROR(N408*VLOOKUP(G408,FILAMENTI_DB!$A:$J,10,FALSE),"")</f>
        <v/>
      </c>
      <c r="W408" s="23" t="str">
        <f>IFERROR((VLOOKUP(F408,STAMPANTI_DB!$A:$C,3,FALSE)/1000)*O408*SETTINGS!$C$6,"")</f>
        <v/>
      </c>
      <c r="X408" s="23" t="str">
        <f>IFERROR(O408*VLOOKUP(F408,STAMPANTI_DB!$A:$I,9,FALSE),"")</f>
        <v/>
      </c>
      <c r="Y408" s="23">
        <f>IFERROR(P408*SETTINGS!$C$7,"")</f>
        <v>0</v>
      </c>
      <c r="Z408" s="23">
        <f>SETTINGS!$C$11</f>
        <v>0.5</v>
      </c>
      <c r="AA408" s="23">
        <f t="shared" si="43"/>
        <v>0.5</v>
      </c>
      <c r="AB408" s="23">
        <f>IFERROR(AA408*SETTINGS!$C$9,"")</f>
        <v>2.5000000000000001E-2</v>
      </c>
      <c r="AC408" s="23">
        <f>IFERROR((AA408+AB408)*SETTINGS!$C$10,"")</f>
        <v>2.6250000000000002E-2</v>
      </c>
    </row>
    <row r="409" spans="1:29" ht="16" x14ac:dyDescent="0.2">
      <c r="A409" s="25"/>
      <c r="H409" t="str">
        <f>IFERROR(VLOOKUP(G409,FILAMENTI_DB!$A:$C,3,FALSE),"")</f>
        <v/>
      </c>
      <c r="I409" t="str">
        <f>IFERROR(VLOOKUP(G409,FILAMENTI_DB!$A:$E,4,FALSE),"")</f>
        <v/>
      </c>
      <c r="J409" s="26"/>
      <c r="K409" s="27"/>
      <c r="L409" s="27"/>
      <c r="M409" s="27">
        <f t="shared" si="38"/>
        <v>0</v>
      </c>
      <c r="N409" s="26">
        <f t="shared" si="39"/>
        <v>0</v>
      </c>
      <c r="O409" s="26"/>
      <c r="P409" s="26"/>
      <c r="Q409" s="23"/>
      <c r="R409" s="23">
        <f t="shared" si="40"/>
        <v>0</v>
      </c>
      <c r="S409" s="23"/>
      <c r="T409" s="23">
        <f t="shared" si="41"/>
        <v>0</v>
      </c>
      <c r="U409" s="28" t="str">
        <f t="shared" si="42"/>
        <v/>
      </c>
      <c r="V409" s="10" t="str">
        <f>IFERROR(N409*VLOOKUP(G409,FILAMENTI_DB!$A:$J,10,FALSE),"")</f>
        <v/>
      </c>
      <c r="W409" s="23" t="str">
        <f>IFERROR((VLOOKUP(F409,STAMPANTI_DB!$A:$C,3,FALSE)/1000)*O409*SETTINGS!$C$6,"")</f>
        <v/>
      </c>
      <c r="X409" s="23" t="str">
        <f>IFERROR(O409*VLOOKUP(F409,STAMPANTI_DB!$A:$I,9,FALSE),"")</f>
        <v/>
      </c>
      <c r="Y409" s="23">
        <f>IFERROR(P409*SETTINGS!$C$7,"")</f>
        <v>0</v>
      </c>
      <c r="Z409" s="23">
        <f>SETTINGS!$C$11</f>
        <v>0.5</v>
      </c>
      <c r="AA409" s="23">
        <f t="shared" si="43"/>
        <v>0.5</v>
      </c>
      <c r="AB409" s="23">
        <f>IFERROR(AA409*SETTINGS!$C$9,"")</f>
        <v>2.5000000000000001E-2</v>
      </c>
      <c r="AC409" s="23">
        <f>IFERROR((AA409+AB409)*SETTINGS!$C$10,"")</f>
        <v>2.6250000000000002E-2</v>
      </c>
    </row>
    <row r="410" spans="1:29" ht="16" x14ac:dyDescent="0.2">
      <c r="A410" s="25"/>
      <c r="H410" t="str">
        <f>IFERROR(VLOOKUP(G410,FILAMENTI_DB!$A:$C,3,FALSE),"")</f>
        <v/>
      </c>
      <c r="I410" t="str">
        <f>IFERROR(VLOOKUP(G410,FILAMENTI_DB!$A:$E,4,FALSE),"")</f>
        <v/>
      </c>
      <c r="J410" s="26"/>
      <c r="K410" s="27"/>
      <c r="L410" s="27"/>
      <c r="M410" s="27">
        <f t="shared" si="38"/>
        <v>0</v>
      </c>
      <c r="N410" s="26">
        <f t="shared" si="39"/>
        <v>0</v>
      </c>
      <c r="O410" s="26"/>
      <c r="P410" s="26"/>
      <c r="Q410" s="23"/>
      <c r="R410" s="23">
        <f t="shared" si="40"/>
        <v>0</v>
      </c>
      <c r="S410" s="23"/>
      <c r="T410" s="23">
        <f t="shared" si="41"/>
        <v>0</v>
      </c>
      <c r="U410" s="28" t="str">
        <f t="shared" si="42"/>
        <v/>
      </c>
      <c r="V410" s="10" t="str">
        <f>IFERROR(N410*VLOOKUP(G410,FILAMENTI_DB!$A:$J,10,FALSE),"")</f>
        <v/>
      </c>
      <c r="W410" s="23" t="str">
        <f>IFERROR((VLOOKUP(F410,STAMPANTI_DB!$A:$C,3,FALSE)/1000)*O410*SETTINGS!$C$6,"")</f>
        <v/>
      </c>
      <c r="X410" s="23" t="str">
        <f>IFERROR(O410*VLOOKUP(F410,STAMPANTI_DB!$A:$I,9,FALSE),"")</f>
        <v/>
      </c>
      <c r="Y410" s="23">
        <f>IFERROR(P410*SETTINGS!$C$7,"")</f>
        <v>0</v>
      </c>
      <c r="Z410" s="23">
        <f>SETTINGS!$C$11</f>
        <v>0.5</v>
      </c>
      <c r="AA410" s="23">
        <f t="shared" si="43"/>
        <v>0.5</v>
      </c>
      <c r="AB410" s="23">
        <f>IFERROR(AA410*SETTINGS!$C$9,"")</f>
        <v>2.5000000000000001E-2</v>
      </c>
      <c r="AC410" s="23">
        <f>IFERROR((AA410+AB410)*SETTINGS!$C$10,"")</f>
        <v>2.6250000000000002E-2</v>
      </c>
    </row>
    <row r="411" spans="1:29" ht="16" x14ac:dyDescent="0.2">
      <c r="A411" s="25"/>
      <c r="H411" t="str">
        <f>IFERROR(VLOOKUP(G411,FILAMENTI_DB!$A:$C,3,FALSE),"")</f>
        <v/>
      </c>
      <c r="I411" t="str">
        <f>IFERROR(VLOOKUP(G411,FILAMENTI_DB!$A:$E,4,FALSE),"")</f>
        <v/>
      </c>
      <c r="J411" s="26"/>
      <c r="K411" s="27"/>
      <c r="L411" s="27"/>
      <c r="M411" s="27">
        <f t="shared" si="38"/>
        <v>0</v>
      </c>
      <c r="N411" s="26">
        <f t="shared" si="39"/>
        <v>0</v>
      </c>
      <c r="O411" s="26"/>
      <c r="P411" s="26"/>
      <c r="Q411" s="23"/>
      <c r="R411" s="23">
        <f t="shared" si="40"/>
        <v>0</v>
      </c>
      <c r="S411" s="23"/>
      <c r="T411" s="23">
        <f t="shared" si="41"/>
        <v>0</v>
      </c>
      <c r="U411" s="28" t="str">
        <f t="shared" si="42"/>
        <v/>
      </c>
      <c r="V411" s="10" t="str">
        <f>IFERROR(N411*VLOOKUP(G411,FILAMENTI_DB!$A:$J,10,FALSE),"")</f>
        <v/>
      </c>
      <c r="W411" s="23" t="str">
        <f>IFERROR((VLOOKUP(F411,STAMPANTI_DB!$A:$C,3,FALSE)/1000)*O411*SETTINGS!$C$6,"")</f>
        <v/>
      </c>
      <c r="X411" s="23" t="str">
        <f>IFERROR(O411*VLOOKUP(F411,STAMPANTI_DB!$A:$I,9,FALSE),"")</f>
        <v/>
      </c>
      <c r="Y411" s="23">
        <f>IFERROR(P411*SETTINGS!$C$7,"")</f>
        <v>0</v>
      </c>
      <c r="Z411" s="23">
        <f>SETTINGS!$C$11</f>
        <v>0.5</v>
      </c>
      <c r="AA411" s="23">
        <f t="shared" si="43"/>
        <v>0.5</v>
      </c>
      <c r="AB411" s="23">
        <f>IFERROR(AA411*SETTINGS!$C$9,"")</f>
        <v>2.5000000000000001E-2</v>
      </c>
      <c r="AC411" s="23">
        <f>IFERROR((AA411+AB411)*SETTINGS!$C$10,"")</f>
        <v>2.6250000000000002E-2</v>
      </c>
    </row>
    <row r="412" spans="1:29" ht="16" x14ac:dyDescent="0.2">
      <c r="A412" s="25"/>
      <c r="H412" t="str">
        <f>IFERROR(VLOOKUP(G412,FILAMENTI_DB!$A:$C,3,FALSE),"")</f>
        <v/>
      </c>
      <c r="I412" t="str">
        <f>IFERROR(VLOOKUP(G412,FILAMENTI_DB!$A:$E,4,FALSE),"")</f>
        <v/>
      </c>
      <c r="J412" s="26"/>
      <c r="K412" s="27"/>
      <c r="L412" s="27"/>
      <c r="M412" s="27">
        <f t="shared" si="38"/>
        <v>0</v>
      </c>
      <c r="N412" s="26">
        <f t="shared" si="39"/>
        <v>0</v>
      </c>
      <c r="O412" s="26"/>
      <c r="P412" s="26"/>
      <c r="Q412" s="23"/>
      <c r="R412" s="23">
        <f t="shared" si="40"/>
        <v>0</v>
      </c>
      <c r="S412" s="23"/>
      <c r="T412" s="23">
        <f t="shared" si="41"/>
        <v>0</v>
      </c>
      <c r="U412" s="28" t="str">
        <f t="shared" si="42"/>
        <v/>
      </c>
      <c r="V412" s="10" t="str">
        <f>IFERROR(N412*VLOOKUP(G412,FILAMENTI_DB!$A:$J,10,FALSE),"")</f>
        <v/>
      </c>
      <c r="W412" s="23" t="str">
        <f>IFERROR((VLOOKUP(F412,STAMPANTI_DB!$A:$C,3,FALSE)/1000)*O412*SETTINGS!$C$6,"")</f>
        <v/>
      </c>
      <c r="X412" s="23" t="str">
        <f>IFERROR(O412*VLOOKUP(F412,STAMPANTI_DB!$A:$I,9,FALSE),"")</f>
        <v/>
      </c>
      <c r="Y412" s="23">
        <f>IFERROR(P412*SETTINGS!$C$7,"")</f>
        <v>0</v>
      </c>
      <c r="Z412" s="23">
        <f>SETTINGS!$C$11</f>
        <v>0.5</v>
      </c>
      <c r="AA412" s="23">
        <f t="shared" si="43"/>
        <v>0.5</v>
      </c>
      <c r="AB412" s="23">
        <f>IFERROR(AA412*SETTINGS!$C$9,"")</f>
        <v>2.5000000000000001E-2</v>
      </c>
      <c r="AC412" s="23">
        <f>IFERROR((AA412+AB412)*SETTINGS!$C$10,"")</f>
        <v>2.6250000000000002E-2</v>
      </c>
    </row>
    <row r="413" spans="1:29" ht="16" x14ac:dyDescent="0.2">
      <c r="A413" s="25"/>
      <c r="H413" t="str">
        <f>IFERROR(VLOOKUP(G413,FILAMENTI_DB!$A:$C,3,FALSE),"")</f>
        <v/>
      </c>
      <c r="I413" t="str">
        <f>IFERROR(VLOOKUP(G413,FILAMENTI_DB!$A:$E,4,FALSE),"")</f>
        <v/>
      </c>
      <c r="J413" s="26"/>
      <c r="K413" s="27"/>
      <c r="L413" s="27"/>
      <c r="M413" s="27">
        <f t="shared" si="38"/>
        <v>0</v>
      </c>
      <c r="N413" s="26">
        <f t="shared" si="39"/>
        <v>0</v>
      </c>
      <c r="O413" s="26"/>
      <c r="P413" s="26"/>
      <c r="Q413" s="23"/>
      <c r="R413" s="23">
        <f t="shared" si="40"/>
        <v>0</v>
      </c>
      <c r="S413" s="23"/>
      <c r="T413" s="23">
        <f t="shared" si="41"/>
        <v>0</v>
      </c>
      <c r="U413" s="28" t="str">
        <f t="shared" si="42"/>
        <v/>
      </c>
      <c r="V413" s="10" t="str">
        <f>IFERROR(N413*VLOOKUP(G413,FILAMENTI_DB!$A:$J,10,FALSE),"")</f>
        <v/>
      </c>
      <c r="W413" s="23" t="str">
        <f>IFERROR((VLOOKUP(F413,STAMPANTI_DB!$A:$C,3,FALSE)/1000)*O413*SETTINGS!$C$6,"")</f>
        <v/>
      </c>
      <c r="X413" s="23" t="str">
        <f>IFERROR(O413*VLOOKUP(F413,STAMPANTI_DB!$A:$I,9,FALSE),"")</f>
        <v/>
      </c>
      <c r="Y413" s="23">
        <f>IFERROR(P413*SETTINGS!$C$7,"")</f>
        <v>0</v>
      </c>
      <c r="Z413" s="23">
        <f>SETTINGS!$C$11</f>
        <v>0.5</v>
      </c>
      <c r="AA413" s="23">
        <f t="shared" si="43"/>
        <v>0.5</v>
      </c>
      <c r="AB413" s="23">
        <f>IFERROR(AA413*SETTINGS!$C$9,"")</f>
        <v>2.5000000000000001E-2</v>
      </c>
      <c r="AC413" s="23">
        <f>IFERROR((AA413+AB413)*SETTINGS!$C$10,"")</f>
        <v>2.6250000000000002E-2</v>
      </c>
    </row>
    <row r="414" spans="1:29" ht="16" x14ac:dyDescent="0.2">
      <c r="A414" s="25"/>
      <c r="H414" t="str">
        <f>IFERROR(VLOOKUP(G414,FILAMENTI_DB!$A:$C,3,FALSE),"")</f>
        <v/>
      </c>
      <c r="I414" t="str">
        <f>IFERROR(VLOOKUP(G414,FILAMENTI_DB!$A:$E,4,FALSE),"")</f>
        <v/>
      </c>
      <c r="J414" s="26"/>
      <c r="K414" s="27"/>
      <c r="L414" s="27"/>
      <c r="M414" s="27">
        <f t="shared" si="38"/>
        <v>0</v>
      </c>
      <c r="N414" s="26">
        <f t="shared" si="39"/>
        <v>0</v>
      </c>
      <c r="O414" s="26"/>
      <c r="P414" s="26"/>
      <c r="Q414" s="23"/>
      <c r="R414" s="23">
        <f t="shared" si="40"/>
        <v>0</v>
      </c>
      <c r="S414" s="23"/>
      <c r="T414" s="23">
        <f t="shared" si="41"/>
        <v>0</v>
      </c>
      <c r="U414" s="28" t="str">
        <f t="shared" si="42"/>
        <v/>
      </c>
      <c r="V414" s="10" t="str">
        <f>IFERROR(N414*VLOOKUP(G414,FILAMENTI_DB!$A:$J,10,FALSE),"")</f>
        <v/>
      </c>
      <c r="W414" s="23" t="str">
        <f>IFERROR((VLOOKUP(F414,STAMPANTI_DB!$A:$C,3,FALSE)/1000)*O414*SETTINGS!$C$6,"")</f>
        <v/>
      </c>
      <c r="X414" s="23" t="str">
        <f>IFERROR(O414*VLOOKUP(F414,STAMPANTI_DB!$A:$I,9,FALSE),"")</f>
        <v/>
      </c>
      <c r="Y414" s="23">
        <f>IFERROR(P414*SETTINGS!$C$7,"")</f>
        <v>0</v>
      </c>
      <c r="Z414" s="23">
        <f>SETTINGS!$C$11</f>
        <v>0.5</v>
      </c>
      <c r="AA414" s="23">
        <f t="shared" si="43"/>
        <v>0.5</v>
      </c>
      <c r="AB414" s="23">
        <f>IFERROR(AA414*SETTINGS!$C$9,"")</f>
        <v>2.5000000000000001E-2</v>
      </c>
      <c r="AC414" s="23">
        <f>IFERROR((AA414+AB414)*SETTINGS!$C$10,"")</f>
        <v>2.6250000000000002E-2</v>
      </c>
    </row>
    <row r="415" spans="1:29" ht="16" x14ac:dyDescent="0.2">
      <c r="A415" s="25"/>
      <c r="H415" t="str">
        <f>IFERROR(VLOOKUP(G415,FILAMENTI_DB!$A:$C,3,FALSE),"")</f>
        <v/>
      </c>
      <c r="I415" t="str">
        <f>IFERROR(VLOOKUP(G415,FILAMENTI_DB!$A:$E,4,FALSE),"")</f>
        <v/>
      </c>
      <c r="J415" s="26"/>
      <c r="K415" s="27"/>
      <c r="L415" s="27"/>
      <c r="M415" s="27">
        <f t="shared" si="38"/>
        <v>0</v>
      </c>
      <c r="N415" s="26">
        <f t="shared" si="39"/>
        <v>0</v>
      </c>
      <c r="O415" s="26"/>
      <c r="P415" s="26"/>
      <c r="Q415" s="23"/>
      <c r="R415" s="23">
        <f t="shared" si="40"/>
        <v>0</v>
      </c>
      <c r="S415" s="23"/>
      <c r="T415" s="23">
        <f t="shared" si="41"/>
        <v>0</v>
      </c>
      <c r="U415" s="28" t="str">
        <f t="shared" si="42"/>
        <v/>
      </c>
      <c r="V415" s="10" t="str">
        <f>IFERROR(N415*VLOOKUP(G415,FILAMENTI_DB!$A:$J,10,FALSE),"")</f>
        <v/>
      </c>
      <c r="W415" s="23" t="str">
        <f>IFERROR((VLOOKUP(F415,STAMPANTI_DB!$A:$C,3,FALSE)/1000)*O415*SETTINGS!$C$6,"")</f>
        <v/>
      </c>
      <c r="X415" s="23" t="str">
        <f>IFERROR(O415*VLOOKUP(F415,STAMPANTI_DB!$A:$I,9,FALSE),"")</f>
        <v/>
      </c>
      <c r="Y415" s="23">
        <f>IFERROR(P415*SETTINGS!$C$7,"")</f>
        <v>0</v>
      </c>
      <c r="Z415" s="23">
        <f>SETTINGS!$C$11</f>
        <v>0.5</v>
      </c>
      <c r="AA415" s="23">
        <f t="shared" si="43"/>
        <v>0.5</v>
      </c>
      <c r="AB415" s="23">
        <f>IFERROR(AA415*SETTINGS!$C$9,"")</f>
        <v>2.5000000000000001E-2</v>
      </c>
      <c r="AC415" s="23">
        <f>IFERROR((AA415+AB415)*SETTINGS!$C$10,"")</f>
        <v>2.6250000000000002E-2</v>
      </c>
    </row>
    <row r="416" spans="1:29" ht="16" x14ac:dyDescent="0.2">
      <c r="A416" s="25"/>
      <c r="H416" t="str">
        <f>IFERROR(VLOOKUP(G416,FILAMENTI_DB!$A:$C,3,FALSE),"")</f>
        <v/>
      </c>
      <c r="I416" t="str">
        <f>IFERROR(VLOOKUP(G416,FILAMENTI_DB!$A:$E,4,FALSE),"")</f>
        <v/>
      </c>
      <c r="J416" s="26"/>
      <c r="K416" s="27"/>
      <c r="L416" s="27"/>
      <c r="M416" s="27">
        <f t="shared" si="38"/>
        <v>0</v>
      </c>
      <c r="N416" s="26">
        <f t="shared" si="39"/>
        <v>0</v>
      </c>
      <c r="O416" s="26"/>
      <c r="P416" s="26"/>
      <c r="Q416" s="23"/>
      <c r="R416" s="23">
        <f t="shared" si="40"/>
        <v>0</v>
      </c>
      <c r="S416" s="23"/>
      <c r="T416" s="23">
        <f t="shared" si="41"/>
        <v>0</v>
      </c>
      <c r="U416" s="28" t="str">
        <f t="shared" si="42"/>
        <v/>
      </c>
      <c r="V416" s="10" t="str">
        <f>IFERROR(N416*VLOOKUP(G416,FILAMENTI_DB!$A:$J,10,FALSE),"")</f>
        <v/>
      </c>
      <c r="W416" s="23" t="str">
        <f>IFERROR((VLOOKUP(F416,STAMPANTI_DB!$A:$C,3,FALSE)/1000)*O416*SETTINGS!$C$6,"")</f>
        <v/>
      </c>
      <c r="X416" s="23" t="str">
        <f>IFERROR(O416*VLOOKUP(F416,STAMPANTI_DB!$A:$I,9,FALSE),"")</f>
        <v/>
      </c>
      <c r="Y416" s="23">
        <f>IFERROR(P416*SETTINGS!$C$7,"")</f>
        <v>0</v>
      </c>
      <c r="Z416" s="23">
        <f>SETTINGS!$C$11</f>
        <v>0.5</v>
      </c>
      <c r="AA416" s="23">
        <f t="shared" si="43"/>
        <v>0.5</v>
      </c>
      <c r="AB416" s="23">
        <f>IFERROR(AA416*SETTINGS!$C$9,"")</f>
        <v>2.5000000000000001E-2</v>
      </c>
      <c r="AC416" s="23">
        <f>IFERROR((AA416+AB416)*SETTINGS!$C$10,"")</f>
        <v>2.6250000000000002E-2</v>
      </c>
    </row>
    <row r="417" spans="1:29" ht="16" x14ac:dyDescent="0.2">
      <c r="A417" s="25"/>
      <c r="H417" t="str">
        <f>IFERROR(VLOOKUP(G417,FILAMENTI_DB!$A:$C,3,FALSE),"")</f>
        <v/>
      </c>
      <c r="I417" t="str">
        <f>IFERROR(VLOOKUP(G417,FILAMENTI_DB!$A:$E,4,FALSE),"")</f>
        <v/>
      </c>
      <c r="J417" s="26"/>
      <c r="K417" s="27"/>
      <c r="L417" s="27"/>
      <c r="M417" s="27">
        <f t="shared" si="38"/>
        <v>0</v>
      </c>
      <c r="N417" s="26">
        <f t="shared" si="39"/>
        <v>0</v>
      </c>
      <c r="O417" s="26"/>
      <c r="P417" s="26"/>
      <c r="Q417" s="23"/>
      <c r="R417" s="23">
        <f t="shared" si="40"/>
        <v>0</v>
      </c>
      <c r="S417" s="23"/>
      <c r="T417" s="23">
        <f t="shared" si="41"/>
        <v>0</v>
      </c>
      <c r="U417" s="28" t="str">
        <f t="shared" si="42"/>
        <v/>
      </c>
      <c r="V417" s="10" t="str">
        <f>IFERROR(N417*VLOOKUP(G417,FILAMENTI_DB!$A:$J,10,FALSE),"")</f>
        <v/>
      </c>
      <c r="W417" s="23" t="str">
        <f>IFERROR((VLOOKUP(F417,STAMPANTI_DB!$A:$C,3,FALSE)/1000)*O417*SETTINGS!$C$6,"")</f>
        <v/>
      </c>
      <c r="X417" s="23" t="str">
        <f>IFERROR(O417*VLOOKUP(F417,STAMPANTI_DB!$A:$I,9,FALSE),"")</f>
        <v/>
      </c>
      <c r="Y417" s="23">
        <f>IFERROR(P417*SETTINGS!$C$7,"")</f>
        <v>0</v>
      </c>
      <c r="Z417" s="23">
        <f>SETTINGS!$C$11</f>
        <v>0.5</v>
      </c>
      <c r="AA417" s="23">
        <f t="shared" si="43"/>
        <v>0.5</v>
      </c>
      <c r="AB417" s="23">
        <f>IFERROR(AA417*SETTINGS!$C$9,"")</f>
        <v>2.5000000000000001E-2</v>
      </c>
      <c r="AC417" s="23">
        <f>IFERROR((AA417+AB417)*SETTINGS!$C$10,"")</f>
        <v>2.6250000000000002E-2</v>
      </c>
    </row>
    <row r="418" spans="1:29" ht="16" x14ac:dyDescent="0.2">
      <c r="A418" s="25"/>
      <c r="H418" t="str">
        <f>IFERROR(VLOOKUP(G418,FILAMENTI_DB!$A:$C,3,FALSE),"")</f>
        <v/>
      </c>
      <c r="I418" t="str">
        <f>IFERROR(VLOOKUP(G418,FILAMENTI_DB!$A:$E,4,FALSE),"")</f>
        <v/>
      </c>
      <c r="J418" s="26"/>
      <c r="K418" s="27"/>
      <c r="L418" s="27"/>
      <c r="M418" s="27">
        <f t="shared" si="38"/>
        <v>0</v>
      </c>
      <c r="N418" s="26">
        <f t="shared" si="39"/>
        <v>0</v>
      </c>
      <c r="O418" s="26"/>
      <c r="P418" s="26"/>
      <c r="Q418" s="23"/>
      <c r="R418" s="23">
        <f t="shared" si="40"/>
        <v>0</v>
      </c>
      <c r="S418" s="23"/>
      <c r="T418" s="23">
        <f t="shared" si="41"/>
        <v>0</v>
      </c>
      <c r="U418" s="28" t="str">
        <f t="shared" si="42"/>
        <v/>
      </c>
      <c r="V418" s="10" t="str">
        <f>IFERROR(N418*VLOOKUP(G418,FILAMENTI_DB!$A:$J,10,FALSE),"")</f>
        <v/>
      </c>
      <c r="W418" s="23" t="str">
        <f>IFERROR((VLOOKUP(F418,STAMPANTI_DB!$A:$C,3,FALSE)/1000)*O418*SETTINGS!$C$6,"")</f>
        <v/>
      </c>
      <c r="X418" s="23" t="str">
        <f>IFERROR(O418*VLOOKUP(F418,STAMPANTI_DB!$A:$I,9,FALSE),"")</f>
        <v/>
      </c>
      <c r="Y418" s="23">
        <f>IFERROR(P418*SETTINGS!$C$7,"")</f>
        <v>0</v>
      </c>
      <c r="Z418" s="23">
        <f>SETTINGS!$C$11</f>
        <v>0.5</v>
      </c>
      <c r="AA418" s="23">
        <f t="shared" si="43"/>
        <v>0.5</v>
      </c>
      <c r="AB418" s="23">
        <f>IFERROR(AA418*SETTINGS!$C$9,"")</f>
        <v>2.5000000000000001E-2</v>
      </c>
      <c r="AC418" s="23">
        <f>IFERROR((AA418+AB418)*SETTINGS!$C$10,"")</f>
        <v>2.6250000000000002E-2</v>
      </c>
    </row>
    <row r="419" spans="1:29" ht="16" x14ac:dyDescent="0.2">
      <c r="A419" s="25"/>
      <c r="H419" t="str">
        <f>IFERROR(VLOOKUP(G419,FILAMENTI_DB!$A:$C,3,FALSE),"")</f>
        <v/>
      </c>
      <c r="I419" t="str">
        <f>IFERROR(VLOOKUP(G419,FILAMENTI_DB!$A:$E,4,FALSE),"")</f>
        <v/>
      </c>
      <c r="J419" s="26"/>
      <c r="K419" s="27"/>
      <c r="L419" s="27"/>
      <c r="M419" s="27">
        <f t="shared" si="38"/>
        <v>0</v>
      </c>
      <c r="N419" s="26">
        <f t="shared" si="39"/>
        <v>0</v>
      </c>
      <c r="O419" s="26"/>
      <c r="P419" s="26"/>
      <c r="Q419" s="23"/>
      <c r="R419" s="23">
        <f t="shared" si="40"/>
        <v>0</v>
      </c>
      <c r="S419" s="23"/>
      <c r="T419" s="23">
        <f t="shared" si="41"/>
        <v>0</v>
      </c>
      <c r="U419" s="28" t="str">
        <f t="shared" si="42"/>
        <v/>
      </c>
      <c r="V419" s="10" t="str">
        <f>IFERROR(N419*VLOOKUP(G419,FILAMENTI_DB!$A:$J,10,FALSE),"")</f>
        <v/>
      </c>
      <c r="W419" s="23" t="str">
        <f>IFERROR((VLOOKUP(F419,STAMPANTI_DB!$A:$C,3,FALSE)/1000)*O419*SETTINGS!$C$6,"")</f>
        <v/>
      </c>
      <c r="X419" s="23" t="str">
        <f>IFERROR(O419*VLOOKUP(F419,STAMPANTI_DB!$A:$I,9,FALSE),"")</f>
        <v/>
      </c>
      <c r="Y419" s="23">
        <f>IFERROR(P419*SETTINGS!$C$7,"")</f>
        <v>0</v>
      </c>
      <c r="Z419" s="23">
        <f>SETTINGS!$C$11</f>
        <v>0.5</v>
      </c>
      <c r="AA419" s="23">
        <f t="shared" si="43"/>
        <v>0.5</v>
      </c>
      <c r="AB419" s="23">
        <f>IFERROR(AA419*SETTINGS!$C$9,"")</f>
        <v>2.5000000000000001E-2</v>
      </c>
      <c r="AC419" s="23">
        <f>IFERROR((AA419+AB419)*SETTINGS!$C$10,"")</f>
        <v>2.6250000000000002E-2</v>
      </c>
    </row>
    <row r="420" spans="1:29" ht="16" x14ac:dyDescent="0.2">
      <c r="A420" s="25"/>
      <c r="H420" t="str">
        <f>IFERROR(VLOOKUP(G420,FILAMENTI_DB!$A:$C,3,FALSE),"")</f>
        <v/>
      </c>
      <c r="I420" t="str">
        <f>IFERROR(VLOOKUP(G420,FILAMENTI_DB!$A:$E,4,FALSE),"")</f>
        <v/>
      </c>
      <c r="J420" s="26"/>
      <c r="K420" s="27"/>
      <c r="L420" s="27"/>
      <c r="M420" s="27">
        <f t="shared" si="38"/>
        <v>0</v>
      </c>
      <c r="N420" s="26">
        <f t="shared" si="39"/>
        <v>0</v>
      </c>
      <c r="O420" s="26"/>
      <c r="P420" s="26"/>
      <c r="Q420" s="23"/>
      <c r="R420" s="23">
        <f t="shared" si="40"/>
        <v>0</v>
      </c>
      <c r="S420" s="23"/>
      <c r="T420" s="23">
        <f t="shared" si="41"/>
        <v>0</v>
      </c>
      <c r="U420" s="28" t="str">
        <f t="shared" si="42"/>
        <v/>
      </c>
      <c r="V420" s="10" t="str">
        <f>IFERROR(N420*VLOOKUP(G420,FILAMENTI_DB!$A:$J,10,FALSE),"")</f>
        <v/>
      </c>
      <c r="W420" s="23" t="str">
        <f>IFERROR((VLOOKUP(F420,STAMPANTI_DB!$A:$C,3,FALSE)/1000)*O420*SETTINGS!$C$6,"")</f>
        <v/>
      </c>
      <c r="X420" s="23" t="str">
        <f>IFERROR(O420*VLOOKUP(F420,STAMPANTI_DB!$A:$I,9,FALSE),"")</f>
        <v/>
      </c>
      <c r="Y420" s="23">
        <f>IFERROR(P420*SETTINGS!$C$7,"")</f>
        <v>0</v>
      </c>
      <c r="Z420" s="23">
        <f>SETTINGS!$C$11</f>
        <v>0.5</v>
      </c>
      <c r="AA420" s="23">
        <f t="shared" si="43"/>
        <v>0.5</v>
      </c>
      <c r="AB420" s="23">
        <f>IFERROR(AA420*SETTINGS!$C$9,"")</f>
        <v>2.5000000000000001E-2</v>
      </c>
      <c r="AC420" s="23">
        <f>IFERROR((AA420+AB420)*SETTINGS!$C$10,"")</f>
        <v>2.6250000000000002E-2</v>
      </c>
    </row>
    <row r="421" spans="1:29" ht="16" x14ac:dyDescent="0.2">
      <c r="A421" s="25"/>
      <c r="H421" t="str">
        <f>IFERROR(VLOOKUP(G421,FILAMENTI_DB!$A:$C,3,FALSE),"")</f>
        <v/>
      </c>
      <c r="I421" t="str">
        <f>IFERROR(VLOOKUP(G421,FILAMENTI_DB!$A:$E,4,FALSE),"")</f>
        <v/>
      </c>
      <c r="J421" s="26"/>
      <c r="K421" s="27"/>
      <c r="L421" s="27"/>
      <c r="M421" s="27">
        <f t="shared" si="38"/>
        <v>0</v>
      </c>
      <c r="N421" s="26">
        <f t="shared" si="39"/>
        <v>0</v>
      </c>
      <c r="O421" s="26"/>
      <c r="P421" s="26"/>
      <c r="Q421" s="23"/>
      <c r="R421" s="23">
        <f t="shared" si="40"/>
        <v>0</v>
      </c>
      <c r="S421" s="23"/>
      <c r="T421" s="23">
        <f t="shared" si="41"/>
        <v>0</v>
      </c>
      <c r="U421" s="28" t="str">
        <f t="shared" si="42"/>
        <v/>
      </c>
      <c r="V421" s="10" t="str">
        <f>IFERROR(N421*VLOOKUP(G421,FILAMENTI_DB!$A:$J,10,FALSE),"")</f>
        <v/>
      </c>
      <c r="W421" s="23" t="str">
        <f>IFERROR((VLOOKUP(F421,STAMPANTI_DB!$A:$C,3,FALSE)/1000)*O421*SETTINGS!$C$6,"")</f>
        <v/>
      </c>
      <c r="X421" s="23" t="str">
        <f>IFERROR(O421*VLOOKUP(F421,STAMPANTI_DB!$A:$I,9,FALSE),"")</f>
        <v/>
      </c>
      <c r="Y421" s="23">
        <f>IFERROR(P421*SETTINGS!$C$7,"")</f>
        <v>0</v>
      </c>
      <c r="Z421" s="23">
        <f>SETTINGS!$C$11</f>
        <v>0.5</v>
      </c>
      <c r="AA421" s="23">
        <f t="shared" si="43"/>
        <v>0.5</v>
      </c>
      <c r="AB421" s="23">
        <f>IFERROR(AA421*SETTINGS!$C$9,"")</f>
        <v>2.5000000000000001E-2</v>
      </c>
      <c r="AC421" s="23">
        <f>IFERROR((AA421+AB421)*SETTINGS!$C$10,"")</f>
        <v>2.6250000000000002E-2</v>
      </c>
    </row>
    <row r="422" spans="1:29" ht="16" x14ac:dyDescent="0.2">
      <c r="A422" s="25"/>
      <c r="H422" t="str">
        <f>IFERROR(VLOOKUP(G422,FILAMENTI_DB!$A:$C,3,FALSE),"")</f>
        <v/>
      </c>
      <c r="I422" t="str">
        <f>IFERROR(VLOOKUP(G422,FILAMENTI_DB!$A:$E,4,FALSE),"")</f>
        <v/>
      </c>
      <c r="J422" s="26"/>
      <c r="K422" s="27"/>
      <c r="L422" s="27"/>
      <c r="M422" s="27">
        <f t="shared" si="38"/>
        <v>0</v>
      </c>
      <c r="N422" s="26">
        <f t="shared" si="39"/>
        <v>0</v>
      </c>
      <c r="O422" s="26"/>
      <c r="P422" s="26"/>
      <c r="Q422" s="23"/>
      <c r="R422" s="23">
        <f t="shared" si="40"/>
        <v>0</v>
      </c>
      <c r="S422" s="23"/>
      <c r="T422" s="23">
        <f t="shared" si="41"/>
        <v>0</v>
      </c>
      <c r="U422" s="28" t="str">
        <f t="shared" si="42"/>
        <v/>
      </c>
      <c r="V422" s="10" t="str">
        <f>IFERROR(N422*VLOOKUP(G422,FILAMENTI_DB!$A:$J,10,FALSE),"")</f>
        <v/>
      </c>
      <c r="W422" s="23" t="str">
        <f>IFERROR((VLOOKUP(F422,STAMPANTI_DB!$A:$C,3,FALSE)/1000)*O422*SETTINGS!$C$6,"")</f>
        <v/>
      </c>
      <c r="X422" s="23" t="str">
        <f>IFERROR(O422*VLOOKUP(F422,STAMPANTI_DB!$A:$I,9,FALSE),"")</f>
        <v/>
      </c>
      <c r="Y422" s="23">
        <f>IFERROR(P422*SETTINGS!$C$7,"")</f>
        <v>0</v>
      </c>
      <c r="Z422" s="23">
        <f>SETTINGS!$C$11</f>
        <v>0.5</v>
      </c>
      <c r="AA422" s="23">
        <f t="shared" si="43"/>
        <v>0.5</v>
      </c>
      <c r="AB422" s="23">
        <f>IFERROR(AA422*SETTINGS!$C$9,"")</f>
        <v>2.5000000000000001E-2</v>
      </c>
      <c r="AC422" s="23">
        <f>IFERROR((AA422+AB422)*SETTINGS!$C$10,"")</f>
        <v>2.6250000000000002E-2</v>
      </c>
    </row>
    <row r="423" spans="1:29" ht="16" x14ac:dyDescent="0.2">
      <c r="A423" s="25"/>
      <c r="H423" t="str">
        <f>IFERROR(VLOOKUP(G423,FILAMENTI_DB!$A:$C,3,FALSE),"")</f>
        <v/>
      </c>
      <c r="I423" t="str">
        <f>IFERROR(VLOOKUP(G423,FILAMENTI_DB!$A:$E,4,FALSE),"")</f>
        <v/>
      </c>
      <c r="J423" s="26"/>
      <c r="K423" s="27"/>
      <c r="L423" s="27"/>
      <c r="M423" s="27">
        <f t="shared" si="38"/>
        <v>0</v>
      </c>
      <c r="N423" s="26">
        <f t="shared" si="39"/>
        <v>0</v>
      </c>
      <c r="O423" s="26"/>
      <c r="P423" s="26"/>
      <c r="Q423" s="23"/>
      <c r="R423" s="23">
        <f t="shared" si="40"/>
        <v>0</v>
      </c>
      <c r="S423" s="23"/>
      <c r="T423" s="23">
        <f t="shared" si="41"/>
        <v>0</v>
      </c>
      <c r="U423" s="28" t="str">
        <f t="shared" si="42"/>
        <v/>
      </c>
      <c r="V423" s="10" t="str">
        <f>IFERROR(N423*VLOOKUP(G423,FILAMENTI_DB!$A:$J,10,FALSE),"")</f>
        <v/>
      </c>
      <c r="W423" s="23" t="str">
        <f>IFERROR((VLOOKUP(F423,STAMPANTI_DB!$A:$C,3,FALSE)/1000)*O423*SETTINGS!$C$6,"")</f>
        <v/>
      </c>
      <c r="X423" s="23" t="str">
        <f>IFERROR(O423*VLOOKUP(F423,STAMPANTI_DB!$A:$I,9,FALSE),"")</f>
        <v/>
      </c>
      <c r="Y423" s="23">
        <f>IFERROR(P423*SETTINGS!$C$7,"")</f>
        <v>0</v>
      </c>
      <c r="Z423" s="23">
        <f>SETTINGS!$C$11</f>
        <v>0.5</v>
      </c>
      <c r="AA423" s="23">
        <f t="shared" si="43"/>
        <v>0.5</v>
      </c>
      <c r="AB423" s="23">
        <f>IFERROR(AA423*SETTINGS!$C$9,"")</f>
        <v>2.5000000000000001E-2</v>
      </c>
      <c r="AC423" s="23">
        <f>IFERROR((AA423+AB423)*SETTINGS!$C$10,"")</f>
        <v>2.6250000000000002E-2</v>
      </c>
    </row>
    <row r="424" spans="1:29" ht="16" x14ac:dyDescent="0.2">
      <c r="A424" s="25"/>
      <c r="H424" t="str">
        <f>IFERROR(VLOOKUP(G424,FILAMENTI_DB!$A:$C,3,FALSE),"")</f>
        <v/>
      </c>
      <c r="I424" t="str">
        <f>IFERROR(VLOOKUP(G424,FILAMENTI_DB!$A:$E,4,FALSE),"")</f>
        <v/>
      </c>
      <c r="J424" s="26"/>
      <c r="K424" s="27"/>
      <c r="L424" s="27"/>
      <c r="M424" s="27">
        <f t="shared" si="38"/>
        <v>0</v>
      </c>
      <c r="N424" s="26">
        <f t="shared" si="39"/>
        <v>0</v>
      </c>
      <c r="O424" s="26"/>
      <c r="P424" s="26"/>
      <c r="Q424" s="23"/>
      <c r="R424" s="23">
        <f t="shared" si="40"/>
        <v>0</v>
      </c>
      <c r="S424" s="23"/>
      <c r="T424" s="23">
        <f t="shared" si="41"/>
        <v>0</v>
      </c>
      <c r="U424" s="28" t="str">
        <f t="shared" si="42"/>
        <v/>
      </c>
      <c r="V424" s="10" t="str">
        <f>IFERROR(N424*VLOOKUP(G424,FILAMENTI_DB!$A:$J,10,FALSE),"")</f>
        <v/>
      </c>
      <c r="W424" s="23" t="str">
        <f>IFERROR((VLOOKUP(F424,STAMPANTI_DB!$A:$C,3,FALSE)/1000)*O424*SETTINGS!$C$6,"")</f>
        <v/>
      </c>
      <c r="X424" s="23" t="str">
        <f>IFERROR(O424*VLOOKUP(F424,STAMPANTI_DB!$A:$I,9,FALSE),"")</f>
        <v/>
      </c>
      <c r="Y424" s="23">
        <f>IFERROR(P424*SETTINGS!$C$7,"")</f>
        <v>0</v>
      </c>
      <c r="Z424" s="23">
        <f>SETTINGS!$C$11</f>
        <v>0.5</v>
      </c>
      <c r="AA424" s="23">
        <f t="shared" si="43"/>
        <v>0.5</v>
      </c>
      <c r="AB424" s="23">
        <f>IFERROR(AA424*SETTINGS!$C$9,"")</f>
        <v>2.5000000000000001E-2</v>
      </c>
      <c r="AC424" s="23">
        <f>IFERROR((AA424+AB424)*SETTINGS!$C$10,"")</f>
        <v>2.6250000000000002E-2</v>
      </c>
    </row>
    <row r="425" spans="1:29" ht="16" x14ac:dyDescent="0.2">
      <c r="A425" s="25"/>
      <c r="H425" t="str">
        <f>IFERROR(VLOOKUP(G425,FILAMENTI_DB!$A:$C,3,FALSE),"")</f>
        <v/>
      </c>
      <c r="I425" t="str">
        <f>IFERROR(VLOOKUP(G425,FILAMENTI_DB!$A:$E,4,FALSE),"")</f>
        <v/>
      </c>
      <c r="J425" s="26"/>
      <c r="K425" s="27"/>
      <c r="L425" s="27"/>
      <c r="M425" s="27">
        <f t="shared" si="38"/>
        <v>0</v>
      </c>
      <c r="N425" s="26">
        <f t="shared" si="39"/>
        <v>0</v>
      </c>
      <c r="O425" s="26"/>
      <c r="P425" s="26"/>
      <c r="Q425" s="23"/>
      <c r="R425" s="23">
        <f t="shared" si="40"/>
        <v>0</v>
      </c>
      <c r="S425" s="23"/>
      <c r="T425" s="23">
        <f t="shared" si="41"/>
        <v>0</v>
      </c>
      <c r="U425" s="28" t="str">
        <f t="shared" si="42"/>
        <v/>
      </c>
      <c r="V425" s="10" t="str">
        <f>IFERROR(N425*VLOOKUP(G425,FILAMENTI_DB!$A:$J,10,FALSE),"")</f>
        <v/>
      </c>
      <c r="W425" s="23" t="str">
        <f>IFERROR((VLOOKUP(F425,STAMPANTI_DB!$A:$C,3,FALSE)/1000)*O425*SETTINGS!$C$6,"")</f>
        <v/>
      </c>
      <c r="X425" s="23" t="str">
        <f>IFERROR(O425*VLOOKUP(F425,STAMPANTI_DB!$A:$I,9,FALSE),"")</f>
        <v/>
      </c>
      <c r="Y425" s="23">
        <f>IFERROR(P425*SETTINGS!$C$7,"")</f>
        <v>0</v>
      </c>
      <c r="Z425" s="23">
        <f>SETTINGS!$C$11</f>
        <v>0.5</v>
      </c>
      <c r="AA425" s="23">
        <f t="shared" si="43"/>
        <v>0.5</v>
      </c>
      <c r="AB425" s="23">
        <f>IFERROR(AA425*SETTINGS!$C$9,"")</f>
        <v>2.5000000000000001E-2</v>
      </c>
      <c r="AC425" s="23">
        <f>IFERROR((AA425+AB425)*SETTINGS!$C$10,"")</f>
        <v>2.6250000000000002E-2</v>
      </c>
    </row>
    <row r="426" spans="1:29" ht="16" x14ac:dyDescent="0.2">
      <c r="A426" s="25"/>
      <c r="H426" t="str">
        <f>IFERROR(VLOOKUP(G426,FILAMENTI_DB!$A:$C,3,FALSE),"")</f>
        <v/>
      </c>
      <c r="I426" t="str">
        <f>IFERROR(VLOOKUP(G426,FILAMENTI_DB!$A:$E,4,FALSE),"")</f>
        <v/>
      </c>
      <c r="J426" s="26"/>
      <c r="K426" s="27"/>
      <c r="L426" s="27"/>
      <c r="M426" s="27">
        <f t="shared" si="38"/>
        <v>0</v>
      </c>
      <c r="N426" s="26">
        <f t="shared" si="39"/>
        <v>0</v>
      </c>
      <c r="O426" s="26"/>
      <c r="P426" s="26"/>
      <c r="Q426" s="23"/>
      <c r="R426" s="23">
        <f t="shared" si="40"/>
        <v>0</v>
      </c>
      <c r="S426" s="23"/>
      <c r="T426" s="23">
        <f t="shared" si="41"/>
        <v>0</v>
      </c>
      <c r="U426" s="28" t="str">
        <f t="shared" si="42"/>
        <v/>
      </c>
      <c r="V426" s="10" t="str">
        <f>IFERROR(N426*VLOOKUP(G426,FILAMENTI_DB!$A:$J,10,FALSE),"")</f>
        <v/>
      </c>
      <c r="W426" s="23" t="str">
        <f>IFERROR((VLOOKUP(F426,STAMPANTI_DB!$A:$C,3,FALSE)/1000)*O426*SETTINGS!$C$6,"")</f>
        <v/>
      </c>
      <c r="X426" s="23" t="str">
        <f>IFERROR(O426*VLOOKUP(F426,STAMPANTI_DB!$A:$I,9,FALSE),"")</f>
        <v/>
      </c>
      <c r="Y426" s="23">
        <f>IFERROR(P426*SETTINGS!$C$7,"")</f>
        <v>0</v>
      </c>
      <c r="Z426" s="23">
        <f>SETTINGS!$C$11</f>
        <v>0.5</v>
      </c>
      <c r="AA426" s="23">
        <f t="shared" si="43"/>
        <v>0.5</v>
      </c>
      <c r="AB426" s="23">
        <f>IFERROR(AA426*SETTINGS!$C$9,"")</f>
        <v>2.5000000000000001E-2</v>
      </c>
      <c r="AC426" s="23">
        <f>IFERROR((AA426+AB426)*SETTINGS!$C$10,"")</f>
        <v>2.6250000000000002E-2</v>
      </c>
    </row>
    <row r="427" spans="1:29" ht="16" x14ac:dyDescent="0.2">
      <c r="A427" s="25"/>
      <c r="H427" t="str">
        <f>IFERROR(VLOOKUP(G427,FILAMENTI_DB!$A:$C,3,FALSE),"")</f>
        <v/>
      </c>
      <c r="I427" t="str">
        <f>IFERROR(VLOOKUP(G427,FILAMENTI_DB!$A:$E,4,FALSE),"")</f>
        <v/>
      </c>
      <c r="J427" s="26"/>
      <c r="K427" s="27"/>
      <c r="L427" s="27"/>
      <c r="M427" s="27">
        <f t="shared" si="38"/>
        <v>0</v>
      </c>
      <c r="N427" s="26">
        <f t="shared" si="39"/>
        <v>0</v>
      </c>
      <c r="O427" s="26"/>
      <c r="P427" s="26"/>
      <c r="Q427" s="23"/>
      <c r="R427" s="23">
        <f t="shared" si="40"/>
        <v>0</v>
      </c>
      <c r="S427" s="23"/>
      <c r="T427" s="23">
        <f t="shared" si="41"/>
        <v>0</v>
      </c>
      <c r="U427" s="28" t="str">
        <f t="shared" si="42"/>
        <v/>
      </c>
      <c r="V427" s="10" t="str">
        <f>IFERROR(N427*VLOOKUP(G427,FILAMENTI_DB!$A:$J,10,FALSE),"")</f>
        <v/>
      </c>
      <c r="W427" s="23" t="str">
        <f>IFERROR((VLOOKUP(F427,STAMPANTI_DB!$A:$C,3,FALSE)/1000)*O427*SETTINGS!$C$6,"")</f>
        <v/>
      </c>
      <c r="X427" s="23" t="str">
        <f>IFERROR(O427*VLOOKUP(F427,STAMPANTI_DB!$A:$I,9,FALSE),"")</f>
        <v/>
      </c>
      <c r="Y427" s="23">
        <f>IFERROR(P427*SETTINGS!$C$7,"")</f>
        <v>0</v>
      </c>
      <c r="Z427" s="23">
        <f>SETTINGS!$C$11</f>
        <v>0.5</v>
      </c>
      <c r="AA427" s="23">
        <f t="shared" si="43"/>
        <v>0.5</v>
      </c>
      <c r="AB427" s="23">
        <f>IFERROR(AA427*SETTINGS!$C$9,"")</f>
        <v>2.5000000000000001E-2</v>
      </c>
      <c r="AC427" s="23">
        <f>IFERROR((AA427+AB427)*SETTINGS!$C$10,"")</f>
        <v>2.6250000000000002E-2</v>
      </c>
    </row>
    <row r="428" spans="1:29" ht="16" x14ac:dyDescent="0.2">
      <c r="A428" s="25"/>
      <c r="H428" t="str">
        <f>IFERROR(VLOOKUP(G428,FILAMENTI_DB!$A:$C,3,FALSE),"")</f>
        <v/>
      </c>
      <c r="I428" t="str">
        <f>IFERROR(VLOOKUP(G428,FILAMENTI_DB!$A:$E,4,FALSE),"")</f>
        <v/>
      </c>
      <c r="J428" s="26"/>
      <c r="K428" s="27"/>
      <c r="L428" s="27"/>
      <c r="M428" s="27">
        <f t="shared" si="38"/>
        <v>0</v>
      </c>
      <c r="N428" s="26">
        <f t="shared" si="39"/>
        <v>0</v>
      </c>
      <c r="O428" s="26"/>
      <c r="P428" s="26"/>
      <c r="Q428" s="23"/>
      <c r="R428" s="23">
        <f t="shared" si="40"/>
        <v>0</v>
      </c>
      <c r="S428" s="23"/>
      <c r="T428" s="23">
        <f t="shared" si="41"/>
        <v>0</v>
      </c>
      <c r="U428" s="28" t="str">
        <f t="shared" si="42"/>
        <v/>
      </c>
      <c r="V428" s="10" t="str">
        <f>IFERROR(N428*VLOOKUP(G428,FILAMENTI_DB!$A:$J,10,FALSE),"")</f>
        <v/>
      </c>
      <c r="W428" s="23" t="str">
        <f>IFERROR((VLOOKUP(F428,STAMPANTI_DB!$A:$C,3,FALSE)/1000)*O428*SETTINGS!$C$6,"")</f>
        <v/>
      </c>
      <c r="X428" s="23" t="str">
        <f>IFERROR(O428*VLOOKUP(F428,STAMPANTI_DB!$A:$I,9,FALSE),"")</f>
        <v/>
      </c>
      <c r="Y428" s="23">
        <f>IFERROR(P428*SETTINGS!$C$7,"")</f>
        <v>0</v>
      </c>
      <c r="Z428" s="23">
        <f>SETTINGS!$C$11</f>
        <v>0.5</v>
      </c>
      <c r="AA428" s="23">
        <f t="shared" si="43"/>
        <v>0.5</v>
      </c>
      <c r="AB428" s="23">
        <f>IFERROR(AA428*SETTINGS!$C$9,"")</f>
        <v>2.5000000000000001E-2</v>
      </c>
      <c r="AC428" s="23">
        <f>IFERROR((AA428+AB428)*SETTINGS!$C$10,"")</f>
        <v>2.6250000000000002E-2</v>
      </c>
    </row>
    <row r="429" spans="1:29" ht="16" x14ac:dyDescent="0.2">
      <c r="A429" s="25"/>
      <c r="H429" t="str">
        <f>IFERROR(VLOOKUP(G429,FILAMENTI_DB!$A:$C,3,FALSE),"")</f>
        <v/>
      </c>
      <c r="I429" t="str">
        <f>IFERROR(VLOOKUP(G429,FILAMENTI_DB!$A:$E,4,FALSE),"")</f>
        <v/>
      </c>
      <c r="J429" s="26"/>
      <c r="K429" s="27"/>
      <c r="L429" s="27"/>
      <c r="M429" s="27">
        <f t="shared" si="38"/>
        <v>0</v>
      </c>
      <c r="N429" s="26">
        <f t="shared" si="39"/>
        <v>0</v>
      </c>
      <c r="O429" s="26"/>
      <c r="P429" s="26"/>
      <c r="Q429" s="23"/>
      <c r="R429" s="23">
        <f t="shared" si="40"/>
        <v>0</v>
      </c>
      <c r="S429" s="23"/>
      <c r="T429" s="23">
        <f t="shared" si="41"/>
        <v>0</v>
      </c>
      <c r="U429" s="28" t="str">
        <f t="shared" si="42"/>
        <v/>
      </c>
      <c r="V429" s="10" t="str">
        <f>IFERROR(N429*VLOOKUP(G429,FILAMENTI_DB!$A:$J,10,FALSE),"")</f>
        <v/>
      </c>
      <c r="W429" s="23" t="str">
        <f>IFERROR((VLOOKUP(F429,STAMPANTI_DB!$A:$C,3,FALSE)/1000)*O429*SETTINGS!$C$6,"")</f>
        <v/>
      </c>
      <c r="X429" s="23" t="str">
        <f>IFERROR(O429*VLOOKUP(F429,STAMPANTI_DB!$A:$I,9,FALSE),"")</f>
        <v/>
      </c>
      <c r="Y429" s="23">
        <f>IFERROR(P429*SETTINGS!$C$7,"")</f>
        <v>0</v>
      </c>
      <c r="Z429" s="23">
        <f>SETTINGS!$C$11</f>
        <v>0.5</v>
      </c>
      <c r="AA429" s="23">
        <f t="shared" si="43"/>
        <v>0.5</v>
      </c>
      <c r="AB429" s="23">
        <f>IFERROR(AA429*SETTINGS!$C$9,"")</f>
        <v>2.5000000000000001E-2</v>
      </c>
      <c r="AC429" s="23">
        <f>IFERROR((AA429+AB429)*SETTINGS!$C$10,"")</f>
        <v>2.6250000000000002E-2</v>
      </c>
    </row>
    <row r="430" spans="1:29" ht="16" x14ac:dyDescent="0.2">
      <c r="A430" s="25"/>
      <c r="H430" t="str">
        <f>IFERROR(VLOOKUP(G430,FILAMENTI_DB!$A:$C,3,FALSE),"")</f>
        <v/>
      </c>
      <c r="I430" t="str">
        <f>IFERROR(VLOOKUP(G430,FILAMENTI_DB!$A:$E,4,FALSE),"")</f>
        <v/>
      </c>
      <c r="J430" s="26"/>
      <c r="K430" s="27"/>
      <c r="L430" s="27"/>
      <c r="M430" s="27">
        <f t="shared" si="38"/>
        <v>0</v>
      </c>
      <c r="N430" s="26">
        <f t="shared" si="39"/>
        <v>0</v>
      </c>
      <c r="O430" s="26"/>
      <c r="P430" s="26"/>
      <c r="Q430" s="23"/>
      <c r="R430" s="23">
        <f t="shared" si="40"/>
        <v>0</v>
      </c>
      <c r="S430" s="23"/>
      <c r="T430" s="23">
        <f t="shared" si="41"/>
        <v>0</v>
      </c>
      <c r="U430" s="28" t="str">
        <f t="shared" si="42"/>
        <v/>
      </c>
      <c r="V430" s="10" t="str">
        <f>IFERROR(N430*VLOOKUP(G430,FILAMENTI_DB!$A:$J,10,FALSE),"")</f>
        <v/>
      </c>
      <c r="W430" s="23" t="str">
        <f>IFERROR((VLOOKUP(F430,STAMPANTI_DB!$A:$C,3,FALSE)/1000)*O430*SETTINGS!$C$6,"")</f>
        <v/>
      </c>
      <c r="X430" s="23" t="str">
        <f>IFERROR(O430*VLOOKUP(F430,STAMPANTI_DB!$A:$I,9,FALSE),"")</f>
        <v/>
      </c>
      <c r="Y430" s="23">
        <f>IFERROR(P430*SETTINGS!$C$7,"")</f>
        <v>0</v>
      </c>
      <c r="Z430" s="23">
        <f>SETTINGS!$C$11</f>
        <v>0.5</v>
      </c>
      <c r="AA430" s="23">
        <f t="shared" si="43"/>
        <v>0.5</v>
      </c>
      <c r="AB430" s="23">
        <f>IFERROR(AA430*SETTINGS!$C$9,"")</f>
        <v>2.5000000000000001E-2</v>
      </c>
      <c r="AC430" s="23">
        <f>IFERROR((AA430+AB430)*SETTINGS!$C$10,"")</f>
        <v>2.6250000000000002E-2</v>
      </c>
    </row>
    <row r="431" spans="1:29" ht="16" x14ac:dyDescent="0.2">
      <c r="A431" s="25"/>
      <c r="H431" t="str">
        <f>IFERROR(VLOOKUP(G431,FILAMENTI_DB!$A:$C,3,FALSE),"")</f>
        <v/>
      </c>
      <c r="I431" t="str">
        <f>IFERROR(VLOOKUP(G431,FILAMENTI_DB!$A:$E,4,FALSE),"")</f>
        <v/>
      </c>
      <c r="J431" s="26"/>
      <c r="K431" s="27"/>
      <c r="L431" s="27"/>
      <c r="M431" s="27">
        <f t="shared" si="38"/>
        <v>0</v>
      </c>
      <c r="N431" s="26">
        <f t="shared" si="39"/>
        <v>0</v>
      </c>
      <c r="O431" s="26"/>
      <c r="P431" s="26"/>
      <c r="Q431" s="23"/>
      <c r="R431" s="23">
        <f t="shared" si="40"/>
        <v>0</v>
      </c>
      <c r="S431" s="23"/>
      <c r="T431" s="23">
        <f t="shared" si="41"/>
        <v>0</v>
      </c>
      <c r="U431" s="28" t="str">
        <f t="shared" si="42"/>
        <v/>
      </c>
      <c r="V431" s="10" t="str">
        <f>IFERROR(N431*VLOOKUP(G431,FILAMENTI_DB!$A:$J,10,FALSE),"")</f>
        <v/>
      </c>
      <c r="W431" s="23" t="str">
        <f>IFERROR((VLOOKUP(F431,STAMPANTI_DB!$A:$C,3,FALSE)/1000)*O431*SETTINGS!$C$6,"")</f>
        <v/>
      </c>
      <c r="X431" s="23" t="str">
        <f>IFERROR(O431*VLOOKUP(F431,STAMPANTI_DB!$A:$I,9,FALSE),"")</f>
        <v/>
      </c>
      <c r="Y431" s="23">
        <f>IFERROR(P431*SETTINGS!$C$7,"")</f>
        <v>0</v>
      </c>
      <c r="Z431" s="23">
        <f>SETTINGS!$C$11</f>
        <v>0.5</v>
      </c>
      <c r="AA431" s="23">
        <f t="shared" si="43"/>
        <v>0.5</v>
      </c>
      <c r="AB431" s="23">
        <f>IFERROR(AA431*SETTINGS!$C$9,"")</f>
        <v>2.5000000000000001E-2</v>
      </c>
      <c r="AC431" s="23">
        <f>IFERROR((AA431+AB431)*SETTINGS!$C$10,"")</f>
        <v>2.6250000000000002E-2</v>
      </c>
    </row>
    <row r="432" spans="1:29" ht="16" x14ac:dyDescent="0.2">
      <c r="A432" s="25"/>
      <c r="H432" t="str">
        <f>IFERROR(VLOOKUP(G432,FILAMENTI_DB!$A:$C,3,FALSE),"")</f>
        <v/>
      </c>
      <c r="I432" t="str">
        <f>IFERROR(VLOOKUP(G432,FILAMENTI_DB!$A:$E,4,FALSE),"")</f>
        <v/>
      </c>
      <c r="J432" s="26"/>
      <c r="K432" s="27"/>
      <c r="L432" s="27"/>
      <c r="M432" s="27">
        <f t="shared" si="38"/>
        <v>0</v>
      </c>
      <c r="N432" s="26">
        <f t="shared" si="39"/>
        <v>0</v>
      </c>
      <c r="O432" s="26"/>
      <c r="P432" s="26"/>
      <c r="Q432" s="23"/>
      <c r="R432" s="23">
        <f t="shared" si="40"/>
        <v>0</v>
      </c>
      <c r="S432" s="23"/>
      <c r="T432" s="23">
        <f t="shared" si="41"/>
        <v>0</v>
      </c>
      <c r="U432" s="28" t="str">
        <f t="shared" si="42"/>
        <v/>
      </c>
      <c r="V432" s="10" t="str">
        <f>IFERROR(N432*VLOOKUP(G432,FILAMENTI_DB!$A:$J,10,FALSE),"")</f>
        <v/>
      </c>
      <c r="W432" s="23" t="str">
        <f>IFERROR((VLOOKUP(F432,STAMPANTI_DB!$A:$C,3,FALSE)/1000)*O432*SETTINGS!$C$6,"")</f>
        <v/>
      </c>
      <c r="X432" s="23" t="str">
        <f>IFERROR(O432*VLOOKUP(F432,STAMPANTI_DB!$A:$I,9,FALSE),"")</f>
        <v/>
      </c>
      <c r="Y432" s="23">
        <f>IFERROR(P432*SETTINGS!$C$7,"")</f>
        <v>0</v>
      </c>
      <c r="Z432" s="23">
        <f>SETTINGS!$C$11</f>
        <v>0.5</v>
      </c>
      <c r="AA432" s="23">
        <f t="shared" si="43"/>
        <v>0.5</v>
      </c>
      <c r="AB432" s="23">
        <f>IFERROR(AA432*SETTINGS!$C$9,"")</f>
        <v>2.5000000000000001E-2</v>
      </c>
      <c r="AC432" s="23">
        <f>IFERROR((AA432+AB432)*SETTINGS!$C$10,"")</f>
        <v>2.6250000000000002E-2</v>
      </c>
    </row>
    <row r="433" spans="1:29" ht="16" x14ac:dyDescent="0.2">
      <c r="A433" s="25"/>
      <c r="H433" t="str">
        <f>IFERROR(VLOOKUP(G433,FILAMENTI_DB!$A:$C,3,FALSE),"")</f>
        <v/>
      </c>
      <c r="I433" t="str">
        <f>IFERROR(VLOOKUP(G433,FILAMENTI_DB!$A:$E,4,FALSE),"")</f>
        <v/>
      </c>
      <c r="J433" s="26"/>
      <c r="K433" s="27"/>
      <c r="L433" s="27"/>
      <c r="M433" s="27">
        <f t="shared" si="38"/>
        <v>0</v>
      </c>
      <c r="N433" s="26">
        <f t="shared" si="39"/>
        <v>0</v>
      </c>
      <c r="O433" s="26"/>
      <c r="P433" s="26"/>
      <c r="Q433" s="23"/>
      <c r="R433" s="23">
        <f t="shared" si="40"/>
        <v>0</v>
      </c>
      <c r="S433" s="23"/>
      <c r="T433" s="23">
        <f t="shared" si="41"/>
        <v>0</v>
      </c>
      <c r="U433" s="28" t="str">
        <f t="shared" si="42"/>
        <v/>
      </c>
      <c r="V433" s="10" t="str">
        <f>IFERROR(N433*VLOOKUP(G433,FILAMENTI_DB!$A:$J,10,FALSE),"")</f>
        <v/>
      </c>
      <c r="W433" s="23" t="str">
        <f>IFERROR((VLOOKUP(F433,STAMPANTI_DB!$A:$C,3,FALSE)/1000)*O433*SETTINGS!$C$6,"")</f>
        <v/>
      </c>
      <c r="X433" s="23" t="str">
        <f>IFERROR(O433*VLOOKUP(F433,STAMPANTI_DB!$A:$I,9,FALSE),"")</f>
        <v/>
      </c>
      <c r="Y433" s="23">
        <f>IFERROR(P433*SETTINGS!$C$7,"")</f>
        <v>0</v>
      </c>
      <c r="Z433" s="23">
        <f>SETTINGS!$C$11</f>
        <v>0.5</v>
      </c>
      <c r="AA433" s="23">
        <f t="shared" si="43"/>
        <v>0.5</v>
      </c>
      <c r="AB433" s="23">
        <f>IFERROR(AA433*SETTINGS!$C$9,"")</f>
        <v>2.5000000000000001E-2</v>
      </c>
      <c r="AC433" s="23">
        <f>IFERROR((AA433+AB433)*SETTINGS!$C$10,"")</f>
        <v>2.6250000000000002E-2</v>
      </c>
    </row>
    <row r="434" spans="1:29" ht="16" x14ac:dyDescent="0.2">
      <c r="A434" s="25"/>
      <c r="H434" t="str">
        <f>IFERROR(VLOOKUP(G434,FILAMENTI_DB!$A:$C,3,FALSE),"")</f>
        <v/>
      </c>
      <c r="I434" t="str">
        <f>IFERROR(VLOOKUP(G434,FILAMENTI_DB!$A:$E,4,FALSE),"")</f>
        <v/>
      </c>
      <c r="J434" s="26"/>
      <c r="K434" s="27"/>
      <c r="L434" s="27"/>
      <c r="M434" s="27">
        <f t="shared" si="38"/>
        <v>0</v>
      </c>
      <c r="N434" s="26">
        <f t="shared" si="39"/>
        <v>0</v>
      </c>
      <c r="O434" s="26"/>
      <c r="P434" s="26"/>
      <c r="Q434" s="23"/>
      <c r="R434" s="23">
        <f t="shared" si="40"/>
        <v>0</v>
      </c>
      <c r="S434" s="23"/>
      <c r="T434" s="23">
        <f t="shared" si="41"/>
        <v>0</v>
      </c>
      <c r="U434" s="28" t="str">
        <f t="shared" si="42"/>
        <v/>
      </c>
      <c r="V434" s="10" t="str">
        <f>IFERROR(N434*VLOOKUP(G434,FILAMENTI_DB!$A:$J,10,FALSE),"")</f>
        <v/>
      </c>
      <c r="W434" s="23" t="str">
        <f>IFERROR((VLOOKUP(F434,STAMPANTI_DB!$A:$C,3,FALSE)/1000)*O434*SETTINGS!$C$6,"")</f>
        <v/>
      </c>
      <c r="X434" s="23" t="str">
        <f>IFERROR(O434*VLOOKUP(F434,STAMPANTI_DB!$A:$I,9,FALSE),"")</f>
        <v/>
      </c>
      <c r="Y434" s="23">
        <f>IFERROR(P434*SETTINGS!$C$7,"")</f>
        <v>0</v>
      </c>
      <c r="Z434" s="23">
        <f>SETTINGS!$C$11</f>
        <v>0.5</v>
      </c>
      <c r="AA434" s="23">
        <f t="shared" si="43"/>
        <v>0.5</v>
      </c>
      <c r="AB434" s="23">
        <f>IFERROR(AA434*SETTINGS!$C$9,"")</f>
        <v>2.5000000000000001E-2</v>
      </c>
      <c r="AC434" s="23">
        <f>IFERROR((AA434+AB434)*SETTINGS!$C$10,"")</f>
        <v>2.6250000000000002E-2</v>
      </c>
    </row>
    <row r="435" spans="1:29" ht="16" x14ac:dyDescent="0.2">
      <c r="A435" s="25"/>
      <c r="H435" t="str">
        <f>IFERROR(VLOOKUP(G435,FILAMENTI_DB!$A:$C,3,FALSE),"")</f>
        <v/>
      </c>
      <c r="I435" t="str">
        <f>IFERROR(VLOOKUP(G435,FILAMENTI_DB!$A:$E,4,FALSE),"")</f>
        <v/>
      </c>
      <c r="J435" s="26"/>
      <c r="K435" s="27"/>
      <c r="L435" s="27"/>
      <c r="M435" s="27">
        <f t="shared" si="38"/>
        <v>0</v>
      </c>
      <c r="N435" s="26">
        <f t="shared" si="39"/>
        <v>0</v>
      </c>
      <c r="O435" s="26"/>
      <c r="P435" s="26"/>
      <c r="Q435" s="23"/>
      <c r="R435" s="23">
        <f t="shared" si="40"/>
        <v>0</v>
      </c>
      <c r="S435" s="23"/>
      <c r="T435" s="23">
        <f t="shared" si="41"/>
        <v>0</v>
      </c>
      <c r="U435" s="28" t="str">
        <f t="shared" si="42"/>
        <v/>
      </c>
      <c r="V435" s="10" t="str">
        <f>IFERROR(N435*VLOOKUP(G435,FILAMENTI_DB!$A:$J,10,FALSE),"")</f>
        <v/>
      </c>
      <c r="W435" s="23" t="str">
        <f>IFERROR((VLOOKUP(F435,STAMPANTI_DB!$A:$C,3,FALSE)/1000)*O435*SETTINGS!$C$6,"")</f>
        <v/>
      </c>
      <c r="X435" s="23" t="str">
        <f>IFERROR(O435*VLOOKUP(F435,STAMPANTI_DB!$A:$I,9,FALSE),"")</f>
        <v/>
      </c>
      <c r="Y435" s="23">
        <f>IFERROR(P435*SETTINGS!$C$7,"")</f>
        <v>0</v>
      </c>
      <c r="Z435" s="23">
        <f>SETTINGS!$C$11</f>
        <v>0.5</v>
      </c>
      <c r="AA435" s="23">
        <f t="shared" si="43"/>
        <v>0.5</v>
      </c>
      <c r="AB435" s="23">
        <f>IFERROR(AA435*SETTINGS!$C$9,"")</f>
        <v>2.5000000000000001E-2</v>
      </c>
      <c r="AC435" s="23">
        <f>IFERROR((AA435+AB435)*SETTINGS!$C$10,"")</f>
        <v>2.6250000000000002E-2</v>
      </c>
    </row>
    <row r="436" spans="1:29" ht="16" x14ac:dyDescent="0.2">
      <c r="A436" s="25"/>
      <c r="H436" t="str">
        <f>IFERROR(VLOOKUP(G436,FILAMENTI_DB!$A:$C,3,FALSE),"")</f>
        <v/>
      </c>
      <c r="I436" t="str">
        <f>IFERROR(VLOOKUP(G436,FILAMENTI_DB!$A:$E,4,FALSE),"")</f>
        <v/>
      </c>
      <c r="J436" s="26"/>
      <c r="K436" s="27"/>
      <c r="L436" s="27"/>
      <c r="M436" s="27">
        <f t="shared" si="38"/>
        <v>0</v>
      </c>
      <c r="N436" s="26">
        <f t="shared" si="39"/>
        <v>0</v>
      </c>
      <c r="O436" s="26"/>
      <c r="P436" s="26"/>
      <c r="Q436" s="23"/>
      <c r="R436" s="23">
        <f t="shared" si="40"/>
        <v>0</v>
      </c>
      <c r="S436" s="23"/>
      <c r="T436" s="23">
        <f t="shared" si="41"/>
        <v>0</v>
      </c>
      <c r="U436" s="28" t="str">
        <f t="shared" si="42"/>
        <v/>
      </c>
      <c r="V436" s="10" t="str">
        <f>IFERROR(N436*VLOOKUP(G436,FILAMENTI_DB!$A:$J,10,FALSE),"")</f>
        <v/>
      </c>
      <c r="W436" s="23" t="str">
        <f>IFERROR((VLOOKUP(F436,STAMPANTI_DB!$A:$C,3,FALSE)/1000)*O436*SETTINGS!$C$6,"")</f>
        <v/>
      </c>
      <c r="X436" s="23" t="str">
        <f>IFERROR(O436*VLOOKUP(F436,STAMPANTI_DB!$A:$I,9,FALSE),"")</f>
        <v/>
      </c>
      <c r="Y436" s="23">
        <f>IFERROR(P436*SETTINGS!$C$7,"")</f>
        <v>0</v>
      </c>
      <c r="Z436" s="23">
        <f>SETTINGS!$C$11</f>
        <v>0.5</v>
      </c>
      <c r="AA436" s="23">
        <f t="shared" si="43"/>
        <v>0.5</v>
      </c>
      <c r="AB436" s="23">
        <f>IFERROR(AA436*SETTINGS!$C$9,"")</f>
        <v>2.5000000000000001E-2</v>
      </c>
      <c r="AC436" s="23">
        <f>IFERROR((AA436+AB436)*SETTINGS!$C$10,"")</f>
        <v>2.6250000000000002E-2</v>
      </c>
    </row>
    <row r="437" spans="1:29" ht="16" x14ac:dyDescent="0.2">
      <c r="A437" s="25"/>
      <c r="H437" t="str">
        <f>IFERROR(VLOOKUP(G437,FILAMENTI_DB!$A:$C,3,FALSE),"")</f>
        <v/>
      </c>
      <c r="I437" t="str">
        <f>IFERROR(VLOOKUP(G437,FILAMENTI_DB!$A:$E,4,FALSE),"")</f>
        <v/>
      </c>
      <c r="J437" s="26"/>
      <c r="K437" s="27"/>
      <c r="L437" s="27"/>
      <c r="M437" s="27">
        <f t="shared" si="38"/>
        <v>0</v>
      </c>
      <c r="N437" s="26">
        <f t="shared" si="39"/>
        <v>0</v>
      </c>
      <c r="O437" s="26"/>
      <c r="P437" s="26"/>
      <c r="Q437" s="23"/>
      <c r="R437" s="23">
        <f t="shared" si="40"/>
        <v>0</v>
      </c>
      <c r="S437" s="23"/>
      <c r="T437" s="23">
        <f t="shared" si="41"/>
        <v>0</v>
      </c>
      <c r="U437" s="28" t="str">
        <f t="shared" si="42"/>
        <v/>
      </c>
      <c r="V437" s="10" t="str">
        <f>IFERROR(N437*VLOOKUP(G437,FILAMENTI_DB!$A:$J,10,FALSE),"")</f>
        <v/>
      </c>
      <c r="W437" s="23" t="str">
        <f>IFERROR((VLOOKUP(F437,STAMPANTI_DB!$A:$C,3,FALSE)/1000)*O437*SETTINGS!$C$6,"")</f>
        <v/>
      </c>
      <c r="X437" s="23" t="str">
        <f>IFERROR(O437*VLOOKUP(F437,STAMPANTI_DB!$A:$I,9,FALSE),"")</f>
        <v/>
      </c>
      <c r="Y437" s="23">
        <f>IFERROR(P437*SETTINGS!$C$7,"")</f>
        <v>0</v>
      </c>
      <c r="Z437" s="23">
        <f>SETTINGS!$C$11</f>
        <v>0.5</v>
      </c>
      <c r="AA437" s="23">
        <f t="shared" si="43"/>
        <v>0.5</v>
      </c>
      <c r="AB437" s="23">
        <f>IFERROR(AA437*SETTINGS!$C$9,"")</f>
        <v>2.5000000000000001E-2</v>
      </c>
      <c r="AC437" s="23">
        <f>IFERROR((AA437+AB437)*SETTINGS!$C$10,"")</f>
        <v>2.6250000000000002E-2</v>
      </c>
    </row>
    <row r="438" spans="1:29" ht="16" x14ac:dyDescent="0.2">
      <c r="A438" s="25"/>
      <c r="H438" t="str">
        <f>IFERROR(VLOOKUP(G438,FILAMENTI_DB!$A:$C,3,FALSE),"")</f>
        <v/>
      </c>
      <c r="I438" t="str">
        <f>IFERROR(VLOOKUP(G438,FILAMENTI_DB!$A:$E,4,FALSE),"")</f>
        <v/>
      </c>
      <c r="J438" s="26"/>
      <c r="K438" s="27"/>
      <c r="L438" s="27"/>
      <c r="M438" s="27">
        <f t="shared" si="38"/>
        <v>0</v>
      </c>
      <c r="N438" s="26">
        <f t="shared" si="39"/>
        <v>0</v>
      </c>
      <c r="O438" s="26"/>
      <c r="P438" s="26"/>
      <c r="Q438" s="23"/>
      <c r="R438" s="23">
        <f t="shared" si="40"/>
        <v>0</v>
      </c>
      <c r="S438" s="23"/>
      <c r="T438" s="23">
        <f t="shared" si="41"/>
        <v>0</v>
      </c>
      <c r="U438" s="28" t="str">
        <f t="shared" si="42"/>
        <v/>
      </c>
      <c r="V438" s="10" t="str">
        <f>IFERROR(N438*VLOOKUP(G438,FILAMENTI_DB!$A:$J,10,FALSE),"")</f>
        <v/>
      </c>
      <c r="W438" s="23" t="str">
        <f>IFERROR((VLOOKUP(F438,STAMPANTI_DB!$A:$C,3,FALSE)/1000)*O438*SETTINGS!$C$6,"")</f>
        <v/>
      </c>
      <c r="X438" s="23" t="str">
        <f>IFERROR(O438*VLOOKUP(F438,STAMPANTI_DB!$A:$I,9,FALSE),"")</f>
        <v/>
      </c>
      <c r="Y438" s="23">
        <f>IFERROR(P438*SETTINGS!$C$7,"")</f>
        <v>0</v>
      </c>
      <c r="Z438" s="23">
        <f>SETTINGS!$C$11</f>
        <v>0.5</v>
      </c>
      <c r="AA438" s="23">
        <f t="shared" si="43"/>
        <v>0.5</v>
      </c>
      <c r="AB438" s="23">
        <f>IFERROR(AA438*SETTINGS!$C$9,"")</f>
        <v>2.5000000000000001E-2</v>
      </c>
      <c r="AC438" s="23">
        <f>IFERROR((AA438+AB438)*SETTINGS!$C$10,"")</f>
        <v>2.6250000000000002E-2</v>
      </c>
    </row>
    <row r="439" spans="1:29" ht="16" x14ac:dyDescent="0.2">
      <c r="A439" s="25"/>
      <c r="H439" t="str">
        <f>IFERROR(VLOOKUP(G439,FILAMENTI_DB!$A:$C,3,FALSE),"")</f>
        <v/>
      </c>
      <c r="I439" t="str">
        <f>IFERROR(VLOOKUP(G439,FILAMENTI_DB!$A:$E,4,FALSE),"")</f>
        <v/>
      </c>
      <c r="J439" s="26"/>
      <c r="K439" s="27"/>
      <c r="L439" s="27"/>
      <c r="M439" s="27">
        <f t="shared" si="38"/>
        <v>0</v>
      </c>
      <c r="N439" s="26">
        <f t="shared" si="39"/>
        <v>0</v>
      </c>
      <c r="O439" s="26"/>
      <c r="P439" s="26"/>
      <c r="Q439" s="23"/>
      <c r="R439" s="23">
        <f t="shared" si="40"/>
        <v>0</v>
      </c>
      <c r="S439" s="23"/>
      <c r="T439" s="23">
        <f t="shared" si="41"/>
        <v>0</v>
      </c>
      <c r="U439" s="28" t="str">
        <f t="shared" si="42"/>
        <v/>
      </c>
      <c r="V439" s="10" t="str">
        <f>IFERROR(N439*VLOOKUP(G439,FILAMENTI_DB!$A:$J,10,FALSE),"")</f>
        <v/>
      </c>
      <c r="W439" s="23" t="str">
        <f>IFERROR((VLOOKUP(F439,STAMPANTI_DB!$A:$C,3,FALSE)/1000)*O439*SETTINGS!$C$6,"")</f>
        <v/>
      </c>
      <c r="X439" s="23" t="str">
        <f>IFERROR(O439*VLOOKUP(F439,STAMPANTI_DB!$A:$I,9,FALSE),"")</f>
        <v/>
      </c>
      <c r="Y439" s="23">
        <f>IFERROR(P439*SETTINGS!$C$7,"")</f>
        <v>0</v>
      </c>
      <c r="Z439" s="23">
        <f>SETTINGS!$C$11</f>
        <v>0.5</v>
      </c>
      <c r="AA439" s="23">
        <f t="shared" si="43"/>
        <v>0.5</v>
      </c>
      <c r="AB439" s="23">
        <f>IFERROR(AA439*SETTINGS!$C$9,"")</f>
        <v>2.5000000000000001E-2</v>
      </c>
      <c r="AC439" s="23">
        <f>IFERROR((AA439+AB439)*SETTINGS!$C$10,"")</f>
        <v>2.6250000000000002E-2</v>
      </c>
    </row>
    <row r="440" spans="1:29" ht="16" x14ac:dyDescent="0.2">
      <c r="A440" s="25"/>
      <c r="H440" t="str">
        <f>IFERROR(VLOOKUP(G440,FILAMENTI_DB!$A:$C,3,FALSE),"")</f>
        <v/>
      </c>
      <c r="I440" t="str">
        <f>IFERROR(VLOOKUP(G440,FILAMENTI_DB!$A:$E,4,FALSE),"")</f>
        <v/>
      </c>
      <c r="J440" s="26"/>
      <c r="K440" s="27"/>
      <c r="L440" s="27"/>
      <c r="M440" s="27">
        <f t="shared" si="38"/>
        <v>0</v>
      </c>
      <c r="N440" s="26">
        <f t="shared" si="39"/>
        <v>0</v>
      </c>
      <c r="O440" s="26"/>
      <c r="P440" s="26"/>
      <c r="Q440" s="23"/>
      <c r="R440" s="23">
        <f t="shared" si="40"/>
        <v>0</v>
      </c>
      <c r="S440" s="23"/>
      <c r="T440" s="23">
        <f t="shared" si="41"/>
        <v>0</v>
      </c>
      <c r="U440" s="28" t="str">
        <f t="shared" si="42"/>
        <v/>
      </c>
      <c r="V440" s="10" t="str">
        <f>IFERROR(N440*VLOOKUP(G440,FILAMENTI_DB!$A:$J,10,FALSE),"")</f>
        <v/>
      </c>
      <c r="W440" s="23" t="str">
        <f>IFERROR((VLOOKUP(F440,STAMPANTI_DB!$A:$C,3,FALSE)/1000)*O440*SETTINGS!$C$6,"")</f>
        <v/>
      </c>
      <c r="X440" s="23" t="str">
        <f>IFERROR(O440*VLOOKUP(F440,STAMPANTI_DB!$A:$I,9,FALSE),"")</f>
        <v/>
      </c>
      <c r="Y440" s="23">
        <f>IFERROR(P440*SETTINGS!$C$7,"")</f>
        <v>0</v>
      </c>
      <c r="Z440" s="23">
        <f>SETTINGS!$C$11</f>
        <v>0.5</v>
      </c>
      <c r="AA440" s="23">
        <f t="shared" si="43"/>
        <v>0.5</v>
      </c>
      <c r="AB440" s="23">
        <f>IFERROR(AA440*SETTINGS!$C$9,"")</f>
        <v>2.5000000000000001E-2</v>
      </c>
      <c r="AC440" s="23">
        <f>IFERROR((AA440+AB440)*SETTINGS!$C$10,"")</f>
        <v>2.6250000000000002E-2</v>
      </c>
    </row>
    <row r="441" spans="1:29" ht="16" x14ac:dyDescent="0.2">
      <c r="A441" s="25"/>
      <c r="H441" t="str">
        <f>IFERROR(VLOOKUP(G441,FILAMENTI_DB!$A:$C,3,FALSE),"")</f>
        <v/>
      </c>
      <c r="I441" t="str">
        <f>IFERROR(VLOOKUP(G441,FILAMENTI_DB!$A:$E,4,FALSE),"")</f>
        <v/>
      </c>
      <c r="J441" s="26"/>
      <c r="K441" s="27"/>
      <c r="L441" s="27"/>
      <c r="M441" s="27">
        <f t="shared" si="38"/>
        <v>0</v>
      </c>
      <c r="N441" s="26">
        <f t="shared" si="39"/>
        <v>0</v>
      </c>
      <c r="O441" s="26"/>
      <c r="P441" s="26"/>
      <c r="Q441" s="23"/>
      <c r="R441" s="23">
        <f t="shared" si="40"/>
        <v>0</v>
      </c>
      <c r="S441" s="23"/>
      <c r="T441" s="23">
        <f t="shared" si="41"/>
        <v>0</v>
      </c>
      <c r="U441" s="28" t="str">
        <f t="shared" si="42"/>
        <v/>
      </c>
      <c r="V441" s="10" t="str">
        <f>IFERROR(N441*VLOOKUP(G441,FILAMENTI_DB!$A:$J,10,FALSE),"")</f>
        <v/>
      </c>
      <c r="W441" s="23" t="str">
        <f>IFERROR((VLOOKUP(F441,STAMPANTI_DB!$A:$C,3,FALSE)/1000)*O441*SETTINGS!$C$6,"")</f>
        <v/>
      </c>
      <c r="X441" s="23" t="str">
        <f>IFERROR(O441*VLOOKUP(F441,STAMPANTI_DB!$A:$I,9,FALSE),"")</f>
        <v/>
      </c>
      <c r="Y441" s="23">
        <f>IFERROR(P441*SETTINGS!$C$7,"")</f>
        <v>0</v>
      </c>
      <c r="Z441" s="23">
        <f>SETTINGS!$C$11</f>
        <v>0.5</v>
      </c>
      <c r="AA441" s="23">
        <f t="shared" si="43"/>
        <v>0.5</v>
      </c>
      <c r="AB441" s="23">
        <f>IFERROR(AA441*SETTINGS!$C$9,"")</f>
        <v>2.5000000000000001E-2</v>
      </c>
      <c r="AC441" s="23">
        <f>IFERROR((AA441+AB441)*SETTINGS!$C$10,"")</f>
        <v>2.6250000000000002E-2</v>
      </c>
    </row>
    <row r="442" spans="1:29" ht="16" x14ac:dyDescent="0.2">
      <c r="A442" s="25"/>
      <c r="H442" t="str">
        <f>IFERROR(VLOOKUP(G442,FILAMENTI_DB!$A:$C,3,FALSE),"")</f>
        <v/>
      </c>
      <c r="I442" t="str">
        <f>IFERROR(VLOOKUP(G442,FILAMENTI_DB!$A:$E,4,FALSE),"")</f>
        <v/>
      </c>
      <c r="J442" s="26"/>
      <c r="K442" s="27"/>
      <c r="L442" s="27"/>
      <c r="M442" s="27">
        <f t="shared" si="38"/>
        <v>0</v>
      </c>
      <c r="N442" s="26">
        <f t="shared" si="39"/>
        <v>0</v>
      </c>
      <c r="O442" s="26"/>
      <c r="P442" s="26"/>
      <c r="Q442" s="23"/>
      <c r="R442" s="23">
        <f t="shared" si="40"/>
        <v>0</v>
      </c>
      <c r="S442" s="23"/>
      <c r="T442" s="23">
        <f t="shared" si="41"/>
        <v>0</v>
      </c>
      <c r="U442" s="28" t="str">
        <f t="shared" si="42"/>
        <v/>
      </c>
      <c r="V442" s="10" t="str">
        <f>IFERROR(N442*VLOOKUP(G442,FILAMENTI_DB!$A:$J,10,FALSE),"")</f>
        <v/>
      </c>
      <c r="W442" s="23" t="str">
        <f>IFERROR((VLOOKUP(F442,STAMPANTI_DB!$A:$C,3,FALSE)/1000)*O442*SETTINGS!$C$6,"")</f>
        <v/>
      </c>
      <c r="X442" s="23" t="str">
        <f>IFERROR(O442*VLOOKUP(F442,STAMPANTI_DB!$A:$I,9,FALSE),"")</f>
        <v/>
      </c>
      <c r="Y442" s="23">
        <f>IFERROR(P442*SETTINGS!$C$7,"")</f>
        <v>0</v>
      </c>
      <c r="Z442" s="23">
        <f>SETTINGS!$C$11</f>
        <v>0.5</v>
      </c>
      <c r="AA442" s="23">
        <f t="shared" si="43"/>
        <v>0.5</v>
      </c>
      <c r="AB442" s="23">
        <f>IFERROR(AA442*SETTINGS!$C$9,"")</f>
        <v>2.5000000000000001E-2</v>
      </c>
      <c r="AC442" s="23">
        <f>IFERROR((AA442+AB442)*SETTINGS!$C$10,"")</f>
        <v>2.6250000000000002E-2</v>
      </c>
    </row>
    <row r="443" spans="1:29" ht="16" x14ac:dyDescent="0.2">
      <c r="A443" s="25"/>
      <c r="H443" t="str">
        <f>IFERROR(VLOOKUP(G443,FILAMENTI_DB!$A:$C,3,FALSE),"")</f>
        <v/>
      </c>
      <c r="I443" t="str">
        <f>IFERROR(VLOOKUP(G443,FILAMENTI_DB!$A:$E,4,FALSE),"")</f>
        <v/>
      </c>
      <c r="J443" s="26"/>
      <c r="K443" s="27"/>
      <c r="L443" s="27"/>
      <c r="M443" s="27">
        <f t="shared" si="38"/>
        <v>0</v>
      </c>
      <c r="N443" s="26">
        <f t="shared" si="39"/>
        <v>0</v>
      </c>
      <c r="O443" s="26"/>
      <c r="P443" s="26"/>
      <c r="Q443" s="23"/>
      <c r="R443" s="23">
        <f t="shared" si="40"/>
        <v>0</v>
      </c>
      <c r="S443" s="23"/>
      <c r="T443" s="23">
        <f t="shared" si="41"/>
        <v>0</v>
      </c>
      <c r="U443" s="28" t="str">
        <f t="shared" si="42"/>
        <v/>
      </c>
      <c r="V443" s="10" t="str">
        <f>IFERROR(N443*VLOOKUP(G443,FILAMENTI_DB!$A:$J,10,FALSE),"")</f>
        <v/>
      </c>
      <c r="W443" s="23" t="str">
        <f>IFERROR((VLOOKUP(F443,STAMPANTI_DB!$A:$C,3,FALSE)/1000)*O443*SETTINGS!$C$6,"")</f>
        <v/>
      </c>
      <c r="X443" s="23" t="str">
        <f>IFERROR(O443*VLOOKUP(F443,STAMPANTI_DB!$A:$I,9,FALSE),"")</f>
        <v/>
      </c>
      <c r="Y443" s="23">
        <f>IFERROR(P443*SETTINGS!$C$7,"")</f>
        <v>0</v>
      </c>
      <c r="Z443" s="23">
        <f>SETTINGS!$C$11</f>
        <v>0.5</v>
      </c>
      <c r="AA443" s="23">
        <f t="shared" si="43"/>
        <v>0.5</v>
      </c>
      <c r="AB443" s="23">
        <f>IFERROR(AA443*SETTINGS!$C$9,"")</f>
        <v>2.5000000000000001E-2</v>
      </c>
      <c r="AC443" s="23">
        <f>IFERROR((AA443+AB443)*SETTINGS!$C$10,"")</f>
        <v>2.6250000000000002E-2</v>
      </c>
    </row>
    <row r="444" spans="1:29" ht="16" x14ac:dyDescent="0.2">
      <c r="A444" s="25"/>
      <c r="H444" t="str">
        <f>IFERROR(VLOOKUP(G444,FILAMENTI_DB!$A:$C,3,FALSE),"")</f>
        <v/>
      </c>
      <c r="I444" t="str">
        <f>IFERROR(VLOOKUP(G444,FILAMENTI_DB!$A:$E,4,FALSE),"")</f>
        <v/>
      </c>
      <c r="J444" s="26"/>
      <c r="K444" s="27"/>
      <c r="L444" s="27"/>
      <c r="M444" s="27">
        <f t="shared" si="38"/>
        <v>0</v>
      </c>
      <c r="N444" s="26">
        <f t="shared" si="39"/>
        <v>0</v>
      </c>
      <c r="O444" s="26"/>
      <c r="P444" s="26"/>
      <c r="Q444" s="23"/>
      <c r="R444" s="23">
        <f t="shared" si="40"/>
        <v>0</v>
      </c>
      <c r="S444" s="23"/>
      <c r="T444" s="23">
        <f t="shared" si="41"/>
        <v>0</v>
      </c>
      <c r="U444" s="28" t="str">
        <f t="shared" si="42"/>
        <v/>
      </c>
      <c r="V444" s="10" t="str">
        <f>IFERROR(N444*VLOOKUP(G444,FILAMENTI_DB!$A:$J,10,FALSE),"")</f>
        <v/>
      </c>
      <c r="W444" s="23" t="str">
        <f>IFERROR((VLOOKUP(F444,STAMPANTI_DB!$A:$C,3,FALSE)/1000)*O444*SETTINGS!$C$6,"")</f>
        <v/>
      </c>
      <c r="X444" s="23" t="str">
        <f>IFERROR(O444*VLOOKUP(F444,STAMPANTI_DB!$A:$I,9,FALSE),"")</f>
        <v/>
      </c>
      <c r="Y444" s="23">
        <f>IFERROR(P444*SETTINGS!$C$7,"")</f>
        <v>0</v>
      </c>
      <c r="Z444" s="23">
        <f>SETTINGS!$C$11</f>
        <v>0.5</v>
      </c>
      <c r="AA444" s="23">
        <f t="shared" si="43"/>
        <v>0.5</v>
      </c>
      <c r="AB444" s="23">
        <f>IFERROR(AA444*SETTINGS!$C$9,"")</f>
        <v>2.5000000000000001E-2</v>
      </c>
      <c r="AC444" s="23">
        <f>IFERROR((AA444+AB444)*SETTINGS!$C$10,"")</f>
        <v>2.6250000000000002E-2</v>
      </c>
    </row>
    <row r="445" spans="1:29" ht="16" x14ac:dyDescent="0.2">
      <c r="A445" s="25"/>
      <c r="H445" t="str">
        <f>IFERROR(VLOOKUP(G445,FILAMENTI_DB!$A:$C,3,FALSE),"")</f>
        <v/>
      </c>
      <c r="I445" t="str">
        <f>IFERROR(VLOOKUP(G445,FILAMENTI_DB!$A:$E,4,FALSE),"")</f>
        <v/>
      </c>
      <c r="J445" s="26"/>
      <c r="K445" s="27"/>
      <c r="L445" s="27"/>
      <c r="M445" s="27">
        <f t="shared" si="38"/>
        <v>0</v>
      </c>
      <c r="N445" s="26">
        <f t="shared" si="39"/>
        <v>0</v>
      </c>
      <c r="O445" s="26"/>
      <c r="P445" s="26"/>
      <c r="Q445" s="23"/>
      <c r="R445" s="23">
        <f t="shared" si="40"/>
        <v>0</v>
      </c>
      <c r="S445" s="23"/>
      <c r="T445" s="23">
        <f t="shared" si="41"/>
        <v>0</v>
      </c>
      <c r="U445" s="28" t="str">
        <f t="shared" si="42"/>
        <v/>
      </c>
      <c r="V445" s="10" t="str">
        <f>IFERROR(N445*VLOOKUP(G445,FILAMENTI_DB!$A:$J,10,FALSE),"")</f>
        <v/>
      </c>
      <c r="W445" s="23" t="str">
        <f>IFERROR((VLOOKUP(F445,STAMPANTI_DB!$A:$C,3,FALSE)/1000)*O445*SETTINGS!$C$6,"")</f>
        <v/>
      </c>
      <c r="X445" s="23" t="str">
        <f>IFERROR(O445*VLOOKUP(F445,STAMPANTI_DB!$A:$I,9,FALSE),"")</f>
        <v/>
      </c>
      <c r="Y445" s="23">
        <f>IFERROR(P445*SETTINGS!$C$7,"")</f>
        <v>0</v>
      </c>
      <c r="Z445" s="23">
        <f>SETTINGS!$C$11</f>
        <v>0.5</v>
      </c>
      <c r="AA445" s="23">
        <f t="shared" si="43"/>
        <v>0.5</v>
      </c>
      <c r="AB445" s="23">
        <f>IFERROR(AA445*SETTINGS!$C$9,"")</f>
        <v>2.5000000000000001E-2</v>
      </c>
      <c r="AC445" s="23">
        <f>IFERROR((AA445+AB445)*SETTINGS!$C$10,"")</f>
        <v>2.6250000000000002E-2</v>
      </c>
    </row>
    <row r="446" spans="1:29" ht="16" x14ac:dyDescent="0.2">
      <c r="A446" s="25"/>
      <c r="H446" t="str">
        <f>IFERROR(VLOOKUP(G446,FILAMENTI_DB!$A:$C,3,FALSE),"")</f>
        <v/>
      </c>
      <c r="I446" t="str">
        <f>IFERROR(VLOOKUP(G446,FILAMENTI_DB!$A:$E,4,FALSE),"")</f>
        <v/>
      </c>
      <c r="J446" s="26"/>
      <c r="K446" s="27"/>
      <c r="L446" s="27"/>
      <c r="M446" s="27">
        <f t="shared" si="38"/>
        <v>0</v>
      </c>
      <c r="N446" s="26">
        <f t="shared" si="39"/>
        <v>0</v>
      </c>
      <c r="O446" s="26"/>
      <c r="P446" s="26"/>
      <c r="Q446" s="23"/>
      <c r="R446" s="23">
        <f t="shared" si="40"/>
        <v>0</v>
      </c>
      <c r="S446" s="23"/>
      <c r="T446" s="23">
        <f t="shared" si="41"/>
        <v>0</v>
      </c>
      <c r="U446" s="28" t="str">
        <f t="shared" si="42"/>
        <v/>
      </c>
      <c r="V446" s="10" t="str">
        <f>IFERROR(N446*VLOOKUP(G446,FILAMENTI_DB!$A:$J,10,FALSE),"")</f>
        <v/>
      </c>
      <c r="W446" s="23" t="str">
        <f>IFERROR((VLOOKUP(F446,STAMPANTI_DB!$A:$C,3,FALSE)/1000)*O446*SETTINGS!$C$6,"")</f>
        <v/>
      </c>
      <c r="X446" s="23" t="str">
        <f>IFERROR(O446*VLOOKUP(F446,STAMPANTI_DB!$A:$I,9,FALSE),"")</f>
        <v/>
      </c>
      <c r="Y446" s="23">
        <f>IFERROR(P446*SETTINGS!$C$7,"")</f>
        <v>0</v>
      </c>
      <c r="Z446" s="23">
        <f>SETTINGS!$C$11</f>
        <v>0.5</v>
      </c>
      <c r="AA446" s="23">
        <f t="shared" si="43"/>
        <v>0.5</v>
      </c>
      <c r="AB446" s="23">
        <f>IFERROR(AA446*SETTINGS!$C$9,"")</f>
        <v>2.5000000000000001E-2</v>
      </c>
      <c r="AC446" s="23">
        <f>IFERROR((AA446+AB446)*SETTINGS!$C$10,"")</f>
        <v>2.6250000000000002E-2</v>
      </c>
    </row>
    <row r="447" spans="1:29" ht="16" x14ac:dyDescent="0.2">
      <c r="A447" s="25"/>
      <c r="H447" t="str">
        <f>IFERROR(VLOOKUP(G447,FILAMENTI_DB!$A:$C,3,FALSE),"")</f>
        <v/>
      </c>
      <c r="I447" t="str">
        <f>IFERROR(VLOOKUP(G447,FILAMENTI_DB!$A:$E,4,FALSE),"")</f>
        <v/>
      </c>
      <c r="J447" s="26"/>
      <c r="K447" s="27"/>
      <c r="L447" s="27"/>
      <c r="M447" s="27">
        <f t="shared" si="38"/>
        <v>0</v>
      </c>
      <c r="N447" s="26">
        <f t="shared" si="39"/>
        <v>0</v>
      </c>
      <c r="O447" s="26"/>
      <c r="P447" s="26"/>
      <c r="Q447" s="23"/>
      <c r="R447" s="23">
        <f t="shared" si="40"/>
        <v>0</v>
      </c>
      <c r="S447" s="23"/>
      <c r="T447" s="23">
        <f t="shared" si="41"/>
        <v>0</v>
      </c>
      <c r="U447" s="28" t="str">
        <f t="shared" si="42"/>
        <v/>
      </c>
      <c r="V447" s="10" t="str">
        <f>IFERROR(N447*VLOOKUP(G447,FILAMENTI_DB!$A:$J,10,FALSE),"")</f>
        <v/>
      </c>
      <c r="W447" s="23" t="str">
        <f>IFERROR((VLOOKUP(F447,STAMPANTI_DB!$A:$C,3,FALSE)/1000)*O447*SETTINGS!$C$6,"")</f>
        <v/>
      </c>
      <c r="X447" s="23" t="str">
        <f>IFERROR(O447*VLOOKUP(F447,STAMPANTI_DB!$A:$I,9,FALSE),"")</f>
        <v/>
      </c>
      <c r="Y447" s="23">
        <f>IFERROR(P447*SETTINGS!$C$7,"")</f>
        <v>0</v>
      </c>
      <c r="Z447" s="23">
        <f>SETTINGS!$C$11</f>
        <v>0.5</v>
      </c>
      <c r="AA447" s="23">
        <f t="shared" si="43"/>
        <v>0.5</v>
      </c>
      <c r="AB447" s="23">
        <f>IFERROR(AA447*SETTINGS!$C$9,"")</f>
        <v>2.5000000000000001E-2</v>
      </c>
      <c r="AC447" s="23">
        <f>IFERROR((AA447+AB447)*SETTINGS!$C$10,"")</f>
        <v>2.6250000000000002E-2</v>
      </c>
    </row>
    <row r="448" spans="1:29" ht="16" x14ac:dyDescent="0.2">
      <c r="A448" s="25"/>
      <c r="H448" t="str">
        <f>IFERROR(VLOOKUP(G448,FILAMENTI_DB!$A:$C,3,FALSE),"")</f>
        <v/>
      </c>
      <c r="I448" t="str">
        <f>IFERROR(VLOOKUP(G448,FILAMENTI_DB!$A:$E,4,FALSE),"")</f>
        <v/>
      </c>
      <c r="J448" s="26"/>
      <c r="K448" s="27"/>
      <c r="L448" s="27"/>
      <c r="M448" s="27">
        <f t="shared" si="38"/>
        <v>0</v>
      </c>
      <c r="N448" s="26">
        <f t="shared" si="39"/>
        <v>0</v>
      </c>
      <c r="O448" s="26"/>
      <c r="P448" s="26"/>
      <c r="Q448" s="23"/>
      <c r="R448" s="23">
        <f t="shared" si="40"/>
        <v>0</v>
      </c>
      <c r="S448" s="23"/>
      <c r="T448" s="23">
        <f t="shared" si="41"/>
        <v>0</v>
      </c>
      <c r="U448" s="28" t="str">
        <f t="shared" si="42"/>
        <v/>
      </c>
      <c r="V448" s="10" t="str">
        <f>IFERROR(N448*VLOOKUP(G448,FILAMENTI_DB!$A:$J,10,FALSE),"")</f>
        <v/>
      </c>
      <c r="W448" s="23" t="str">
        <f>IFERROR((VLOOKUP(F448,STAMPANTI_DB!$A:$C,3,FALSE)/1000)*O448*SETTINGS!$C$6,"")</f>
        <v/>
      </c>
      <c r="X448" s="23" t="str">
        <f>IFERROR(O448*VLOOKUP(F448,STAMPANTI_DB!$A:$I,9,FALSE),"")</f>
        <v/>
      </c>
      <c r="Y448" s="23">
        <f>IFERROR(P448*SETTINGS!$C$7,"")</f>
        <v>0</v>
      </c>
      <c r="Z448" s="23">
        <f>SETTINGS!$C$11</f>
        <v>0.5</v>
      </c>
      <c r="AA448" s="23">
        <f t="shared" si="43"/>
        <v>0.5</v>
      </c>
      <c r="AB448" s="23">
        <f>IFERROR(AA448*SETTINGS!$C$9,"")</f>
        <v>2.5000000000000001E-2</v>
      </c>
      <c r="AC448" s="23">
        <f>IFERROR((AA448+AB448)*SETTINGS!$C$10,"")</f>
        <v>2.6250000000000002E-2</v>
      </c>
    </row>
    <row r="449" spans="1:29" ht="16" x14ac:dyDescent="0.2">
      <c r="A449" s="25"/>
      <c r="H449" t="str">
        <f>IFERROR(VLOOKUP(G449,FILAMENTI_DB!$A:$C,3,FALSE),"")</f>
        <v/>
      </c>
      <c r="I449" t="str">
        <f>IFERROR(VLOOKUP(G449,FILAMENTI_DB!$A:$E,4,FALSE),"")</f>
        <v/>
      </c>
      <c r="J449" s="26"/>
      <c r="K449" s="27"/>
      <c r="L449" s="27"/>
      <c r="M449" s="27">
        <f t="shared" si="38"/>
        <v>0</v>
      </c>
      <c r="N449" s="26">
        <f t="shared" si="39"/>
        <v>0</v>
      </c>
      <c r="O449" s="26"/>
      <c r="P449" s="26"/>
      <c r="Q449" s="23"/>
      <c r="R449" s="23">
        <f t="shared" si="40"/>
        <v>0</v>
      </c>
      <c r="S449" s="23"/>
      <c r="T449" s="23">
        <f t="shared" si="41"/>
        <v>0</v>
      </c>
      <c r="U449" s="28" t="str">
        <f t="shared" si="42"/>
        <v/>
      </c>
      <c r="V449" s="10" t="str">
        <f>IFERROR(N449*VLOOKUP(G449,FILAMENTI_DB!$A:$J,10,FALSE),"")</f>
        <v/>
      </c>
      <c r="W449" s="23" t="str">
        <f>IFERROR((VLOOKUP(F449,STAMPANTI_DB!$A:$C,3,FALSE)/1000)*O449*SETTINGS!$C$6,"")</f>
        <v/>
      </c>
      <c r="X449" s="23" t="str">
        <f>IFERROR(O449*VLOOKUP(F449,STAMPANTI_DB!$A:$I,9,FALSE),"")</f>
        <v/>
      </c>
      <c r="Y449" s="23">
        <f>IFERROR(P449*SETTINGS!$C$7,"")</f>
        <v>0</v>
      </c>
      <c r="Z449" s="23">
        <f>SETTINGS!$C$11</f>
        <v>0.5</v>
      </c>
      <c r="AA449" s="23">
        <f t="shared" si="43"/>
        <v>0.5</v>
      </c>
      <c r="AB449" s="23">
        <f>IFERROR(AA449*SETTINGS!$C$9,"")</f>
        <v>2.5000000000000001E-2</v>
      </c>
      <c r="AC449" s="23">
        <f>IFERROR((AA449+AB449)*SETTINGS!$C$10,"")</f>
        <v>2.6250000000000002E-2</v>
      </c>
    </row>
    <row r="450" spans="1:29" ht="16" x14ac:dyDescent="0.2">
      <c r="A450" s="25"/>
      <c r="H450" t="str">
        <f>IFERROR(VLOOKUP(G450,FILAMENTI_DB!$A:$C,3,FALSE),"")</f>
        <v/>
      </c>
      <c r="I450" t="str">
        <f>IFERROR(VLOOKUP(G450,FILAMENTI_DB!$A:$E,4,FALSE),"")</f>
        <v/>
      </c>
      <c r="J450" s="26"/>
      <c r="K450" s="27"/>
      <c r="L450" s="27"/>
      <c r="M450" s="27">
        <f t="shared" si="38"/>
        <v>0</v>
      </c>
      <c r="N450" s="26">
        <f t="shared" si="39"/>
        <v>0</v>
      </c>
      <c r="O450" s="26"/>
      <c r="P450" s="26"/>
      <c r="Q450" s="23"/>
      <c r="R450" s="23">
        <f t="shared" si="40"/>
        <v>0</v>
      </c>
      <c r="S450" s="23"/>
      <c r="T450" s="23">
        <f t="shared" si="41"/>
        <v>0</v>
      </c>
      <c r="U450" s="28" t="str">
        <f t="shared" si="42"/>
        <v/>
      </c>
      <c r="V450" s="10" t="str">
        <f>IFERROR(N450*VLOOKUP(G450,FILAMENTI_DB!$A:$J,10,FALSE),"")</f>
        <v/>
      </c>
      <c r="W450" s="23" t="str">
        <f>IFERROR((VLOOKUP(F450,STAMPANTI_DB!$A:$C,3,FALSE)/1000)*O450*SETTINGS!$C$6,"")</f>
        <v/>
      </c>
      <c r="X450" s="23" t="str">
        <f>IFERROR(O450*VLOOKUP(F450,STAMPANTI_DB!$A:$I,9,FALSE),"")</f>
        <v/>
      </c>
      <c r="Y450" s="23">
        <f>IFERROR(P450*SETTINGS!$C$7,"")</f>
        <v>0</v>
      </c>
      <c r="Z450" s="23">
        <f>SETTINGS!$C$11</f>
        <v>0.5</v>
      </c>
      <c r="AA450" s="23">
        <f t="shared" si="43"/>
        <v>0.5</v>
      </c>
      <c r="AB450" s="23">
        <f>IFERROR(AA450*SETTINGS!$C$9,"")</f>
        <v>2.5000000000000001E-2</v>
      </c>
      <c r="AC450" s="23">
        <f>IFERROR((AA450+AB450)*SETTINGS!$C$10,"")</f>
        <v>2.6250000000000002E-2</v>
      </c>
    </row>
    <row r="451" spans="1:29" ht="16" x14ac:dyDescent="0.2">
      <c r="A451" s="25"/>
      <c r="H451" t="str">
        <f>IFERROR(VLOOKUP(G451,FILAMENTI_DB!$A:$C,3,FALSE),"")</f>
        <v/>
      </c>
      <c r="I451" t="str">
        <f>IFERROR(VLOOKUP(G451,FILAMENTI_DB!$A:$E,4,FALSE),"")</f>
        <v/>
      </c>
      <c r="J451" s="26"/>
      <c r="K451" s="27"/>
      <c r="L451" s="27"/>
      <c r="M451" s="27">
        <f t="shared" si="38"/>
        <v>0</v>
      </c>
      <c r="N451" s="26">
        <f t="shared" si="39"/>
        <v>0</v>
      </c>
      <c r="O451" s="26"/>
      <c r="P451" s="26"/>
      <c r="Q451" s="23"/>
      <c r="R451" s="23">
        <f t="shared" si="40"/>
        <v>0</v>
      </c>
      <c r="S451" s="23"/>
      <c r="T451" s="23">
        <f t="shared" si="41"/>
        <v>0</v>
      </c>
      <c r="U451" s="28" t="str">
        <f t="shared" si="42"/>
        <v/>
      </c>
      <c r="V451" s="10" t="str">
        <f>IFERROR(N451*VLOOKUP(G451,FILAMENTI_DB!$A:$J,10,FALSE),"")</f>
        <v/>
      </c>
      <c r="W451" s="23" t="str">
        <f>IFERROR((VLOOKUP(F451,STAMPANTI_DB!$A:$C,3,FALSE)/1000)*O451*SETTINGS!$C$6,"")</f>
        <v/>
      </c>
      <c r="X451" s="23" t="str">
        <f>IFERROR(O451*VLOOKUP(F451,STAMPANTI_DB!$A:$I,9,FALSE),"")</f>
        <v/>
      </c>
      <c r="Y451" s="23">
        <f>IFERROR(P451*SETTINGS!$C$7,"")</f>
        <v>0</v>
      </c>
      <c r="Z451" s="23">
        <f>SETTINGS!$C$11</f>
        <v>0.5</v>
      </c>
      <c r="AA451" s="23">
        <f t="shared" si="43"/>
        <v>0.5</v>
      </c>
      <c r="AB451" s="23">
        <f>IFERROR(AA451*SETTINGS!$C$9,"")</f>
        <v>2.5000000000000001E-2</v>
      </c>
      <c r="AC451" s="23">
        <f>IFERROR((AA451+AB451)*SETTINGS!$C$10,"")</f>
        <v>2.6250000000000002E-2</v>
      </c>
    </row>
    <row r="452" spans="1:29" ht="16" x14ac:dyDescent="0.2">
      <c r="A452" s="25"/>
      <c r="H452" t="str">
        <f>IFERROR(VLOOKUP(G452,FILAMENTI_DB!$A:$C,3,FALSE),"")</f>
        <v/>
      </c>
      <c r="I452" t="str">
        <f>IFERROR(VLOOKUP(G452,FILAMENTI_DB!$A:$E,4,FALSE),"")</f>
        <v/>
      </c>
      <c r="J452" s="26"/>
      <c r="K452" s="27"/>
      <c r="L452" s="27"/>
      <c r="M452" s="27">
        <f t="shared" si="38"/>
        <v>0</v>
      </c>
      <c r="N452" s="26">
        <f t="shared" si="39"/>
        <v>0</v>
      </c>
      <c r="O452" s="26"/>
      <c r="P452" s="26"/>
      <c r="Q452" s="23"/>
      <c r="R452" s="23">
        <f t="shared" si="40"/>
        <v>0</v>
      </c>
      <c r="S452" s="23"/>
      <c r="T452" s="23">
        <f t="shared" si="41"/>
        <v>0</v>
      </c>
      <c r="U452" s="28" t="str">
        <f t="shared" si="42"/>
        <v/>
      </c>
      <c r="V452" s="10" t="str">
        <f>IFERROR(N452*VLOOKUP(G452,FILAMENTI_DB!$A:$J,10,FALSE),"")</f>
        <v/>
      </c>
      <c r="W452" s="23" t="str">
        <f>IFERROR((VLOOKUP(F452,STAMPANTI_DB!$A:$C,3,FALSE)/1000)*O452*SETTINGS!$C$6,"")</f>
        <v/>
      </c>
      <c r="X452" s="23" t="str">
        <f>IFERROR(O452*VLOOKUP(F452,STAMPANTI_DB!$A:$I,9,FALSE),"")</f>
        <v/>
      </c>
      <c r="Y452" s="23">
        <f>IFERROR(P452*SETTINGS!$C$7,"")</f>
        <v>0</v>
      </c>
      <c r="Z452" s="23">
        <f>SETTINGS!$C$11</f>
        <v>0.5</v>
      </c>
      <c r="AA452" s="23">
        <f t="shared" si="43"/>
        <v>0.5</v>
      </c>
      <c r="AB452" s="23">
        <f>IFERROR(AA452*SETTINGS!$C$9,"")</f>
        <v>2.5000000000000001E-2</v>
      </c>
      <c r="AC452" s="23">
        <f>IFERROR((AA452+AB452)*SETTINGS!$C$10,"")</f>
        <v>2.6250000000000002E-2</v>
      </c>
    </row>
    <row r="453" spans="1:29" ht="16" x14ac:dyDescent="0.2">
      <c r="A453" s="25"/>
      <c r="H453" t="str">
        <f>IFERROR(VLOOKUP(G453,FILAMENTI_DB!$A:$C,3,FALSE),"")</f>
        <v/>
      </c>
      <c r="I453" t="str">
        <f>IFERROR(VLOOKUP(G453,FILAMENTI_DB!$A:$E,4,FALSE),"")</f>
        <v/>
      </c>
      <c r="J453" s="26"/>
      <c r="K453" s="27"/>
      <c r="L453" s="27"/>
      <c r="M453" s="27">
        <f t="shared" ref="M453:M516" si="44">IFERROR(K453+L453,"")</f>
        <v>0</v>
      </c>
      <c r="N453" s="26">
        <f t="shared" ref="N453:N516" si="45">IFERROR(J453*M453,"")</f>
        <v>0</v>
      </c>
      <c r="O453" s="26"/>
      <c r="P453" s="26"/>
      <c r="Q453" s="23"/>
      <c r="R453" s="23">
        <f t="shared" ref="R453:R516" si="46">IFERROR(Q453*K453,"")</f>
        <v>0</v>
      </c>
      <c r="S453" s="23"/>
      <c r="T453" s="23">
        <f t="shared" ref="T453:T516" si="47">IFERROR(R453-S453,"")</f>
        <v>0</v>
      </c>
      <c r="U453" s="28" t="str">
        <f t="shared" ref="U453:U516" si="48">IFERROR(T453/R453,"")</f>
        <v/>
      </c>
      <c r="V453" s="10" t="str">
        <f>IFERROR(N453*VLOOKUP(G453,FILAMENTI_DB!$A:$J,10,FALSE),"")</f>
        <v/>
      </c>
      <c r="W453" s="23" t="str">
        <f>IFERROR((VLOOKUP(F453,STAMPANTI_DB!$A:$C,3,FALSE)/1000)*O453*SETTINGS!$C$6,"")</f>
        <v/>
      </c>
      <c r="X453" s="23" t="str">
        <f>IFERROR(O453*VLOOKUP(F453,STAMPANTI_DB!$A:$I,9,FALSE),"")</f>
        <v/>
      </c>
      <c r="Y453" s="23">
        <f>IFERROR(P453*SETTINGS!$C$7,"")</f>
        <v>0</v>
      </c>
      <c r="Z453" s="23">
        <f>SETTINGS!$C$11</f>
        <v>0.5</v>
      </c>
      <c r="AA453" s="23">
        <f t="shared" ref="AA453:AA516" si="49">IFERROR(SUM(V453:Z453),"")</f>
        <v>0.5</v>
      </c>
      <c r="AB453" s="23">
        <f>IFERROR(AA453*SETTINGS!$C$9,"")</f>
        <v>2.5000000000000001E-2</v>
      </c>
      <c r="AC453" s="23">
        <f>IFERROR((AA453+AB453)*SETTINGS!$C$10,"")</f>
        <v>2.6250000000000002E-2</v>
      </c>
    </row>
    <row r="454" spans="1:29" ht="16" x14ac:dyDescent="0.2">
      <c r="A454" s="25"/>
      <c r="H454" t="str">
        <f>IFERROR(VLOOKUP(G454,FILAMENTI_DB!$A:$C,3,FALSE),"")</f>
        <v/>
      </c>
      <c r="I454" t="str">
        <f>IFERROR(VLOOKUP(G454,FILAMENTI_DB!$A:$E,4,FALSE),"")</f>
        <v/>
      </c>
      <c r="J454" s="26"/>
      <c r="K454" s="27"/>
      <c r="L454" s="27"/>
      <c r="M454" s="27">
        <f t="shared" si="44"/>
        <v>0</v>
      </c>
      <c r="N454" s="26">
        <f t="shared" si="45"/>
        <v>0</v>
      </c>
      <c r="O454" s="26"/>
      <c r="P454" s="26"/>
      <c r="Q454" s="23"/>
      <c r="R454" s="23">
        <f t="shared" si="46"/>
        <v>0</v>
      </c>
      <c r="S454" s="23"/>
      <c r="T454" s="23">
        <f t="shared" si="47"/>
        <v>0</v>
      </c>
      <c r="U454" s="28" t="str">
        <f t="shared" si="48"/>
        <v/>
      </c>
      <c r="V454" s="10" t="str">
        <f>IFERROR(N454*VLOOKUP(G454,FILAMENTI_DB!$A:$J,10,FALSE),"")</f>
        <v/>
      </c>
      <c r="W454" s="23" t="str">
        <f>IFERROR((VLOOKUP(F454,STAMPANTI_DB!$A:$C,3,FALSE)/1000)*O454*SETTINGS!$C$6,"")</f>
        <v/>
      </c>
      <c r="X454" s="23" t="str">
        <f>IFERROR(O454*VLOOKUP(F454,STAMPANTI_DB!$A:$I,9,FALSE),"")</f>
        <v/>
      </c>
      <c r="Y454" s="23">
        <f>IFERROR(P454*SETTINGS!$C$7,"")</f>
        <v>0</v>
      </c>
      <c r="Z454" s="23">
        <f>SETTINGS!$C$11</f>
        <v>0.5</v>
      </c>
      <c r="AA454" s="23">
        <f t="shared" si="49"/>
        <v>0.5</v>
      </c>
      <c r="AB454" s="23">
        <f>IFERROR(AA454*SETTINGS!$C$9,"")</f>
        <v>2.5000000000000001E-2</v>
      </c>
      <c r="AC454" s="23">
        <f>IFERROR((AA454+AB454)*SETTINGS!$C$10,"")</f>
        <v>2.6250000000000002E-2</v>
      </c>
    </row>
    <row r="455" spans="1:29" ht="16" x14ac:dyDescent="0.2">
      <c r="A455" s="25"/>
      <c r="H455" t="str">
        <f>IFERROR(VLOOKUP(G455,FILAMENTI_DB!$A:$C,3,FALSE),"")</f>
        <v/>
      </c>
      <c r="I455" t="str">
        <f>IFERROR(VLOOKUP(G455,FILAMENTI_DB!$A:$E,4,FALSE),"")</f>
        <v/>
      </c>
      <c r="J455" s="26"/>
      <c r="K455" s="27"/>
      <c r="L455" s="27"/>
      <c r="M455" s="27">
        <f t="shared" si="44"/>
        <v>0</v>
      </c>
      <c r="N455" s="26">
        <f t="shared" si="45"/>
        <v>0</v>
      </c>
      <c r="O455" s="26"/>
      <c r="P455" s="26"/>
      <c r="Q455" s="23"/>
      <c r="R455" s="23">
        <f t="shared" si="46"/>
        <v>0</v>
      </c>
      <c r="S455" s="23"/>
      <c r="T455" s="23">
        <f t="shared" si="47"/>
        <v>0</v>
      </c>
      <c r="U455" s="28" t="str">
        <f t="shared" si="48"/>
        <v/>
      </c>
      <c r="V455" s="10" t="str">
        <f>IFERROR(N455*VLOOKUP(G455,FILAMENTI_DB!$A:$J,10,FALSE),"")</f>
        <v/>
      </c>
      <c r="W455" s="23" t="str">
        <f>IFERROR((VLOOKUP(F455,STAMPANTI_DB!$A:$C,3,FALSE)/1000)*O455*SETTINGS!$C$6,"")</f>
        <v/>
      </c>
      <c r="X455" s="23" t="str">
        <f>IFERROR(O455*VLOOKUP(F455,STAMPANTI_DB!$A:$I,9,FALSE),"")</f>
        <v/>
      </c>
      <c r="Y455" s="23">
        <f>IFERROR(P455*SETTINGS!$C$7,"")</f>
        <v>0</v>
      </c>
      <c r="Z455" s="23">
        <f>SETTINGS!$C$11</f>
        <v>0.5</v>
      </c>
      <c r="AA455" s="23">
        <f t="shared" si="49"/>
        <v>0.5</v>
      </c>
      <c r="AB455" s="23">
        <f>IFERROR(AA455*SETTINGS!$C$9,"")</f>
        <v>2.5000000000000001E-2</v>
      </c>
      <c r="AC455" s="23">
        <f>IFERROR((AA455+AB455)*SETTINGS!$C$10,"")</f>
        <v>2.6250000000000002E-2</v>
      </c>
    </row>
    <row r="456" spans="1:29" ht="16" x14ac:dyDescent="0.2">
      <c r="A456" s="25"/>
      <c r="H456" t="str">
        <f>IFERROR(VLOOKUP(G456,FILAMENTI_DB!$A:$C,3,FALSE),"")</f>
        <v/>
      </c>
      <c r="I456" t="str">
        <f>IFERROR(VLOOKUP(G456,FILAMENTI_DB!$A:$E,4,FALSE),"")</f>
        <v/>
      </c>
      <c r="J456" s="26"/>
      <c r="K456" s="27"/>
      <c r="L456" s="27"/>
      <c r="M456" s="27">
        <f t="shared" si="44"/>
        <v>0</v>
      </c>
      <c r="N456" s="26">
        <f t="shared" si="45"/>
        <v>0</v>
      </c>
      <c r="O456" s="26"/>
      <c r="P456" s="26"/>
      <c r="Q456" s="23"/>
      <c r="R456" s="23">
        <f t="shared" si="46"/>
        <v>0</v>
      </c>
      <c r="S456" s="23"/>
      <c r="T456" s="23">
        <f t="shared" si="47"/>
        <v>0</v>
      </c>
      <c r="U456" s="28" t="str">
        <f t="shared" si="48"/>
        <v/>
      </c>
      <c r="V456" s="10" t="str">
        <f>IFERROR(N456*VLOOKUP(G456,FILAMENTI_DB!$A:$J,10,FALSE),"")</f>
        <v/>
      </c>
      <c r="W456" s="23" t="str">
        <f>IFERROR((VLOOKUP(F456,STAMPANTI_DB!$A:$C,3,FALSE)/1000)*O456*SETTINGS!$C$6,"")</f>
        <v/>
      </c>
      <c r="X456" s="23" t="str">
        <f>IFERROR(O456*VLOOKUP(F456,STAMPANTI_DB!$A:$I,9,FALSE),"")</f>
        <v/>
      </c>
      <c r="Y456" s="23">
        <f>IFERROR(P456*SETTINGS!$C$7,"")</f>
        <v>0</v>
      </c>
      <c r="Z456" s="23">
        <f>SETTINGS!$C$11</f>
        <v>0.5</v>
      </c>
      <c r="AA456" s="23">
        <f t="shared" si="49"/>
        <v>0.5</v>
      </c>
      <c r="AB456" s="23">
        <f>IFERROR(AA456*SETTINGS!$C$9,"")</f>
        <v>2.5000000000000001E-2</v>
      </c>
      <c r="AC456" s="23">
        <f>IFERROR((AA456+AB456)*SETTINGS!$C$10,"")</f>
        <v>2.6250000000000002E-2</v>
      </c>
    </row>
    <row r="457" spans="1:29" ht="16" x14ac:dyDescent="0.2">
      <c r="A457" s="25"/>
      <c r="H457" t="str">
        <f>IFERROR(VLOOKUP(G457,FILAMENTI_DB!$A:$C,3,FALSE),"")</f>
        <v/>
      </c>
      <c r="I457" t="str">
        <f>IFERROR(VLOOKUP(G457,FILAMENTI_DB!$A:$E,4,FALSE),"")</f>
        <v/>
      </c>
      <c r="J457" s="26"/>
      <c r="K457" s="27"/>
      <c r="L457" s="27"/>
      <c r="M457" s="27">
        <f t="shared" si="44"/>
        <v>0</v>
      </c>
      <c r="N457" s="26">
        <f t="shared" si="45"/>
        <v>0</v>
      </c>
      <c r="O457" s="26"/>
      <c r="P457" s="26"/>
      <c r="Q457" s="23"/>
      <c r="R457" s="23">
        <f t="shared" si="46"/>
        <v>0</v>
      </c>
      <c r="S457" s="23"/>
      <c r="T457" s="23">
        <f t="shared" si="47"/>
        <v>0</v>
      </c>
      <c r="U457" s="28" t="str">
        <f t="shared" si="48"/>
        <v/>
      </c>
      <c r="V457" s="10" t="str">
        <f>IFERROR(N457*VLOOKUP(G457,FILAMENTI_DB!$A:$J,10,FALSE),"")</f>
        <v/>
      </c>
      <c r="W457" s="23" t="str">
        <f>IFERROR((VLOOKUP(F457,STAMPANTI_DB!$A:$C,3,FALSE)/1000)*O457*SETTINGS!$C$6,"")</f>
        <v/>
      </c>
      <c r="X457" s="23" t="str">
        <f>IFERROR(O457*VLOOKUP(F457,STAMPANTI_DB!$A:$I,9,FALSE),"")</f>
        <v/>
      </c>
      <c r="Y457" s="23">
        <f>IFERROR(P457*SETTINGS!$C$7,"")</f>
        <v>0</v>
      </c>
      <c r="Z457" s="23">
        <f>SETTINGS!$C$11</f>
        <v>0.5</v>
      </c>
      <c r="AA457" s="23">
        <f t="shared" si="49"/>
        <v>0.5</v>
      </c>
      <c r="AB457" s="23">
        <f>IFERROR(AA457*SETTINGS!$C$9,"")</f>
        <v>2.5000000000000001E-2</v>
      </c>
      <c r="AC457" s="23">
        <f>IFERROR((AA457+AB457)*SETTINGS!$C$10,"")</f>
        <v>2.6250000000000002E-2</v>
      </c>
    </row>
    <row r="458" spans="1:29" ht="16" x14ac:dyDescent="0.2">
      <c r="A458" s="25"/>
      <c r="H458" t="str">
        <f>IFERROR(VLOOKUP(G458,FILAMENTI_DB!$A:$C,3,FALSE),"")</f>
        <v/>
      </c>
      <c r="I458" t="str">
        <f>IFERROR(VLOOKUP(G458,FILAMENTI_DB!$A:$E,4,FALSE),"")</f>
        <v/>
      </c>
      <c r="J458" s="26"/>
      <c r="K458" s="27"/>
      <c r="L458" s="27"/>
      <c r="M458" s="27">
        <f t="shared" si="44"/>
        <v>0</v>
      </c>
      <c r="N458" s="26">
        <f t="shared" si="45"/>
        <v>0</v>
      </c>
      <c r="O458" s="26"/>
      <c r="P458" s="26"/>
      <c r="Q458" s="23"/>
      <c r="R458" s="23">
        <f t="shared" si="46"/>
        <v>0</v>
      </c>
      <c r="S458" s="23"/>
      <c r="T458" s="23">
        <f t="shared" si="47"/>
        <v>0</v>
      </c>
      <c r="U458" s="28" t="str">
        <f t="shared" si="48"/>
        <v/>
      </c>
      <c r="V458" s="10" t="str">
        <f>IFERROR(N458*VLOOKUP(G458,FILAMENTI_DB!$A:$J,10,FALSE),"")</f>
        <v/>
      </c>
      <c r="W458" s="23" t="str">
        <f>IFERROR((VLOOKUP(F458,STAMPANTI_DB!$A:$C,3,FALSE)/1000)*O458*SETTINGS!$C$6,"")</f>
        <v/>
      </c>
      <c r="X458" s="23" t="str">
        <f>IFERROR(O458*VLOOKUP(F458,STAMPANTI_DB!$A:$I,9,FALSE),"")</f>
        <v/>
      </c>
      <c r="Y458" s="23">
        <f>IFERROR(P458*SETTINGS!$C$7,"")</f>
        <v>0</v>
      </c>
      <c r="Z458" s="23">
        <f>SETTINGS!$C$11</f>
        <v>0.5</v>
      </c>
      <c r="AA458" s="23">
        <f t="shared" si="49"/>
        <v>0.5</v>
      </c>
      <c r="AB458" s="23">
        <f>IFERROR(AA458*SETTINGS!$C$9,"")</f>
        <v>2.5000000000000001E-2</v>
      </c>
      <c r="AC458" s="23">
        <f>IFERROR((AA458+AB458)*SETTINGS!$C$10,"")</f>
        <v>2.6250000000000002E-2</v>
      </c>
    </row>
    <row r="459" spans="1:29" ht="16" x14ac:dyDescent="0.2">
      <c r="A459" s="25"/>
      <c r="H459" t="str">
        <f>IFERROR(VLOOKUP(G459,FILAMENTI_DB!$A:$C,3,FALSE),"")</f>
        <v/>
      </c>
      <c r="I459" t="str">
        <f>IFERROR(VLOOKUP(G459,FILAMENTI_DB!$A:$E,4,FALSE),"")</f>
        <v/>
      </c>
      <c r="J459" s="26"/>
      <c r="K459" s="27"/>
      <c r="L459" s="27"/>
      <c r="M459" s="27">
        <f t="shared" si="44"/>
        <v>0</v>
      </c>
      <c r="N459" s="26">
        <f t="shared" si="45"/>
        <v>0</v>
      </c>
      <c r="O459" s="26"/>
      <c r="P459" s="26"/>
      <c r="Q459" s="23"/>
      <c r="R459" s="23">
        <f t="shared" si="46"/>
        <v>0</v>
      </c>
      <c r="S459" s="23"/>
      <c r="T459" s="23">
        <f t="shared" si="47"/>
        <v>0</v>
      </c>
      <c r="U459" s="28" t="str">
        <f t="shared" si="48"/>
        <v/>
      </c>
      <c r="V459" s="10" t="str">
        <f>IFERROR(N459*VLOOKUP(G459,FILAMENTI_DB!$A:$J,10,FALSE),"")</f>
        <v/>
      </c>
      <c r="W459" s="23" t="str">
        <f>IFERROR((VLOOKUP(F459,STAMPANTI_DB!$A:$C,3,FALSE)/1000)*O459*SETTINGS!$C$6,"")</f>
        <v/>
      </c>
      <c r="X459" s="23" t="str">
        <f>IFERROR(O459*VLOOKUP(F459,STAMPANTI_DB!$A:$I,9,FALSE),"")</f>
        <v/>
      </c>
      <c r="Y459" s="23">
        <f>IFERROR(P459*SETTINGS!$C$7,"")</f>
        <v>0</v>
      </c>
      <c r="Z459" s="23">
        <f>SETTINGS!$C$11</f>
        <v>0.5</v>
      </c>
      <c r="AA459" s="23">
        <f t="shared" si="49"/>
        <v>0.5</v>
      </c>
      <c r="AB459" s="23">
        <f>IFERROR(AA459*SETTINGS!$C$9,"")</f>
        <v>2.5000000000000001E-2</v>
      </c>
      <c r="AC459" s="23">
        <f>IFERROR((AA459+AB459)*SETTINGS!$C$10,"")</f>
        <v>2.6250000000000002E-2</v>
      </c>
    </row>
    <row r="460" spans="1:29" ht="16" x14ac:dyDescent="0.2">
      <c r="A460" s="25"/>
      <c r="H460" t="str">
        <f>IFERROR(VLOOKUP(G460,FILAMENTI_DB!$A:$C,3,FALSE),"")</f>
        <v/>
      </c>
      <c r="I460" t="str">
        <f>IFERROR(VLOOKUP(G460,FILAMENTI_DB!$A:$E,4,FALSE),"")</f>
        <v/>
      </c>
      <c r="J460" s="26"/>
      <c r="K460" s="27"/>
      <c r="L460" s="27"/>
      <c r="M460" s="27">
        <f t="shared" si="44"/>
        <v>0</v>
      </c>
      <c r="N460" s="26">
        <f t="shared" si="45"/>
        <v>0</v>
      </c>
      <c r="O460" s="26"/>
      <c r="P460" s="26"/>
      <c r="Q460" s="23"/>
      <c r="R460" s="23">
        <f t="shared" si="46"/>
        <v>0</v>
      </c>
      <c r="S460" s="23"/>
      <c r="T460" s="23">
        <f t="shared" si="47"/>
        <v>0</v>
      </c>
      <c r="U460" s="28" t="str">
        <f t="shared" si="48"/>
        <v/>
      </c>
      <c r="V460" s="10" t="str">
        <f>IFERROR(N460*VLOOKUP(G460,FILAMENTI_DB!$A:$J,10,FALSE),"")</f>
        <v/>
      </c>
      <c r="W460" s="23" t="str">
        <f>IFERROR((VLOOKUP(F460,STAMPANTI_DB!$A:$C,3,FALSE)/1000)*O460*SETTINGS!$C$6,"")</f>
        <v/>
      </c>
      <c r="X460" s="23" t="str">
        <f>IFERROR(O460*VLOOKUP(F460,STAMPANTI_DB!$A:$I,9,FALSE),"")</f>
        <v/>
      </c>
      <c r="Y460" s="23">
        <f>IFERROR(P460*SETTINGS!$C$7,"")</f>
        <v>0</v>
      </c>
      <c r="Z460" s="23">
        <f>SETTINGS!$C$11</f>
        <v>0.5</v>
      </c>
      <c r="AA460" s="23">
        <f t="shared" si="49"/>
        <v>0.5</v>
      </c>
      <c r="AB460" s="23">
        <f>IFERROR(AA460*SETTINGS!$C$9,"")</f>
        <v>2.5000000000000001E-2</v>
      </c>
      <c r="AC460" s="23">
        <f>IFERROR((AA460+AB460)*SETTINGS!$C$10,"")</f>
        <v>2.6250000000000002E-2</v>
      </c>
    </row>
    <row r="461" spans="1:29" ht="16" x14ac:dyDescent="0.2">
      <c r="A461" s="25"/>
      <c r="H461" t="str">
        <f>IFERROR(VLOOKUP(G461,FILAMENTI_DB!$A:$C,3,FALSE),"")</f>
        <v/>
      </c>
      <c r="I461" t="str">
        <f>IFERROR(VLOOKUP(G461,FILAMENTI_DB!$A:$E,4,FALSE),"")</f>
        <v/>
      </c>
      <c r="J461" s="26"/>
      <c r="K461" s="27"/>
      <c r="L461" s="27"/>
      <c r="M461" s="27">
        <f t="shared" si="44"/>
        <v>0</v>
      </c>
      <c r="N461" s="26">
        <f t="shared" si="45"/>
        <v>0</v>
      </c>
      <c r="O461" s="26"/>
      <c r="P461" s="26"/>
      <c r="Q461" s="23"/>
      <c r="R461" s="23">
        <f t="shared" si="46"/>
        <v>0</v>
      </c>
      <c r="S461" s="23"/>
      <c r="T461" s="23">
        <f t="shared" si="47"/>
        <v>0</v>
      </c>
      <c r="U461" s="28" t="str">
        <f t="shared" si="48"/>
        <v/>
      </c>
      <c r="V461" s="10" t="str">
        <f>IFERROR(N461*VLOOKUP(G461,FILAMENTI_DB!$A:$J,10,FALSE),"")</f>
        <v/>
      </c>
      <c r="W461" s="23" t="str">
        <f>IFERROR((VLOOKUP(F461,STAMPANTI_DB!$A:$C,3,FALSE)/1000)*O461*SETTINGS!$C$6,"")</f>
        <v/>
      </c>
      <c r="X461" s="23" t="str">
        <f>IFERROR(O461*VLOOKUP(F461,STAMPANTI_DB!$A:$I,9,FALSE),"")</f>
        <v/>
      </c>
      <c r="Y461" s="23">
        <f>IFERROR(P461*SETTINGS!$C$7,"")</f>
        <v>0</v>
      </c>
      <c r="Z461" s="23">
        <f>SETTINGS!$C$11</f>
        <v>0.5</v>
      </c>
      <c r="AA461" s="23">
        <f t="shared" si="49"/>
        <v>0.5</v>
      </c>
      <c r="AB461" s="23">
        <f>IFERROR(AA461*SETTINGS!$C$9,"")</f>
        <v>2.5000000000000001E-2</v>
      </c>
      <c r="AC461" s="23">
        <f>IFERROR((AA461+AB461)*SETTINGS!$C$10,"")</f>
        <v>2.6250000000000002E-2</v>
      </c>
    </row>
    <row r="462" spans="1:29" ht="16" x14ac:dyDescent="0.2">
      <c r="A462" s="25"/>
      <c r="H462" t="str">
        <f>IFERROR(VLOOKUP(G462,FILAMENTI_DB!$A:$C,3,FALSE),"")</f>
        <v/>
      </c>
      <c r="I462" t="str">
        <f>IFERROR(VLOOKUP(G462,FILAMENTI_DB!$A:$E,4,FALSE),"")</f>
        <v/>
      </c>
      <c r="J462" s="26"/>
      <c r="K462" s="27"/>
      <c r="L462" s="27"/>
      <c r="M462" s="27">
        <f t="shared" si="44"/>
        <v>0</v>
      </c>
      <c r="N462" s="26">
        <f t="shared" si="45"/>
        <v>0</v>
      </c>
      <c r="O462" s="26"/>
      <c r="P462" s="26"/>
      <c r="Q462" s="23"/>
      <c r="R462" s="23">
        <f t="shared" si="46"/>
        <v>0</v>
      </c>
      <c r="S462" s="23"/>
      <c r="T462" s="23">
        <f t="shared" si="47"/>
        <v>0</v>
      </c>
      <c r="U462" s="28" t="str">
        <f t="shared" si="48"/>
        <v/>
      </c>
      <c r="V462" s="10" t="str">
        <f>IFERROR(N462*VLOOKUP(G462,FILAMENTI_DB!$A:$J,10,FALSE),"")</f>
        <v/>
      </c>
      <c r="W462" s="23" t="str">
        <f>IFERROR((VLOOKUP(F462,STAMPANTI_DB!$A:$C,3,FALSE)/1000)*O462*SETTINGS!$C$6,"")</f>
        <v/>
      </c>
      <c r="X462" s="23" t="str">
        <f>IFERROR(O462*VLOOKUP(F462,STAMPANTI_DB!$A:$I,9,FALSE),"")</f>
        <v/>
      </c>
      <c r="Y462" s="23">
        <f>IFERROR(P462*SETTINGS!$C$7,"")</f>
        <v>0</v>
      </c>
      <c r="Z462" s="23">
        <f>SETTINGS!$C$11</f>
        <v>0.5</v>
      </c>
      <c r="AA462" s="23">
        <f t="shared" si="49"/>
        <v>0.5</v>
      </c>
      <c r="AB462" s="23">
        <f>IFERROR(AA462*SETTINGS!$C$9,"")</f>
        <v>2.5000000000000001E-2</v>
      </c>
      <c r="AC462" s="23">
        <f>IFERROR((AA462+AB462)*SETTINGS!$C$10,"")</f>
        <v>2.6250000000000002E-2</v>
      </c>
    </row>
    <row r="463" spans="1:29" ht="16" x14ac:dyDescent="0.2">
      <c r="A463" s="25"/>
      <c r="H463" t="str">
        <f>IFERROR(VLOOKUP(G463,FILAMENTI_DB!$A:$C,3,FALSE),"")</f>
        <v/>
      </c>
      <c r="I463" t="str">
        <f>IFERROR(VLOOKUP(G463,FILAMENTI_DB!$A:$E,4,FALSE),"")</f>
        <v/>
      </c>
      <c r="J463" s="26"/>
      <c r="K463" s="27"/>
      <c r="L463" s="27"/>
      <c r="M463" s="27">
        <f t="shared" si="44"/>
        <v>0</v>
      </c>
      <c r="N463" s="26">
        <f t="shared" si="45"/>
        <v>0</v>
      </c>
      <c r="O463" s="26"/>
      <c r="P463" s="26"/>
      <c r="Q463" s="23"/>
      <c r="R463" s="23">
        <f t="shared" si="46"/>
        <v>0</v>
      </c>
      <c r="S463" s="23"/>
      <c r="T463" s="23">
        <f t="shared" si="47"/>
        <v>0</v>
      </c>
      <c r="U463" s="28" t="str">
        <f t="shared" si="48"/>
        <v/>
      </c>
      <c r="V463" s="10" t="str">
        <f>IFERROR(N463*VLOOKUP(G463,FILAMENTI_DB!$A:$J,10,FALSE),"")</f>
        <v/>
      </c>
      <c r="W463" s="23" t="str">
        <f>IFERROR((VLOOKUP(F463,STAMPANTI_DB!$A:$C,3,FALSE)/1000)*O463*SETTINGS!$C$6,"")</f>
        <v/>
      </c>
      <c r="X463" s="23" t="str">
        <f>IFERROR(O463*VLOOKUP(F463,STAMPANTI_DB!$A:$I,9,FALSE),"")</f>
        <v/>
      </c>
      <c r="Y463" s="23">
        <f>IFERROR(P463*SETTINGS!$C$7,"")</f>
        <v>0</v>
      </c>
      <c r="Z463" s="23">
        <f>SETTINGS!$C$11</f>
        <v>0.5</v>
      </c>
      <c r="AA463" s="23">
        <f t="shared" si="49"/>
        <v>0.5</v>
      </c>
      <c r="AB463" s="23">
        <f>IFERROR(AA463*SETTINGS!$C$9,"")</f>
        <v>2.5000000000000001E-2</v>
      </c>
      <c r="AC463" s="23">
        <f>IFERROR((AA463+AB463)*SETTINGS!$C$10,"")</f>
        <v>2.6250000000000002E-2</v>
      </c>
    </row>
    <row r="464" spans="1:29" ht="16" x14ac:dyDescent="0.2">
      <c r="A464" s="25"/>
      <c r="H464" t="str">
        <f>IFERROR(VLOOKUP(G464,FILAMENTI_DB!$A:$C,3,FALSE),"")</f>
        <v/>
      </c>
      <c r="I464" t="str">
        <f>IFERROR(VLOOKUP(G464,FILAMENTI_DB!$A:$E,4,FALSE),"")</f>
        <v/>
      </c>
      <c r="J464" s="26"/>
      <c r="K464" s="27"/>
      <c r="L464" s="27"/>
      <c r="M464" s="27">
        <f t="shared" si="44"/>
        <v>0</v>
      </c>
      <c r="N464" s="26">
        <f t="shared" si="45"/>
        <v>0</v>
      </c>
      <c r="O464" s="26"/>
      <c r="P464" s="26"/>
      <c r="Q464" s="23"/>
      <c r="R464" s="23">
        <f t="shared" si="46"/>
        <v>0</v>
      </c>
      <c r="S464" s="23"/>
      <c r="T464" s="23">
        <f t="shared" si="47"/>
        <v>0</v>
      </c>
      <c r="U464" s="28" t="str">
        <f t="shared" si="48"/>
        <v/>
      </c>
      <c r="V464" s="10" t="str">
        <f>IFERROR(N464*VLOOKUP(G464,FILAMENTI_DB!$A:$J,10,FALSE),"")</f>
        <v/>
      </c>
      <c r="W464" s="23" t="str">
        <f>IFERROR((VLOOKUP(F464,STAMPANTI_DB!$A:$C,3,FALSE)/1000)*O464*SETTINGS!$C$6,"")</f>
        <v/>
      </c>
      <c r="X464" s="23" t="str">
        <f>IFERROR(O464*VLOOKUP(F464,STAMPANTI_DB!$A:$I,9,FALSE),"")</f>
        <v/>
      </c>
      <c r="Y464" s="23">
        <f>IFERROR(P464*SETTINGS!$C$7,"")</f>
        <v>0</v>
      </c>
      <c r="Z464" s="23">
        <f>SETTINGS!$C$11</f>
        <v>0.5</v>
      </c>
      <c r="AA464" s="23">
        <f t="shared" si="49"/>
        <v>0.5</v>
      </c>
      <c r="AB464" s="23">
        <f>IFERROR(AA464*SETTINGS!$C$9,"")</f>
        <v>2.5000000000000001E-2</v>
      </c>
      <c r="AC464" s="23">
        <f>IFERROR((AA464+AB464)*SETTINGS!$C$10,"")</f>
        <v>2.6250000000000002E-2</v>
      </c>
    </row>
    <row r="465" spans="1:29" ht="16" x14ac:dyDescent="0.2">
      <c r="A465" s="25"/>
      <c r="H465" t="str">
        <f>IFERROR(VLOOKUP(G465,FILAMENTI_DB!$A:$C,3,FALSE),"")</f>
        <v/>
      </c>
      <c r="I465" t="str">
        <f>IFERROR(VLOOKUP(G465,FILAMENTI_DB!$A:$E,4,FALSE),"")</f>
        <v/>
      </c>
      <c r="J465" s="26"/>
      <c r="K465" s="27"/>
      <c r="L465" s="27"/>
      <c r="M465" s="27">
        <f t="shared" si="44"/>
        <v>0</v>
      </c>
      <c r="N465" s="26">
        <f t="shared" si="45"/>
        <v>0</v>
      </c>
      <c r="O465" s="26"/>
      <c r="P465" s="26"/>
      <c r="Q465" s="23"/>
      <c r="R465" s="23">
        <f t="shared" si="46"/>
        <v>0</v>
      </c>
      <c r="S465" s="23"/>
      <c r="T465" s="23">
        <f t="shared" si="47"/>
        <v>0</v>
      </c>
      <c r="U465" s="28" t="str">
        <f t="shared" si="48"/>
        <v/>
      </c>
      <c r="V465" s="10" t="str">
        <f>IFERROR(N465*VLOOKUP(G465,FILAMENTI_DB!$A:$J,10,FALSE),"")</f>
        <v/>
      </c>
      <c r="W465" s="23" t="str">
        <f>IFERROR((VLOOKUP(F465,STAMPANTI_DB!$A:$C,3,FALSE)/1000)*O465*SETTINGS!$C$6,"")</f>
        <v/>
      </c>
      <c r="X465" s="23" t="str">
        <f>IFERROR(O465*VLOOKUP(F465,STAMPANTI_DB!$A:$I,9,FALSE),"")</f>
        <v/>
      </c>
      <c r="Y465" s="23">
        <f>IFERROR(P465*SETTINGS!$C$7,"")</f>
        <v>0</v>
      </c>
      <c r="Z465" s="23">
        <f>SETTINGS!$C$11</f>
        <v>0.5</v>
      </c>
      <c r="AA465" s="23">
        <f t="shared" si="49"/>
        <v>0.5</v>
      </c>
      <c r="AB465" s="23">
        <f>IFERROR(AA465*SETTINGS!$C$9,"")</f>
        <v>2.5000000000000001E-2</v>
      </c>
      <c r="AC465" s="23">
        <f>IFERROR((AA465+AB465)*SETTINGS!$C$10,"")</f>
        <v>2.6250000000000002E-2</v>
      </c>
    </row>
    <row r="466" spans="1:29" ht="16" x14ac:dyDescent="0.2">
      <c r="A466" s="25"/>
      <c r="H466" t="str">
        <f>IFERROR(VLOOKUP(G466,FILAMENTI_DB!$A:$C,3,FALSE),"")</f>
        <v/>
      </c>
      <c r="I466" t="str">
        <f>IFERROR(VLOOKUP(G466,FILAMENTI_DB!$A:$E,4,FALSE),"")</f>
        <v/>
      </c>
      <c r="J466" s="26"/>
      <c r="K466" s="27"/>
      <c r="L466" s="27"/>
      <c r="M466" s="27">
        <f t="shared" si="44"/>
        <v>0</v>
      </c>
      <c r="N466" s="26">
        <f t="shared" si="45"/>
        <v>0</v>
      </c>
      <c r="O466" s="26"/>
      <c r="P466" s="26"/>
      <c r="Q466" s="23"/>
      <c r="R466" s="23">
        <f t="shared" si="46"/>
        <v>0</v>
      </c>
      <c r="S466" s="23"/>
      <c r="T466" s="23">
        <f t="shared" si="47"/>
        <v>0</v>
      </c>
      <c r="U466" s="28" t="str">
        <f t="shared" si="48"/>
        <v/>
      </c>
      <c r="V466" s="10" t="str">
        <f>IFERROR(N466*VLOOKUP(G466,FILAMENTI_DB!$A:$J,10,FALSE),"")</f>
        <v/>
      </c>
      <c r="W466" s="23" t="str">
        <f>IFERROR((VLOOKUP(F466,STAMPANTI_DB!$A:$C,3,FALSE)/1000)*O466*SETTINGS!$C$6,"")</f>
        <v/>
      </c>
      <c r="X466" s="23" t="str">
        <f>IFERROR(O466*VLOOKUP(F466,STAMPANTI_DB!$A:$I,9,FALSE),"")</f>
        <v/>
      </c>
      <c r="Y466" s="23">
        <f>IFERROR(P466*SETTINGS!$C$7,"")</f>
        <v>0</v>
      </c>
      <c r="Z466" s="23">
        <f>SETTINGS!$C$11</f>
        <v>0.5</v>
      </c>
      <c r="AA466" s="23">
        <f t="shared" si="49"/>
        <v>0.5</v>
      </c>
      <c r="AB466" s="23">
        <f>IFERROR(AA466*SETTINGS!$C$9,"")</f>
        <v>2.5000000000000001E-2</v>
      </c>
      <c r="AC466" s="23">
        <f>IFERROR((AA466+AB466)*SETTINGS!$C$10,"")</f>
        <v>2.6250000000000002E-2</v>
      </c>
    </row>
    <row r="467" spans="1:29" ht="16" x14ac:dyDescent="0.2">
      <c r="A467" s="25"/>
      <c r="H467" t="str">
        <f>IFERROR(VLOOKUP(G467,FILAMENTI_DB!$A:$C,3,FALSE),"")</f>
        <v/>
      </c>
      <c r="I467" t="str">
        <f>IFERROR(VLOOKUP(G467,FILAMENTI_DB!$A:$E,4,FALSE),"")</f>
        <v/>
      </c>
      <c r="J467" s="26"/>
      <c r="K467" s="27"/>
      <c r="L467" s="27"/>
      <c r="M467" s="27">
        <f t="shared" si="44"/>
        <v>0</v>
      </c>
      <c r="N467" s="26">
        <f t="shared" si="45"/>
        <v>0</v>
      </c>
      <c r="O467" s="26"/>
      <c r="P467" s="26"/>
      <c r="Q467" s="23"/>
      <c r="R467" s="23">
        <f t="shared" si="46"/>
        <v>0</v>
      </c>
      <c r="S467" s="23"/>
      <c r="T467" s="23">
        <f t="shared" si="47"/>
        <v>0</v>
      </c>
      <c r="U467" s="28" t="str">
        <f t="shared" si="48"/>
        <v/>
      </c>
      <c r="V467" s="10" t="str">
        <f>IFERROR(N467*VLOOKUP(G467,FILAMENTI_DB!$A:$J,10,FALSE),"")</f>
        <v/>
      </c>
      <c r="W467" s="23" t="str">
        <f>IFERROR((VLOOKUP(F467,STAMPANTI_DB!$A:$C,3,FALSE)/1000)*O467*SETTINGS!$C$6,"")</f>
        <v/>
      </c>
      <c r="X467" s="23" t="str">
        <f>IFERROR(O467*VLOOKUP(F467,STAMPANTI_DB!$A:$I,9,FALSE),"")</f>
        <v/>
      </c>
      <c r="Y467" s="23">
        <f>IFERROR(P467*SETTINGS!$C$7,"")</f>
        <v>0</v>
      </c>
      <c r="Z467" s="23">
        <f>SETTINGS!$C$11</f>
        <v>0.5</v>
      </c>
      <c r="AA467" s="23">
        <f t="shared" si="49"/>
        <v>0.5</v>
      </c>
      <c r="AB467" s="23">
        <f>IFERROR(AA467*SETTINGS!$C$9,"")</f>
        <v>2.5000000000000001E-2</v>
      </c>
      <c r="AC467" s="23">
        <f>IFERROR((AA467+AB467)*SETTINGS!$C$10,"")</f>
        <v>2.6250000000000002E-2</v>
      </c>
    </row>
    <row r="468" spans="1:29" ht="16" x14ac:dyDescent="0.2">
      <c r="A468" s="25"/>
      <c r="H468" t="str">
        <f>IFERROR(VLOOKUP(G468,FILAMENTI_DB!$A:$C,3,FALSE),"")</f>
        <v/>
      </c>
      <c r="I468" t="str">
        <f>IFERROR(VLOOKUP(G468,FILAMENTI_DB!$A:$E,4,FALSE),"")</f>
        <v/>
      </c>
      <c r="J468" s="26"/>
      <c r="K468" s="27"/>
      <c r="L468" s="27"/>
      <c r="M468" s="27">
        <f t="shared" si="44"/>
        <v>0</v>
      </c>
      <c r="N468" s="26">
        <f t="shared" si="45"/>
        <v>0</v>
      </c>
      <c r="O468" s="26"/>
      <c r="P468" s="26"/>
      <c r="Q468" s="23"/>
      <c r="R468" s="23">
        <f t="shared" si="46"/>
        <v>0</v>
      </c>
      <c r="S468" s="23"/>
      <c r="T468" s="23">
        <f t="shared" si="47"/>
        <v>0</v>
      </c>
      <c r="U468" s="28" t="str">
        <f t="shared" si="48"/>
        <v/>
      </c>
      <c r="V468" s="10" t="str">
        <f>IFERROR(N468*VLOOKUP(G468,FILAMENTI_DB!$A:$J,10,FALSE),"")</f>
        <v/>
      </c>
      <c r="W468" s="23" t="str">
        <f>IFERROR((VLOOKUP(F468,STAMPANTI_DB!$A:$C,3,FALSE)/1000)*O468*SETTINGS!$C$6,"")</f>
        <v/>
      </c>
      <c r="X468" s="23" t="str">
        <f>IFERROR(O468*VLOOKUP(F468,STAMPANTI_DB!$A:$I,9,FALSE),"")</f>
        <v/>
      </c>
      <c r="Y468" s="23">
        <f>IFERROR(P468*SETTINGS!$C$7,"")</f>
        <v>0</v>
      </c>
      <c r="Z468" s="23">
        <f>SETTINGS!$C$11</f>
        <v>0.5</v>
      </c>
      <c r="AA468" s="23">
        <f t="shared" si="49"/>
        <v>0.5</v>
      </c>
      <c r="AB468" s="23">
        <f>IFERROR(AA468*SETTINGS!$C$9,"")</f>
        <v>2.5000000000000001E-2</v>
      </c>
      <c r="AC468" s="23">
        <f>IFERROR((AA468+AB468)*SETTINGS!$C$10,"")</f>
        <v>2.6250000000000002E-2</v>
      </c>
    </row>
    <row r="469" spans="1:29" ht="16" x14ac:dyDescent="0.2">
      <c r="A469" s="25"/>
      <c r="H469" t="str">
        <f>IFERROR(VLOOKUP(G469,FILAMENTI_DB!$A:$C,3,FALSE),"")</f>
        <v/>
      </c>
      <c r="I469" t="str">
        <f>IFERROR(VLOOKUP(G469,FILAMENTI_DB!$A:$E,4,FALSE),"")</f>
        <v/>
      </c>
      <c r="J469" s="26"/>
      <c r="K469" s="27"/>
      <c r="L469" s="27"/>
      <c r="M469" s="27">
        <f t="shared" si="44"/>
        <v>0</v>
      </c>
      <c r="N469" s="26">
        <f t="shared" si="45"/>
        <v>0</v>
      </c>
      <c r="O469" s="26"/>
      <c r="P469" s="26"/>
      <c r="Q469" s="23"/>
      <c r="R469" s="23">
        <f t="shared" si="46"/>
        <v>0</v>
      </c>
      <c r="S469" s="23"/>
      <c r="T469" s="23">
        <f t="shared" si="47"/>
        <v>0</v>
      </c>
      <c r="U469" s="28" t="str">
        <f t="shared" si="48"/>
        <v/>
      </c>
      <c r="V469" s="10" t="str">
        <f>IFERROR(N469*VLOOKUP(G469,FILAMENTI_DB!$A:$J,10,FALSE),"")</f>
        <v/>
      </c>
      <c r="W469" s="23" t="str">
        <f>IFERROR((VLOOKUP(F469,STAMPANTI_DB!$A:$C,3,FALSE)/1000)*O469*SETTINGS!$C$6,"")</f>
        <v/>
      </c>
      <c r="X469" s="23" t="str">
        <f>IFERROR(O469*VLOOKUP(F469,STAMPANTI_DB!$A:$I,9,FALSE),"")</f>
        <v/>
      </c>
      <c r="Y469" s="23">
        <f>IFERROR(P469*SETTINGS!$C$7,"")</f>
        <v>0</v>
      </c>
      <c r="Z469" s="23">
        <f>SETTINGS!$C$11</f>
        <v>0.5</v>
      </c>
      <c r="AA469" s="23">
        <f t="shared" si="49"/>
        <v>0.5</v>
      </c>
      <c r="AB469" s="23">
        <f>IFERROR(AA469*SETTINGS!$C$9,"")</f>
        <v>2.5000000000000001E-2</v>
      </c>
      <c r="AC469" s="23">
        <f>IFERROR((AA469+AB469)*SETTINGS!$C$10,"")</f>
        <v>2.6250000000000002E-2</v>
      </c>
    </row>
    <row r="470" spans="1:29" ht="16" x14ac:dyDescent="0.2">
      <c r="A470" s="25"/>
      <c r="H470" t="str">
        <f>IFERROR(VLOOKUP(G470,FILAMENTI_DB!$A:$C,3,FALSE),"")</f>
        <v/>
      </c>
      <c r="I470" t="str">
        <f>IFERROR(VLOOKUP(G470,FILAMENTI_DB!$A:$E,4,FALSE),"")</f>
        <v/>
      </c>
      <c r="J470" s="26"/>
      <c r="K470" s="27"/>
      <c r="L470" s="27"/>
      <c r="M470" s="27">
        <f t="shared" si="44"/>
        <v>0</v>
      </c>
      <c r="N470" s="26">
        <f t="shared" si="45"/>
        <v>0</v>
      </c>
      <c r="O470" s="26"/>
      <c r="P470" s="26"/>
      <c r="Q470" s="23"/>
      <c r="R470" s="23">
        <f t="shared" si="46"/>
        <v>0</v>
      </c>
      <c r="S470" s="23"/>
      <c r="T470" s="23">
        <f t="shared" si="47"/>
        <v>0</v>
      </c>
      <c r="U470" s="28" t="str">
        <f t="shared" si="48"/>
        <v/>
      </c>
      <c r="V470" s="10" t="str">
        <f>IFERROR(N470*VLOOKUP(G470,FILAMENTI_DB!$A:$J,10,FALSE),"")</f>
        <v/>
      </c>
      <c r="W470" s="23" t="str">
        <f>IFERROR((VLOOKUP(F470,STAMPANTI_DB!$A:$C,3,FALSE)/1000)*O470*SETTINGS!$C$6,"")</f>
        <v/>
      </c>
      <c r="X470" s="23" t="str">
        <f>IFERROR(O470*VLOOKUP(F470,STAMPANTI_DB!$A:$I,9,FALSE),"")</f>
        <v/>
      </c>
      <c r="Y470" s="23">
        <f>IFERROR(P470*SETTINGS!$C$7,"")</f>
        <v>0</v>
      </c>
      <c r="Z470" s="23">
        <f>SETTINGS!$C$11</f>
        <v>0.5</v>
      </c>
      <c r="AA470" s="23">
        <f t="shared" si="49"/>
        <v>0.5</v>
      </c>
      <c r="AB470" s="23">
        <f>IFERROR(AA470*SETTINGS!$C$9,"")</f>
        <v>2.5000000000000001E-2</v>
      </c>
      <c r="AC470" s="23">
        <f>IFERROR((AA470+AB470)*SETTINGS!$C$10,"")</f>
        <v>2.6250000000000002E-2</v>
      </c>
    </row>
    <row r="471" spans="1:29" ht="16" x14ac:dyDescent="0.2">
      <c r="A471" s="25"/>
      <c r="H471" t="str">
        <f>IFERROR(VLOOKUP(G471,FILAMENTI_DB!$A:$C,3,FALSE),"")</f>
        <v/>
      </c>
      <c r="I471" t="str">
        <f>IFERROR(VLOOKUP(G471,FILAMENTI_DB!$A:$E,4,FALSE),"")</f>
        <v/>
      </c>
      <c r="J471" s="26"/>
      <c r="K471" s="27"/>
      <c r="L471" s="27"/>
      <c r="M471" s="27">
        <f t="shared" si="44"/>
        <v>0</v>
      </c>
      <c r="N471" s="26">
        <f t="shared" si="45"/>
        <v>0</v>
      </c>
      <c r="O471" s="26"/>
      <c r="P471" s="26"/>
      <c r="Q471" s="23"/>
      <c r="R471" s="23">
        <f t="shared" si="46"/>
        <v>0</v>
      </c>
      <c r="S471" s="23"/>
      <c r="T471" s="23">
        <f t="shared" si="47"/>
        <v>0</v>
      </c>
      <c r="U471" s="28" t="str">
        <f t="shared" si="48"/>
        <v/>
      </c>
      <c r="V471" s="10" t="str">
        <f>IFERROR(N471*VLOOKUP(G471,FILAMENTI_DB!$A:$J,10,FALSE),"")</f>
        <v/>
      </c>
      <c r="W471" s="23" t="str">
        <f>IFERROR((VLOOKUP(F471,STAMPANTI_DB!$A:$C,3,FALSE)/1000)*O471*SETTINGS!$C$6,"")</f>
        <v/>
      </c>
      <c r="X471" s="23" t="str">
        <f>IFERROR(O471*VLOOKUP(F471,STAMPANTI_DB!$A:$I,9,FALSE),"")</f>
        <v/>
      </c>
      <c r="Y471" s="23">
        <f>IFERROR(P471*SETTINGS!$C$7,"")</f>
        <v>0</v>
      </c>
      <c r="Z471" s="23">
        <f>SETTINGS!$C$11</f>
        <v>0.5</v>
      </c>
      <c r="AA471" s="23">
        <f t="shared" si="49"/>
        <v>0.5</v>
      </c>
      <c r="AB471" s="23">
        <f>IFERROR(AA471*SETTINGS!$C$9,"")</f>
        <v>2.5000000000000001E-2</v>
      </c>
      <c r="AC471" s="23">
        <f>IFERROR((AA471+AB471)*SETTINGS!$C$10,"")</f>
        <v>2.6250000000000002E-2</v>
      </c>
    </row>
    <row r="472" spans="1:29" ht="16" x14ac:dyDescent="0.2">
      <c r="A472" s="25"/>
      <c r="H472" t="str">
        <f>IFERROR(VLOOKUP(G472,FILAMENTI_DB!$A:$C,3,FALSE),"")</f>
        <v/>
      </c>
      <c r="I472" t="str">
        <f>IFERROR(VLOOKUP(G472,FILAMENTI_DB!$A:$E,4,FALSE),"")</f>
        <v/>
      </c>
      <c r="J472" s="26"/>
      <c r="K472" s="27"/>
      <c r="L472" s="27"/>
      <c r="M472" s="27">
        <f t="shared" si="44"/>
        <v>0</v>
      </c>
      <c r="N472" s="26">
        <f t="shared" si="45"/>
        <v>0</v>
      </c>
      <c r="O472" s="26"/>
      <c r="P472" s="26"/>
      <c r="Q472" s="23"/>
      <c r="R472" s="23">
        <f t="shared" si="46"/>
        <v>0</v>
      </c>
      <c r="S472" s="23"/>
      <c r="T472" s="23">
        <f t="shared" si="47"/>
        <v>0</v>
      </c>
      <c r="U472" s="28" t="str">
        <f t="shared" si="48"/>
        <v/>
      </c>
      <c r="V472" s="10" t="str">
        <f>IFERROR(N472*VLOOKUP(G472,FILAMENTI_DB!$A:$J,10,FALSE),"")</f>
        <v/>
      </c>
      <c r="W472" s="23" t="str">
        <f>IFERROR((VLOOKUP(F472,STAMPANTI_DB!$A:$C,3,FALSE)/1000)*O472*SETTINGS!$C$6,"")</f>
        <v/>
      </c>
      <c r="X472" s="23" t="str">
        <f>IFERROR(O472*VLOOKUP(F472,STAMPANTI_DB!$A:$I,9,FALSE),"")</f>
        <v/>
      </c>
      <c r="Y472" s="23">
        <f>IFERROR(P472*SETTINGS!$C$7,"")</f>
        <v>0</v>
      </c>
      <c r="Z472" s="23">
        <f>SETTINGS!$C$11</f>
        <v>0.5</v>
      </c>
      <c r="AA472" s="23">
        <f t="shared" si="49"/>
        <v>0.5</v>
      </c>
      <c r="AB472" s="23">
        <f>IFERROR(AA472*SETTINGS!$C$9,"")</f>
        <v>2.5000000000000001E-2</v>
      </c>
      <c r="AC472" s="23">
        <f>IFERROR((AA472+AB472)*SETTINGS!$C$10,"")</f>
        <v>2.6250000000000002E-2</v>
      </c>
    </row>
    <row r="473" spans="1:29" ht="16" x14ac:dyDescent="0.2">
      <c r="A473" s="25"/>
      <c r="H473" t="str">
        <f>IFERROR(VLOOKUP(G473,FILAMENTI_DB!$A:$C,3,FALSE),"")</f>
        <v/>
      </c>
      <c r="I473" t="str">
        <f>IFERROR(VLOOKUP(G473,FILAMENTI_DB!$A:$E,4,FALSE),"")</f>
        <v/>
      </c>
      <c r="J473" s="26"/>
      <c r="K473" s="27"/>
      <c r="L473" s="27"/>
      <c r="M473" s="27">
        <f t="shared" si="44"/>
        <v>0</v>
      </c>
      <c r="N473" s="26">
        <f t="shared" si="45"/>
        <v>0</v>
      </c>
      <c r="O473" s="26"/>
      <c r="P473" s="26"/>
      <c r="Q473" s="23"/>
      <c r="R473" s="23">
        <f t="shared" si="46"/>
        <v>0</v>
      </c>
      <c r="S473" s="23"/>
      <c r="T473" s="23">
        <f t="shared" si="47"/>
        <v>0</v>
      </c>
      <c r="U473" s="28" t="str">
        <f t="shared" si="48"/>
        <v/>
      </c>
      <c r="V473" s="10" t="str">
        <f>IFERROR(N473*VLOOKUP(G473,FILAMENTI_DB!$A:$J,10,FALSE),"")</f>
        <v/>
      </c>
      <c r="W473" s="23" t="str">
        <f>IFERROR((VLOOKUP(F473,STAMPANTI_DB!$A:$C,3,FALSE)/1000)*O473*SETTINGS!$C$6,"")</f>
        <v/>
      </c>
      <c r="X473" s="23" t="str">
        <f>IFERROR(O473*VLOOKUP(F473,STAMPANTI_DB!$A:$I,9,FALSE),"")</f>
        <v/>
      </c>
      <c r="Y473" s="23">
        <f>IFERROR(P473*SETTINGS!$C$7,"")</f>
        <v>0</v>
      </c>
      <c r="Z473" s="23">
        <f>SETTINGS!$C$11</f>
        <v>0.5</v>
      </c>
      <c r="AA473" s="23">
        <f t="shared" si="49"/>
        <v>0.5</v>
      </c>
      <c r="AB473" s="23">
        <f>IFERROR(AA473*SETTINGS!$C$9,"")</f>
        <v>2.5000000000000001E-2</v>
      </c>
      <c r="AC473" s="23">
        <f>IFERROR((AA473+AB473)*SETTINGS!$C$10,"")</f>
        <v>2.6250000000000002E-2</v>
      </c>
    </row>
    <row r="474" spans="1:29" ht="16" x14ac:dyDescent="0.2">
      <c r="A474" s="25"/>
      <c r="H474" t="str">
        <f>IFERROR(VLOOKUP(G474,FILAMENTI_DB!$A:$C,3,FALSE),"")</f>
        <v/>
      </c>
      <c r="I474" t="str">
        <f>IFERROR(VLOOKUP(G474,FILAMENTI_DB!$A:$E,4,FALSE),"")</f>
        <v/>
      </c>
      <c r="J474" s="26"/>
      <c r="K474" s="27"/>
      <c r="L474" s="27"/>
      <c r="M474" s="27">
        <f t="shared" si="44"/>
        <v>0</v>
      </c>
      <c r="N474" s="26">
        <f t="shared" si="45"/>
        <v>0</v>
      </c>
      <c r="O474" s="26"/>
      <c r="P474" s="26"/>
      <c r="Q474" s="23"/>
      <c r="R474" s="23">
        <f t="shared" si="46"/>
        <v>0</v>
      </c>
      <c r="S474" s="23"/>
      <c r="T474" s="23">
        <f t="shared" si="47"/>
        <v>0</v>
      </c>
      <c r="U474" s="28" t="str">
        <f t="shared" si="48"/>
        <v/>
      </c>
      <c r="V474" s="10" t="str">
        <f>IFERROR(N474*VLOOKUP(G474,FILAMENTI_DB!$A:$J,10,FALSE),"")</f>
        <v/>
      </c>
      <c r="W474" s="23" t="str">
        <f>IFERROR((VLOOKUP(F474,STAMPANTI_DB!$A:$C,3,FALSE)/1000)*O474*SETTINGS!$C$6,"")</f>
        <v/>
      </c>
      <c r="X474" s="23" t="str">
        <f>IFERROR(O474*VLOOKUP(F474,STAMPANTI_DB!$A:$I,9,FALSE),"")</f>
        <v/>
      </c>
      <c r="Y474" s="23">
        <f>IFERROR(P474*SETTINGS!$C$7,"")</f>
        <v>0</v>
      </c>
      <c r="Z474" s="23">
        <f>SETTINGS!$C$11</f>
        <v>0.5</v>
      </c>
      <c r="AA474" s="23">
        <f t="shared" si="49"/>
        <v>0.5</v>
      </c>
      <c r="AB474" s="23">
        <f>IFERROR(AA474*SETTINGS!$C$9,"")</f>
        <v>2.5000000000000001E-2</v>
      </c>
      <c r="AC474" s="23">
        <f>IFERROR((AA474+AB474)*SETTINGS!$C$10,"")</f>
        <v>2.6250000000000002E-2</v>
      </c>
    </row>
    <row r="475" spans="1:29" ht="16" x14ac:dyDescent="0.2">
      <c r="A475" s="25"/>
      <c r="H475" t="str">
        <f>IFERROR(VLOOKUP(G475,FILAMENTI_DB!$A:$C,3,FALSE),"")</f>
        <v/>
      </c>
      <c r="I475" t="str">
        <f>IFERROR(VLOOKUP(G475,FILAMENTI_DB!$A:$E,4,FALSE),"")</f>
        <v/>
      </c>
      <c r="J475" s="26"/>
      <c r="K475" s="27"/>
      <c r="L475" s="27"/>
      <c r="M475" s="27">
        <f t="shared" si="44"/>
        <v>0</v>
      </c>
      <c r="N475" s="26">
        <f t="shared" si="45"/>
        <v>0</v>
      </c>
      <c r="O475" s="26"/>
      <c r="P475" s="26"/>
      <c r="Q475" s="23"/>
      <c r="R475" s="23">
        <f t="shared" si="46"/>
        <v>0</v>
      </c>
      <c r="S475" s="23"/>
      <c r="T475" s="23">
        <f t="shared" si="47"/>
        <v>0</v>
      </c>
      <c r="U475" s="28" t="str">
        <f t="shared" si="48"/>
        <v/>
      </c>
      <c r="V475" s="10" t="str">
        <f>IFERROR(N475*VLOOKUP(G475,FILAMENTI_DB!$A:$J,10,FALSE),"")</f>
        <v/>
      </c>
      <c r="W475" s="23" t="str">
        <f>IFERROR((VLOOKUP(F475,STAMPANTI_DB!$A:$C,3,FALSE)/1000)*O475*SETTINGS!$C$6,"")</f>
        <v/>
      </c>
      <c r="X475" s="23" t="str">
        <f>IFERROR(O475*VLOOKUP(F475,STAMPANTI_DB!$A:$I,9,FALSE),"")</f>
        <v/>
      </c>
      <c r="Y475" s="23">
        <f>IFERROR(P475*SETTINGS!$C$7,"")</f>
        <v>0</v>
      </c>
      <c r="Z475" s="23">
        <f>SETTINGS!$C$11</f>
        <v>0.5</v>
      </c>
      <c r="AA475" s="23">
        <f t="shared" si="49"/>
        <v>0.5</v>
      </c>
      <c r="AB475" s="23">
        <f>IFERROR(AA475*SETTINGS!$C$9,"")</f>
        <v>2.5000000000000001E-2</v>
      </c>
      <c r="AC475" s="23">
        <f>IFERROR((AA475+AB475)*SETTINGS!$C$10,"")</f>
        <v>2.6250000000000002E-2</v>
      </c>
    </row>
    <row r="476" spans="1:29" ht="16" x14ac:dyDescent="0.2">
      <c r="A476" s="25"/>
      <c r="H476" t="str">
        <f>IFERROR(VLOOKUP(G476,FILAMENTI_DB!$A:$C,3,FALSE),"")</f>
        <v/>
      </c>
      <c r="I476" t="str">
        <f>IFERROR(VLOOKUP(G476,FILAMENTI_DB!$A:$E,4,FALSE),"")</f>
        <v/>
      </c>
      <c r="J476" s="26"/>
      <c r="K476" s="27"/>
      <c r="L476" s="27"/>
      <c r="M476" s="27">
        <f t="shared" si="44"/>
        <v>0</v>
      </c>
      <c r="N476" s="26">
        <f t="shared" si="45"/>
        <v>0</v>
      </c>
      <c r="O476" s="26"/>
      <c r="P476" s="26"/>
      <c r="Q476" s="23"/>
      <c r="R476" s="23">
        <f t="shared" si="46"/>
        <v>0</v>
      </c>
      <c r="S476" s="23"/>
      <c r="T476" s="23">
        <f t="shared" si="47"/>
        <v>0</v>
      </c>
      <c r="U476" s="28" t="str">
        <f t="shared" si="48"/>
        <v/>
      </c>
      <c r="V476" s="10" t="str">
        <f>IFERROR(N476*VLOOKUP(G476,FILAMENTI_DB!$A:$J,10,FALSE),"")</f>
        <v/>
      </c>
      <c r="W476" s="23" t="str">
        <f>IFERROR((VLOOKUP(F476,STAMPANTI_DB!$A:$C,3,FALSE)/1000)*O476*SETTINGS!$C$6,"")</f>
        <v/>
      </c>
      <c r="X476" s="23" t="str">
        <f>IFERROR(O476*VLOOKUP(F476,STAMPANTI_DB!$A:$I,9,FALSE),"")</f>
        <v/>
      </c>
      <c r="Y476" s="23">
        <f>IFERROR(P476*SETTINGS!$C$7,"")</f>
        <v>0</v>
      </c>
      <c r="Z476" s="23">
        <f>SETTINGS!$C$11</f>
        <v>0.5</v>
      </c>
      <c r="AA476" s="23">
        <f t="shared" si="49"/>
        <v>0.5</v>
      </c>
      <c r="AB476" s="23">
        <f>IFERROR(AA476*SETTINGS!$C$9,"")</f>
        <v>2.5000000000000001E-2</v>
      </c>
      <c r="AC476" s="23">
        <f>IFERROR((AA476+AB476)*SETTINGS!$C$10,"")</f>
        <v>2.6250000000000002E-2</v>
      </c>
    </row>
    <row r="477" spans="1:29" ht="16" x14ac:dyDescent="0.2">
      <c r="A477" s="25"/>
      <c r="H477" t="str">
        <f>IFERROR(VLOOKUP(G477,FILAMENTI_DB!$A:$C,3,FALSE),"")</f>
        <v/>
      </c>
      <c r="I477" t="str">
        <f>IFERROR(VLOOKUP(G477,FILAMENTI_DB!$A:$E,4,FALSE),"")</f>
        <v/>
      </c>
      <c r="J477" s="26"/>
      <c r="K477" s="27"/>
      <c r="L477" s="27"/>
      <c r="M477" s="27">
        <f t="shared" si="44"/>
        <v>0</v>
      </c>
      <c r="N477" s="26">
        <f t="shared" si="45"/>
        <v>0</v>
      </c>
      <c r="O477" s="26"/>
      <c r="P477" s="26"/>
      <c r="Q477" s="23"/>
      <c r="R477" s="23">
        <f t="shared" si="46"/>
        <v>0</v>
      </c>
      <c r="S477" s="23"/>
      <c r="T477" s="23">
        <f t="shared" si="47"/>
        <v>0</v>
      </c>
      <c r="U477" s="28" t="str">
        <f t="shared" si="48"/>
        <v/>
      </c>
      <c r="V477" s="10" t="str">
        <f>IFERROR(N477*VLOOKUP(G477,FILAMENTI_DB!$A:$J,10,FALSE),"")</f>
        <v/>
      </c>
      <c r="W477" s="23" t="str">
        <f>IFERROR((VLOOKUP(F477,STAMPANTI_DB!$A:$C,3,FALSE)/1000)*O477*SETTINGS!$C$6,"")</f>
        <v/>
      </c>
      <c r="X477" s="23" t="str">
        <f>IFERROR(O477*VLOOKUP(F477,STAMPANTI_DB!$A:$I,9,FALSE),"")</f>
        <v/>
      </c>
      <c r="Y477" s="23">
        <f>IFERROR(P477*SETTINGS!$C$7,"")</f>
        <v>0</v>
      </c>
      <c r="Z477" s="23">
        <f>SETTINGS!$C$11</f>
        <v>0.5</v>
      </c>
      <c r="AA477" s="23">
        <f t="shared" si="49"/>
        <v>0.5</v>
      </c>
      <c r="AB477" s="23">
        <f>IFERROR(AA477*SETTINGS!$C$9,"")</f>
        <v>2.5000000000000001E-2</v>
      </c>
      <c r="AC477" s="23">
        <f>IFERROR((AA477+AB477)*SETTINGS!$C$10,"")</f>
        <v>2.6250000000000002E-2</v>
      </c>
    </row>
    <row r="478" spans="1:29" ht="16" x14ac:dyDescent="0.2">
      <c r="A478" s="25"/>
      <c r="H478" t="str">
        <f>IFERROR(VLOOKUP(G478,FILAMENTI_DB!$A:$C,3,FALSE),"")</f>
        <v/>
      </c>
      <c r="I478" t="str">
        <f>IFERROR(VLOOKUP(G478,FILAMENTI_DB!$A:$E,4,FALSE),"")</f>
        <v/>
      </c>
      <c r="J478" s="26"/>
      <c r="K478" s="27"/>
      <c r="L478" s="27"/>
      <c r="M478" s="27">
        <f t="shared" si="44"/>
        <v>0</v>
      </c>
      <c r="N478" s="26">
        <f t="shared" si="45"/>
        <v>0</v>
      </c>
      <c r="O478" s="26"/>
      <c r="P478" s="26"/>
      <c r="Q478" s="23"/>
      <c r="R478" s="23">
        <f t="shared" si="46"/>
        <v>0</v>
      </c>
      <c r="S478" s="23"/>
      <c r="T478" s="23">
        <f t="shared" si="47"/>
        <v>0</v>
      </c>
      <c r="U478" s="28" t="str">
        <f t="shared" si="48"/>
        <v/>
      </c>
      <c r="V478" s="10" t="str">
        <f>IFERROR(N478*VLOOKUP(G478,FILAMENTI_DB!$A:$J,10,FALSE),"")</f>
        <v/>
      </c>
      <c r="W478" s="23" t="str">
        <f>IFERROR((VLOOKUP(F478,STAMPANTI_DB!$A:$C,3,FALSE)/1000)*O478*SETTINGS!$C$6,"")</f>
        <v/>
      </c>
      <c r="X478" s="23" t="str">
        <f>IFERROR(O478*VLOOKUP(F478,STAMPANTI_DB!$A:$I,9,FALSE),"")</f>
        <v/>
      </c>
      <c r="Y478" s="23">
        <f>IFERROR(P478*SETTINGS!$C$7,"")</f>
        <v>0</v>
      </c>
      <c r="Z478" s="23">
        <f>SETTINGS!$C$11</f>
        <v>0.5</v>
      </c>
      <c r="AA478" s="23">
        <f t="shared" si="49"/>
        <v>0.5</v>
      </c>
      <c r="AB478" s="23">
        <f>IFERROR(AA478*SETTINGS!$C$9,"")</f>
        <v>2.5000000000000001E-2</v>
      </c>
      <c r="AC478" s="23">
        <f>IFERROR((AA478+AB478)*SETTINGS!$C$10,"")</f>
        <v>2.6250000000000002E-2</v>
      </c>
    </row>
    <row r="479" spans="1:29" ht="16" x14ac:dyDescent="0.2">
      <c r="A479" s="25"/>
      <c r="H479" t="str">
        <f>IFERROR(VLOOKUP(G479,FILAMENTI_DB!$A:$C,3,FALSE),"")</f>
        <v/>
      </c>
      <c r="I479" t="str">
        <f>IFERROR(VLOOKUP(G479,FILAMENTI_DB!$A:$E,4,FALSE),"")</f>
        <v/>
      </c>
      <c r="J479" s="26"/>
      <c r="K479" s="27"/>
      <c r="L479" s="27"/>
      <c r="M479" s="27">
        <f t="shared" si="44"/>
        <v>0</v>
      </c>
      <c r="N479" s="26">
        <f t="shared" si="45"/>
        <v>0</v>
      </c>
      <c r="O479" s="26"/>
      <c r="P479" s="26"/>
      <c r="Q479" s="23"/>
      <c r="R479" s="23">
        <f t="shared" si="46"/>
        <v>0</v>
      </c>
      <c r="S479" s="23"/>
      <c r="T479" s="23">
        <f t="shared" si="47"/>
        <v>0</v>
      </c>
      <c r="U479" s="28" t="str">
        <f t="shared" si="48"/>
        <v/>
      </c>
      <c r="V479" s="10" t="str">
        <f>IFERROR(N479*VLOOKUP(G479,FILAMENTI_DB!$A:$J,10,FALSE),"")</f>
        <v/>
      </c>
      <c r="W479" s="23" t="str">
        <f>IFERROR((VLOOKUP(F479,STAMPANTI_DB!$A:$C,3,FALSE)/1000)*O479*SETTINGS!$C$6,"")</f>
        <v/>
      </c>
      <c r="X479" s="23" t="str">
        <f>IFERROR(O479*VLOOKUP(F479,STAMPANTI_DB!$A:$I,9,FALSE),"")</f>
        <v/>
      </c>
      <c r="Y479" s="23">
        <f>IFERROR(P479*SETTINGS!$C$7,"")</f>
        <v>0</v>
      </c>
      <c r="Z479" s="23">
        <f>SETTINGS!$C$11</f>
        <v>0.5</v>
      </c>
      <c r="AA479" s="23">
        <f t="shared" si="49"/>
        <v>0.5</v>
      </c>
      <c r="AB479" s="23">
        <f>IFERROR(AA479*SETTINGS!$C$9,"")</f>
        <v>2.5000000000000001E-2</v>
      </c>
      <c r="AC479" s="23">
        <f>IFERROR((AA479+AB479)*SETTINGS!$C$10,"")</f>
        <v>2.6250000000000002E-2</v>
      </c>
    </row>
    <row r="480" spans="1:29" ht="16" x14ac:dyDescent="0.2">
      <c r="A480" s="25"/>
      <c r="H480" t="str">
        <f>IFERROR(VLOOKUP(G480,FILAMENTI_DB!$A:$C,3,FALSE),"")</f>
        <v/>
      </c>
      <c r="I480" t="str">
        <f>IFERROR(VLOOKUP(G480,FILAMENTI_DB!$A:$E,4,FALSE),"")</f>
        <v/>
      </c>
      <c r="J480" s="26"/>
      <c r="K480" s="27"/>
      <c r="L480" s="27"/>
      <c r="M480" s="27">
        <f t="shared" si="44"/>
        <v>0</v>
      </c>
      <c r="N480" s="26">
        <f t="shared" si="45"/>
        <v>0</v>
      </c>
      <c r="O480" s="26"/>
      <c r="P480" s="26"/>
      <c r="Q480" s="23"/>
      <c r="R480" s="23">
        <f t="shared" si="46"/>
        <v>0</v>
      </c>
      <c r="S480" s="23"/>
      <c r="T480" s="23">
        <f t="shared" si="47"/>
        <v>0</v>
      </c>
      <c r="U480" s="28" t="str">
        <f t="shared" si="48"/>
        <v/>
      </c>
      <c r="V480" s="10" t="str">
        <f>IFERROR(N480*VLOOKUP(G480,FILAMENTI_DB!$A:$J,10,FALSE),"")</f>
        <v/>
      </c>
      <c r="W480" s="23" t="str">
        <f>IFERROR((VLOOKUP(F480,STAMPANTI_DB!$A:$C,3,FALSE)/1000)*O480*SETTINGS!$C$6,"")</f>
        <v/>
      </c>
      <c r="X480" s="23" t="str">
        <f>IFERROR(O480*VLOOKUP(F480,STAMPANTI_DB!$A:$I,9,FALSE),"")</f>
        <v/>
      </c>
      <c r="Y480" s="23">
        <f>IFERROR(P480*SETTINGS!$C$7,"")</f>
        <v>0</v>
      </c>
      <c r="Z480" s="23">
        <f>SETTINGS!$C$11</f>
        <v>0.5</v>
      </c>
      <c r="AA480" s="23">
        <f t="shared" si="49"/>
        <v>0.5</v>
      </c>
      <c r="AB480" s="23">
        <f>IFERROR(AA480*SETTINGS!$C$9,"")</f>
        <v>2.5000000000000001E-2</v>
      </c>
      <c r="AC480" s="23">
        <f>IFERROR((AA480+AB480)*SETTINGS!$C$10,"")</f>
        <v>2.6250000000000002E-2</v>
      </c>
    </row>
    <row r="481" spans="1:29" ht="16" x14ac:dyDescent="0.2">
      <c r="A481" s="25"/>
      <c r="H481" t="str">
        <f>IFERROR(VLOOKUP(G481,FILAMENTI_DB!$A:$C,3,FALSE),"")</f>
        <v/>
      </c>
      <c r="I481" t="str">
        <f>IFERROR(VLOOKUP(G481,FILAMENTI_DB!$A:$E,4,FALSE),"")</f>
        <v/>
      </c>
      <c r="J481" s="26"/>
      <c r="K481" s="27"/>
      <c r="L481" s="27"/>
      <c r="M481" s="27">
        <f t="shared" si="44"/>
        <v>0</v>
      </c>
      <c r="N481" s="26">
        <f t="shared" si="45"/>
        <v>0</v>
      </c>
      <c r="O481" s="26"/>
      <c r="P481" s="26"/>
      <c r="Q481" s="23"/>
      <c r="R481" s="23">
        <f t="shared" si="46"/>
        <v>0</v>
      </c>
      <c r="S481" s="23"/>
      <c r="T481" s="23">
        <f t="shared" si="47"/>
        <v>0</v>
      </c>
      <c r="U481" s="28" t="str">
        <f t="shared" si="48"/>
        <v/>
      </c>
      <c r="V481" s="10" t="str">
        <f>IFERROR(N481*VLOOKUP(G481,FILAMENTI_DB!$A:$J,10,FALSE),"")</f>
        <v/>
      </c>
      <c r="W481" s="23" t="str">
        <f>IFERROR((VLOOKUP(F481,STAMPANTI_DB!$A:$C,3,FALSE)/1000)*O481*SETTINGS!$C$6,"")</f>
        <v/>
      </c>
      <c r="X481" s="23" t="str">
        <f>IFERROR(O481*VLOOKUP(F481,STAMPANTI_DB!$A:$I,9,FALSE),"")</f>
        <v/>
      </c>
      <c r="Y481" s="23">
        <f>IFERROR(P481*SETTINGS!$C$7,"")</f>
        <v>0</v>
      </c>
      <c r="Z481" s="23">
        <f>SETTINGS!$C$11</f>
        <v>0.5</v>
      </c>
      <c r="AA481" s="23">
        <f t="shared" si="49"/>
        <v>0.5</v>
      </c>
      <c r="AB481" s="23">
        <f>IFERROR(AA481*SETTINGS!$C$9,"")</f>
        <v>2.5000000000000001E-2</v>
      </c>
      <c r="AC481" s="23">
        <f>IFERROR((AA481+AB481)*SETTINGS!$C$10,"")</f>
        <v>2.6250000000000002E-2</v>
      </c>
    </row>
    <row r="482" spans="1:29" ht="16" x14ac:dyDescent="0.2">
      <c r="A482" s="25"/>
      <c r="H482" t="str">
        <f>IFERROR(VLOOKUP(G482,FILAMENTI_DB!$A:$C,3,FALSE),"")</f>
        <v/>
      </c>
      <c r="I482" t="str">
        <f>IFERROR(VLOOKUP(G482,FILAMENTI_DB!$A:$E,4,FALSE),"")</f>
        <v/>
      </c>
      <c r="J482" s="26"/>
      <c r="K482" s="27"/>
      <c r="L482" s="27"/>
      <c r="M482" s="27">
        <f t="shared" si="44"/>
        <v>0</v>
      </c>
      <c r="N482" s="26">
        <f t="shared" si="45"/>
        <v>0</v>
      </c>
      <c r="O482" s="26"/>
      <c r="P482" s="26"/>
      <c r="Q482" s="23"/>
      <c r="R482" s="23">
        <f t="shared" si="46"/>
        <v>0</v>
      </c>
      <c r="S482" s="23"/>
      <c r="T482" s="23">
        <f t="shared" si="47"/>
        <v>0</v>
      </c>
      <c r="U482" s="28" t="str">
        <f t="shared" si="48"/>
        <v/>
      </c>
      <c r="V482" s="10" t="str">
        <f>IFERROR(N482*VLOOKUP(G482,FILAMENTI_DB!$A:$J,10,FALSE),"")</f>
        <v/>
      </c>
      <c r="W482" s="23" t="str">
        <f>IFERROR((VLOOKUP(F482,STAMPANTI_DB!$A:$C,3,FALSE)/1000)*O482*SETTINGS!$C$6,"")</f>
        <v/>
      </c>
      <c r="X482" s="23" t="str">
        <f>IFERROR(O482*VLOOKUP(F482,STAMPANTI_DB!$A:$I,9,FALSE),"")</f>
        <v/>
      </c>
      <c r="Y482" s="23">
        <f>IFERROR(P482*SETTINGS!$C$7,"")</f>
        <v>0</v>
      </c>
      <c r="Z482" s="23">
        <f>SETTINGS!$C$11</f>
        <v>0.5</v>
      </c>
      <c r="AA482" s="23">
        <f t="shared" si="49"/>
        <v>0.5</v>
      </c>
      <c r="AB482" s="23">
        <f>IFERROR(AA482*SETTINGS!$C$9,"")</f>
        <v>2.5000000000000001E-2</v>
      </c>
      <c r="AC482" s="23">
        <f>IFERROR((AA482+AB482)*SETTINGS!$C$10,"")</f>
        <v>2.6250000000000002E-2</v>
      </c>
    </row>
    <row r="483" spans="1:29" ht="16" x14ac:dyDescent="0.2">
      <c r="A483" s="25"/>
      <c r="H483" t="str">
        <f>IFERROR(VLOOKUP(G483,FILAMENTI_DB!$A:$C,3,FALSE),"")</f>
        <v/>
      </c>
      <c r="I483" t="str">
        <f>IFERROR(VLOOKUP(G483,FILAMENTI_DB!$A:$E,4,FALSE),"")</f>
        <v/>
      </c>
      <c r="J483" s="26"/>
      <c r="K483" s="27"/>
      <c r="L483" s="27"/>
      <c r="M483" s="27">
        <f t="shared" si="44"/>
        <v>0</v>
      </c>
      <c r="N483" s="26">
        <f t="shared" si="45"/>
        <v>0</v>
      </c>
      <c r="O483" s="26"/>
      <c r="P483" s="26"/>
      <c r="Q483" s="23"/>
      <c r="R483" s="23">
        <f t="shared" si="46"/>
        <v>0</v>
      </c>
      <c r="S483" s="23"/>
      <c r="T483" s="23">
        <f t="shared" si="47"/>
        <v>0</v>
      </c>
      <c r="U483" s="28" t="str">
        <f t="shared" si="48"/>
        <v/>
      </c>
      <c r="V483" s="10" t="str">
        <f>IFERROR(N483*VLOOKUP(G483,FILAMENTI_DB!$A:$J,10,FALSE),"")</f>
        <v/>
      </c>
      <c r="W483" s="23" t="str">
        <f>IFERROR((VLOOKUP(F483,STAMPANTI_DB!$A:$C,3,FALSE)/1000)*O483*SETTINGS!$C$6,"")</f>
        <v/>
      </c>
      <c r="X483" s="23" t="str">
        <f>IFERROR(O483*VLOOKUP(F483,STAMPANTI_DB!$A:$I,9,FALSE),"")</f>
        <v/>
      </c>
      <c r="Y483" s="23">
        <f>IFERROR(P483*SETTINGS!$C$7,"")</f>
        <v>0</v>
      </c>
      <c r="Z483" s="23">
        <f>SETTINGS!$C$11</f>
        <v>0.5</v>
      </c>
      <c r="AA483" s="23">
        <f t="shared" si="49"/>
        <v>0.5</v>
      </c>
      <c r="AB483" s="23">
        <f>IFERROR(AA483*SETTINGS!$C$9,"")</f>
        <v>2.5000000000000001E-2</v>
      </c>
      <c r="AC483" s="23">
        <f>IFERROR((AA483+AB483)*SETTINGS!$C$10,"")</f>
        <v>2.6250000000000002E-2</v>
      </c>
    </row>
    <row r="484" spans="1:29" ht="16" x14ac:dyDescent="0.2">
      <c r="A484" s="25"/>
      <c r="H484" t="str">
        <f>IFERROR(VLOOKUP(G484,FILAMENTI_DB!$A:$C,3,FALSE),"")</f>
        <v/>
      </c>
      <c r="I484" t="str">
        <f>IFERROR(VLOOKUP(G484,FILAMENTI_DB!$A:$E,4,FALSE),"")</f>
        <v/>
      </c>
      <c r="J484" s="26"/>
      <c r="K484" s="27"/>
      <c r="L484" s="27"/>
      <c r="M484" s="27">
        <f t="shared" si="44"/>
        <v>0</v>
      </c>
      <c r="N484" s="26">
        <f t="shared" si="45"/>
        <v>0</v>
      </c>
      <c r="O484" s="26"/>
      <c r="P484" s="26"/>
      <c r="Q484" s="23"/>
      <c r="R484" s="23">
        <f t="shared" si="46"/>
        <v>0</v>
      </c>
      <c r="S484" s="23"/>
      <c r="T484" s="23">
        <f t="shared" si="47"/>
        <v>0</v>
      </c>
      <c r="U484" s="28" t="str">
        <f t="shared" si="48"/>
        <v/>
      </c>
      <c r="V484" s="10" t="str">
        <f>IFERROR(N484*VLOOKUP(G484,FILAMENTI_DB!$A:$J,10,FALSE),"")</f>
        <v/>
      </c>
      <c r="W484" s="23" t="str">
        <f>IFERROR((VLOOKUP(F484,STAMPANTI_DB!$A:$C,3,FALSE)/1000)*O484*SETTINGS!$C$6,"")</f>
        <v/>
      </c>
      <c r="X484" s="23" t="str">
        <f>IFERROR(O484*VLOOKUP(F484,STAMPANTI_DB!$A:$I,9,FALSE),"")</f>
        <v/>
      </c>
      <c r="Y484" s="23">
        <f>IFERROR(P484*SETTINGS!$C$7,"")</f>
        <v>0</v>
      </c>
      <c r="Z484" s="23">
        <f>SETTINGS!$C$11</f>
        <v>0.5</v>
      </c>
      <c r="AA484" s="23">
        <f t="shared" si="49"/>
        <v>0.5</v>
      </c>
      <c r="AB484" s="23">
        <f>IFERROR(AA484*SETTINGS!$C$9,"")</f>
        <v>2.5000000000000001E-2</v>
      </c>
      <c r="AC484" s="23">
        <f>IFERROR((AA484+AB484)*SETTINGS!$C$10,"")</f>
        <v>2.6250000000000002E-2</v>
      </c>
    </row>
    <row r="485" spans="1:29" ht="16" x14ac:dyDescent="0.2">
      <c r="A485" s="25"/>
      <c r="H485" t="str">
        <f>IFERROR(VLOOKUP(G485,FILAMENTI_DB!$A:$C,3,FALSE),"")</f>
        <v/>
      </c>
      <c r="I485" t="str">
        <f>IFERROR(VLOOKUP(G485,FILAMENTI_DB!$A:$E,4,FALSE),"")</f>
        <v/>
      </c>
      <c r="J485" s="26"/>
      <c r="K485" s="27"/>
      <c r="L485" s="27"/>
      <c r="M485" s="27">
        <f t="shared" si="44"/>
        <v>0</v>
      </c>
      <c r="N485" s="26">
        <f t="shared" si="45"/>
        <v>0</v>
      </c>
      <c r="O485" s="26"/>
      <c r="P485" s="26"/>
      <c r="Q485" s="23"/>
      <c r="R485" s="23">
        <f t="shared" si="46"/>
        <v>0</v>
      </c>
      <c r="S485" s="23"/>
      <c r="T485" s="23">
        <f t="shared" si="47"/>
        <v>0</v>
      </c>
      <c r="U485" s="28" t="str">
        <f t="shared" si="48"/>
        <v/>
      </c>
      <c r="V485" s="10" t="str">
        <f>IFERROR(N485*VLOOKUP(G485,FILAMENTI_DB!$A:$J,10,FALSE),"")</f>
        <v/>
      </c>
      <c r="W485" s="23" t="str">
        <f>IFERROR((VLOOKUP(F485,STAMPANTI_DB!$A:$C,3,FALSE)/1000)*O485*SETTINGS!$C$6,"")</f>
        <v/>
      </c>
      <c r="X485" s="23" t="str">
        <f>IFERROR(O485*VLOOKUP(F485,STAMPANTI_DB!$A:$I,9,FALSE),"")</f>
        <v/>
      </c>
      <c r="Y485" s="23">
        <f>IFERROR(P485*SETTINGS!$C$7,"")</f>
        <v>0</v>
      </c>
      <c r="Z485" s="23">
        <f>SETTINGS!$C$11</f>
        <v>0.5</v>
      </c>
      <c r="AA485" s="23">
        <f t="shared" si="49"/>
        <v>0.5</v>
      </c>
      <c r="AB485" s="23">
        <f>IFERROR(AA485*SETTINGS!$C$9,"")</f>
        <v>2.5000000000000001E-2</v>
      </c>
      <c r="AC485" s="23">
        <f>IFERROR((AA485+AB485)*SETTINGS!$C$10,"")</f>
        <v>2.6250000000000002E-2</v>
      </c>
    </row>
    <row r="486" spans="1:29" ht="16" x14ac:dyDescent="0.2">
      <c r="A486" s="25"/>
      <c r="H486" t="str">
        <f>IFERROR(VLOOKUP(G486,FILAMENTI_DB!$A:$C,3,FALSE),"")</f>
        <v/>
      </c>
      <c r="I486" t="str">
        <f>IFERROR(VLOOKUP(G486,FILAMENTI_DB!$A:$E,4,FALSE),"")</f>
        <v/>
      </c>
      <c r="J486" s="26"/>
      <c r="K486" s="27"/>
      <c r="L486" s="27"/>
      <c r="M486" s="27">
        <f t="shared" si="44"/>
        <v>0</v>
      </c>
      <c r="N486" s="26">
        <f t="shared" si="45"/>
        <v>0</v>
      </c>
      <c r="O486" s="26"/>
      <c r="P486" s="26"/>
      <c r="Q486" s="23"/>
      <c r="R486" s="23">
        <f t="shared" si="46"/>
        <v>0</v>
      </c>
      <c r="S486" s="23"/>
      <c r="T486" s="23">
        <f t="shared" si="47"/>
        <v>0</v>
      </c>
      <c r="U486" s="28" t="str">
        <f t="shared" si="48"/>
        <v/>
      </c>
      <c r="V486" s="10" t="str">
        <f>IFERROR(N486*VLOOKUP(G486,FILAMENTI_DB!$A:$J,10,FALSE),"")</f>
        <v/>
      </c>
      <c r="W486" s="23" t="str">
        <f>IFERROR((VLOOKUP(F486,STAMPANTI_DB!$A:$C,3,FALSE)/1000)*O486*SETTINGS!$C$6,"")</f>
        <v/>
      </c>
      <c r="X486" s="23" t="str">
        <f>IFERROR(O486*VLOOKUP(F486,STAMPANTI_DB!$A:$I,9,FALSE),"")</f>
        <v/>
      </c>
      <c r="Y486" s="23">
        <f>IFERROR(P486*SETTINGS!$C$7,"")</f>
        <v>0</v>
      </c>
      <c r="Z486" s="23">
        <f>SETTINGS!$C$11</f>
        <v>0.5</v>
      </c>
      <c r="AA486" s="23">
        <f t="shared" si="49"/>
        <v>0.5</v>
      </c>
      <c r="AB486" s="23">
        <f>IFERROR(AA486*SETTINGS!$C$9,"")</f>
        <v>2.5000000000000001E-2</v>
      </c>
      <c r="AC486" s="23">
        <f>IFERROR((AA486+AB486)*SETTINGS!$C$10,"")</f>
        <v>2.6250000000000002E-2</v>
      </c>
    </row>
    <row r="487" spans="1:29" ht="16" x14ac:dyDescent="0.2">
      <c r="A487" s="25"/>
      <c r="H487" t="str">
        <f>IFERROR(VLOOKUP(G487,FILAMENTI_DB!$A:$C,3,FALSE),"")</f>
        <v/>
      </c>
      <c r="I487" t="str">
        <f>IFERROR(VLOOKUP(G487,FILAMENTI_DB!$A:$E,4,FALSE),"")</f>
        <v/>
      </c>
      <c r="J487" s="26"/>
      <c r="K487" s="27"/>
      <c r="L487" s="27"/>
      <c r="M487" s="27">
        <f t="shared" si="44"/>
        <v>0</v>
      </c>
      <c r="N487" s="26">
        <f t="shared" si="45"/>
        <v>0</v>
      </c>
      <c r="O487" s="26"/>
      <c r="P487" s="26"/>
      <c r="Q487" s="23"/>
      <c r="R487" s="23">
        <f t="shared" si="46"/>
        <v>0</v>
      </c>
      <c r="S487" s="23"/>
      <c r="T487" s="23">
        <f t="shared" si="47"/>
        <v>0</v>
      </c>
      <c r="U487" s="28" t="str">
        <f t="shared" si="48"/>
        <v/>
      </c>
      <c r="V487" s="10" t="str">
        <f>IFERROR(N487*VLOOKUP(G487,FILAMENTI_DB!$A:$J,10,FALSE),"")</f>
        <v/>
      </c>
      <c r="W487" s="23" t="str">
        <f>IFERROR((VLOOKUP(F487,STAMPANTI_DB!$A:$C,3,FALSE)/1000)*O487*SETTINGS!$C$6,"")</f>
        <v/>
      </c>
      <c r="X487" s="23" t="str">
        <f>IFERROR(O487*VLOOKUP(F487,STAMPANTI_DB!$A:$I,9,FALSE),"")</f>
        <v/>
      </c>
      <c r="Y487" s="23">
        <f>IFERROR(P487*SETTINGS!$C$7,"")</f>
        <v>0</v>
      </c>
      <c r="Z487" s="23">
        <f>SETTINGS!$C$11</f>
        <v>0.5</v>
      </c>
      <c r="AA487" s="23">
        <f t="shared" si="49"/>
        <v>0.5</v>
      </c>
      <c r="AB487" s="23">
        <f>IFERROR(AA487*SETTINGS!$C$9,"")</f>
        <v>2.5000000000000001E-2</v>
      </c>
      <c r="AC487" s="23">
        <f>IFERROR((AA487+AB487)*SETTINGS!$C$10,"")</f>
        <v>2.6250000000000002E-2</v>
      </c>
    </row>
    <row r="488" spans="1:29" ht="16" x14ac:dyDescent="0.2">
      <c r="A488" s="25"/>
      <c r="H488" t="str">
        <f>IFERROR(VLOOKUP(G488,FILAMENTI_DB!$A:$C,3,FALSE),"")</f>
        <v/>
      </c>
      <c r="I488" t="str">
        <f>IFERROR(VLOOKUP(G488,FILAMENTI_DB!$A:$E,4,FALSE),"")</f>
        <v/>
      </c>
      <c r="J488" s="26"/>
      <c r="K488" s="27"/>
      <c r="L488" s="27"/>
      <c r="M488" s="27">
        <f t="shared" si="44"/>
        <v>0</v>
      </c>
      <c r="N488" s="26">
        <f t="shared" si="45"/>
        <v>0</v>
      </c>
      <c r="O488" s="26"/>
      <c r="P488" s="26"/>
      <c r="Q488" s="23"/>
      <c r="R488" s="23">
        <f t="shared" si="46"/>
        <v>0</v>
      </c>
      <c r="S488" s="23"/>
      <c r="T488" s="23">
        <f t="shared" si="47"/>
        <v>0</v>
      </c>
      <c r="U488" s="28" t="str">
        <f t="shared" si="48"/>
        <v/>
      </c>
      <c r="V488" s="10" t="str">
        <f>IFERROR(N488*VLOOKUP(G488,FILAMENTI_DB!$A:$J,10,FALSE),"")</f>
        <v/>
      </c>
      <c r="W488" s="23" t="str">
        <f>IFERROR((VLOOKUP(F488,STAMPANTI_DB!$A:$C,3,FALSE)/1000)*O488*SETTINGS!$C$6,"")</f>
        <v/>
      </c>
      <c r="X488" s="23" t="str">
        <f>IFERROR(O488*VLOOKUP(F488,STAMPANTI_DB!$A:$I,9,FALSE),"")</f>
        <v/>
      </c>
      <c r="Y488" s="23">
        <f>IFERROR(P488*SETTINGS!$C$7,"")</f>
        <v>0</v>
      </c>
      <c r="Z488" s="23">
        <f>SETTINGS!$C$11</f>
        <v>0.5</v>
      </c>
      <c r="AA488" s="23">
        <f t="shared" si="49"/>
        <v>0.5</v>
      </c>
      <c r="AB488" s="23">
        <f>IFERROR(AA488*SETTINGS!$C$9,"")</f>
        <v>2.5000000000000001E-2</v>
      </c>
      <c r="AC488" s="23">
        <f>IFERROR((AA488+AB488)*SETTINGS!$C$10,"")</f>
        <v>2.6250000000000002E-2</v>
      </c>
    </row>
    <row r="489" spans="1:29" ht="16" x14ac:dyDescent="0.2">
      <c r="A489" s="25"/>
      <c r="H489" t="str">
        <f>IFERROR(VLOOKUP(G489,FILAMENTI_DB!$A:$C,3,FALSE),"")</f>
        <v/>
      </c>
      <c r="I489" t="str">
        <f>IFERROR(VLOOKUP(G489,FILAMENTI_DB!$A:$E,4,FALSE),"")</f>
        <v/>
      </c>
      <c r="J489" s="26"/>
      <c r="K489" s="27"/>
      <c r="L489" s="27"/>
      <c r="M489" s="27">
        <f t="shared" si="44"/>
        <v>0</v>
      </c>
      <c r="N489" s="26">
        <f t="shared" si="45"/>
        <v>0</v>
      </c>
      <c r="O489" s="26"/>
      <c r="P489" s="26"/>
      <c r="Q489" s="23"/>
      <c r="R489" s="23">
        <f t="shared" si="46"/>
        <v>0</v>
      </c>
      <c r="S489" s="23"/>
      <c r="T489" s="23">
        <f t="shared" si="47"/>
        <v>0</v>
      </c>
      <c r="U489" s="28" t="str">
        <f t="shared" si="48"/>
        <v/>
      </c>
      <c r="V489" s="10" t="str">
        <f>IFERROR(N489*VLOOKUP(G489,FILAMENTI_DB!$A:$J,10,FALSE),"")</f>
        <v/>
      </c>
      <c r="W489" s="23" t="str">
        <f>IFERROR((VLOOKUP(F489,STAMPANTI_DB!$A:$C,3,FALSE)/1000)*O489*SETTINGS!$C$6,"")</f>
        <v/>
      </c>
      <c r="X489" s="23" t="str">
        <f>IFERROR(O489*VLOOKUP(F489,STAMPANTI_DB!$A:$I,9,FALSE),"")</f>
        <v/>
      </c>
      <c r="Y489" s="23">
        <f>IFERROR(P489*SETTINGS!$C$7,"")</f>
        <v>0</v>
      </c>
      <c r="Z489" s="23">
        <f>SETTINGS!$C$11</f>
        <v>0.5</v>
      </c>
      <c r="AA489" s="23">
        <f t="shared" si="49"/>
        <v>0.5</v>
      </c>
      <c r="AB489" s="23">
        <f>IFERROR(AA489*SETTINGS!$C$9,"")</f>
        <v>2.5000000000000001E-2</v>
      </c>
      <c r="AC489" s="23">
        <f>IFERROR((AA489+AB489)*SETTINGS!$C$10,"")</f>
        <v>2.6250000000000002E-2</v>
      </c>
    </row>
    <row r="490" spans="1:29" ht="16" x14ac:dyDescent="0.2">
      <c r="A490" s="25"/>
      <c r="H490" t="str">
        <f>IFERROR(VLOOKUP(G490,FILAMENTI_DB!$A:$C,3,FALSE),"")</f>
        <v/>
      </c>
      <c r="I490" t="str">
        <f>IFERROR(VLOOKUP(G490,FILAMENTI_DB!$A:$E,4,FALSE),"")</f>
        <v/>
      </c>
      <c r="J490" s="26"/>
      <c r="K490" s="27"/>
      <c r="L490" s="27"/>
      <c r="M490" s="27">
        <f t="shared" si="44"/>
        <v>0</v>
      </c>
      <c r="N490" s="26">
        <f t="shared" si="45"/>
        <v>0</v>
      </c>
      <c r="O490" s="26"/>
      <c r="P490" s="26"/>
      <c r="Q490" s="23"/>
      <c r="R490" s="23">
        <f t="shared" si="46"/>
        <v>0</v>
      </c>
      <c r="S490" s="23"/>
      <c r="T490" s="23">
        <f t="shared" si="47"/>
        <v>0</v>
      </c>
      <c r="U490" s="28" t="str">
        <f t="shared" si="48"/>
        <v/>
      </c>
      <c r="V490" s="10" t="str">
        <f>IFERROR(N490*VLOOKUP(G490,FILAMENTI_DB!$A:$J,10,FALSE),"")</f>
        <v/>
      </c>
      <c r="W490" s="23" t="str">
        <f>IFERROR((VLOOKUP(F490,STAMPANTI_DB!$A:$C,3,FALSE)/1000)*O490*SETTINGS!$C$6,"")</f>
        <v/>
      </c>
      <c r="X490" s="23" t="str">
        <f>IFERROR(O490*VLOOKUP(F490,STAMPANTI_DB!$A:$I,9,FALSE),"")</f>
        <v/>
      </c>
      <c r="Y490" s="23">
        <f>IFERROR(P490*SETTINGS!$C$7,"")</f>
        <v>0</v>
      </c>
      <c r="Z490" s="23">
        <f>SETTINGS!$C$11</f>
        <v>0.5</v>
      </c>
      <c r="AA490" s="23">
        <f t="shared" si="49"/>
        <v>0.5</v>
      </c>
      <c r="AB490" s="23">
        <f>IFERROR(AA490*SETTINGS!$C$9,"")</f>
        <v>2.5000000000000001E-2</v>
      </c>
      <c r="AC490" s="23">
        <f>IFERROR((AA490+AB490)*SETTINGS!$C$10,"")</f>
        <v>2.6250000000000002E-2</v>
      </c>
    </row>
    <row r="491" spans="1:29" ht="16" x14ac:dyDescent="0.2">
      <c r="A491" s="25"/>
      <c r="H491" t="str">
        <f>IFERROR(VLOOKUP(G491,FILAMENTI_DB!$A:$C,3,FALSE),"")</f>
        <v/>
      </c>
      <c r="I491" t="str">
        <f>IFERROR(VLOOKUP(G491,FILAMENTI_DB!$A:$E,4,FALSE),"")</f>
        <v/>
      </c>
      <c r="J491" s="26"/>
      <c r="K491" s="27"/>
      <c r="L491" s="27"/>
      <c r="M491" s="27">
        <f t="shared" si="44"/>
        <v>0</v>
      </c>
      <c r="N491" s="26">
        <f t="shared" si="45"/>
        <v>0</v>
      </c>
      <c r="O491" s="26"/>
      <c r="P491" s="26"/>
      <c r="Q491" s="23"/>
      <c r="R491" s="23">
        <f t="shared" si="46"/>
        <v>0</v>
      </c>
      <c r="S491" s="23"/>
      <c r="T491" s="23">
        <f t="shared" si="47"/>
        <v>0</v>
      </c>
      <c r="U491" s="28" t="str">
        <f t="shared" si="48"/>
        <v/>
      </c>
      <c r="V491" s="10" t="str">
        <f>IFERROR(N491*VLOOKUP(G491,FILAMENTI_DB!$A:$J,10,FALSE),"")</f>
        <v/>
      </c>
      <c r="W491" s="23" t="str">
        <f>IFERROR((VLOOKUP(F491,STAMPANTI_DB!$A:$C,3,FALSE)/1000)*O491*SETTINGS!$C$6,"")</f>
        <v/>
      </c>
      <c r="X491" s="23" t="str">
        <f>IFERROR(O491*VLOOKUP(F491,STAMPANTI_DB!$A:$I,9,FALSE),"")</f>
        <v/>
      </c>
      <c r="Y491" s="23">
        <f>IFERROR(P491*SETTINGS!$C$7,"")</f>
        <v>0</v>
      </c>
      <c r="Z491" s="23">
        <f>SETTINGS!$C$11</f>
        <v>0.5</v>
      </c>
      <c r="AA491" s="23">
        <f t="shared" si="49"/>
        <v>0.5</v>
      </c>
      <c r="AB491" s="23">
        <f>IFERROR(AA491*SETTINGS!$C$9,"")</f>
        <v>2.5000000000000001E-2</v>
      </c>
      <c r="AC491" s="23">
        <f>IFERROR((AA491+AB491)*SETTINGS!$C$10,"")</f>
        <v>2.6250000000000002E-2</v>
      </c>
    </row>
    <row r="492" spans="1:29" ht="16" x14ac:dyDescent="0.2">
      <c r="A492" s="25"/>
      <c r="H492" t="str">
        <f>IFERROR(VLOOKUP(G492,FILAMENTI_DB!$A:$C,3,FALSE),"")</f>
        <v/>
      </c>
      <c r="I492" t="str">
        <f>IFERROR(VLOOKUP(G492,FILAMENTI_DB!$A:$E,4,FALSE),"")</f>
        <v/>
      </c>
      <c r="J492" s="26"/>
      <c r="K492" s="27"/>
      <c r="L492" s="27"/>
      <c r="M492" s="27">
        <f t="shared" si="44"/>
        <v>0</v>
      </c>
      <c r="N492" s="26">
        <f t="shared" si="45"/>
        <v>0</v>
      </c>
      <c r="O492" s="26"/>
      <c r="P492" s="26"/>
      <c r="Q492" s="23"/>
      <c r="R492" s="23">
        <f t="shared" si="46"/>
        <v>0</v>
      </c>
      <c r="S492" s="23"/>
      <c r="T492" s="23">
        <f t="shared" si="47"/>
        <v>0</v>
      </c>
      <c r="U492" s="28" t="str">
        <f t="shared" si="48"/>
        <v/>
      </c>
      <c r="V492" s="10" t="str">
        <f>IFERROR(N492*VLOOKUP(G492,FILAMENTI_DB!$A:$J,10,FALSE),"")</f>
        <v/>
      </c>
      <c r="W492" s="23" t="str">
        <f>IFERROR((VLOOKUP(F492,STAMPANTI_DB!$A:$C,3,FALSE)/1000)*O492*SETTINGS!$C$6,"")</f>
        <v/>
      </c>
      <c r="X492" s="23" t="str">
        <f>IFERROR(O492*VLOOKUP(F492,STAMPANTI_DB!$A:$I,9,FALSE),"")</f>
        <v/>
      </c>
      <c r="Y492" s="23">
        <f>IFERROR(P492*SETTINGS!$C$7,"")</f>
        <v>0</v>
      </c>
      <c r="Z492" s="23">
        <f>SETTINGS!$C$11</f>
        <v>0.5</v>
      </c>
      <c r="AA492" s="23">
        <f t="shared" si="49"/>
        <v>0.5</v>
      </c>
      <c r="AB492" s="23">
        <f>IFERROR(AA492*SETTINGS!$C$9,"")</f>
        <v>2.5000000000000001E-2</v>
      </c>
      <c r="AC492" s="23">
        <f>IFERROR((AA492+AB492)*SETTINGS!$C$10,"")</f>
        <v>2.6250000000000002E-2</v>
      </c>
    </row>
    <row r="493" spans="1:29" ht="16" x14ac:dyDescent="0.2">
      <c r="A493" s="25"/>
      <c r="H493" t="str">
        <f>IFERROR(VLOOKUP(G493,FILAMENTI_DB!$A:$C,3,FALSE),"")</f>
        <v/>
      </c>
      <c r="I493" t="str">
        <f>IFERROR(VLOOKUP(G493,FILAMENTI_DB!$A:$E,4,FALSE),"")</f>
        <v/>
      </c>
      <c r="J493" s="26"/>
      <c r="K493" s="27"/>
      <c r="L493" s="27"/>
      <c r="M493" s="27">
        <f t="shared" si="44"/>
        <v>0</v>
      </c>
      <c r="N493" s="26">
        <f t="shared" si="45"/>
        <v>0</v>
      </c>
      <c r="O493" s="26"/>
      <c r="P493" s="26"/>
      <c r="Q493" s="23"/>
      <c r="R493" s="23">
        <f t="shared" si="46"/>
        <v>0</v>
      </c>
      <c r="S493" s="23"/>
      <c r="T493" s="23">
        <f t="shared" si="47"/>
        <v>0</v>
      </c>
      <c r="U493" s="28" t="str">
        <f t="shared" si="48"/>
        <v/>
      </c>
      <c r="V493" s="10" t="str">
        <f>IFERROR(N493*VLOOKUP(G493,FILAMENTI_DB!$A:$J,10,FALSE),"")</f>
        <v/>
      </c>
      <c r="W493" s="23" t="str">
        <f>IFERROR((VLOOKUP(F493,STAMPANTI_DB!$A:$C,3,FALSE)/1000)*O493*SETTINGS!$C$6,"")</f>
        <v/>
      </c>
      <c r="X493" s="23" t="str">
        <f>IFERROR(O493*VLOOKUP(F493,STAMPANTI_DB!$A:$I,9,FALSE),"")</f>
        <v/>
      </c>
      <c r="Y493" s="23">
        <f>IFERROR(P493*SETTINGS!$C$7,"")</f>
        <v>0</v>
      </c>
      <c r="Z493" s="23">
        <f>SETTINGS!$C$11</f>
        <v>0.5</v>
      </c>
      <c r="AA493" s="23">
        <f t="shared" si="49"/>
        <v>0.5</v>
      </c>
      <c r="AB493" s="23">
        <f>IFERROR(AA493*SETTINGS!$C$9,"")</f>
        <v>2.5000000000000001E-2</v>
      </c>
      <c r="AC493" s="23">
        <f>IFERROR((AA493+AB493)*SETTINGS!$C$10,"")</f>
        <v>2.6250000000000002E-2</v>
      </c>
    </row>
    <row r="494" spans="1:29" ht="16" x14ac:dyDescent="0.2">
      <c r="A494" s="25"/>
      <c r="H494" t="str">
        <f>IFERROR(VLOOKUP(G494,FILAMENTI_DB!$A:$C,3,FALSE),"")</f>
        <v/>
      </c>
      <c r="I494" t="str">
        <f>IFERROR(VLOOKUP(G494,FILAMENTI_DB!$A:$E,4,FALSE),"")</f>
        <v/>
      </c>
      <c r="J494" s="26"/>
      <c r="K494" s="27"/>
      <c r="L494" s="27"/>
      <c r="M494" s="27">
        <f t="shared" si="44"/>
        <v>0</v>
      </c>
      <c r="N494" s="26">
        <f t="shared" si="45"/>
        <v>0</v>
      </c>
      <c r="O494" s="26"/>
      <c r="P494" s="26"/>
      <c r="Q494" s="23"/>
      <c r="R494" s="23">
        <f t="shared" si="46"/>
        <v>0</v>
      </c>
      <c r="S494" s="23"/>
      <c r="T494" s="23">
        <f t="shared" si="47"/>
        <v>0</v>
      </c>
      <c r="U494" s="28" t="str">
        <f t="shared" si="48"/>
        <v/>
      </c>
      <c r="V494" s="10" t="str">
        <f>IFERROR(N494*VLOOKUP(G494,FILAMENTI_DB!$A:$J,10,FALSE),"")</f>
        <v/>
      </c>
      <c r="W494" s="23" t="str">
        <f>IFERROR((VLOOKUP(F494,STAMPANTI_DB!$A:$C,3,FALSE)/1000)*O494*SETTINGS!$C$6,"")</f>
        <v/>
      </c>
      <c r="X494" s="23" t="str">
        <f>IFERROR(O494*VLOOKUP(F494,STAMPANTI_DB!$A:$I,9,FALSE),"")</f>
        <v/>
      </c>
      <c r="Y494" s="23">
        <f>IFERROR(P494*SETTINGS!$C$7,"")</f>
        <v>0</v>
      </c>
      <c r="Z494" s="23">
        <f>SETTINGS!$C$11</f>
        <v>0.5</v>
      </c>
      <c r="AA494" s="23">
        <f t="shared" si="49"/>
        <v>0.5</v>
      </c>
      <c r="AB494" s="23">
        <f>IFERROR(AA494*SETTINGS!$C$9,"")</f>
        <v>2.5000000000000001E-2</v>
      </c>
      <c r="AC494" s="23">
        <f>IFERROR((AA494+AB494)*SETTINGS!$C$10,"")</f>
        <v>2.6250000000000002E-2</v>
      </c>
    </row>
    <row r="495" spans="1:29" ht="16" x14ac:dyDescent="0.2">
      <c r="A495" s="25"/>
      <c r="H495" t="str">
        <f>IFERROR(VLOOKUP(G495,FILAMENTI_DB!$A:$C,3,FALSE),"")</f>
        <v/>
      </c>
      <c r="I495" t="str">
        <f>IFERROR(VLOOKUP(G495,FILAMENTI_DB!$A:$E,4,FALSE),"")</f>
        <v/>
      </c>
      <c r="J495" s="26"/>
      <c r="K495" s="27"/>
      <c r="L495" s="27"/>
      <c r="M495" s="27">
        <f t="shared" si="44"/>
        <v>0</v>
      </c>
      <c r="N495" s="26">
        <f t="shared" si="45"/>
        <v>0</v>
      </c>
      <c r="O495" s="26"/>
      <c r="P495" s="26"/>
      <c r="Q495" s="23"/>
      <c r="R495" s="23">
        <f t="shared" si="46"/>
        <v>0</v>
      </c>
      <c r="S495" s="23"/>
      <c r="T495" s="23">
        <f t="shared" si="47"/>
        <v>0</v>
      </c>
      <c r="U495" s="28" t="str">
        <f t="shared" si="48"/>
        <v/>
      </c>
      <c r="V495" s="10" t="str">
        <f>IFERROR(N495*VLOOKUP(G495,FILAMENTI_DB!$A:$J,10,FALSE),"")</f>
        <v/>
      </c>
      <c r="W495" s="23" t="str">
        <f>IFERROR((VLOOKUP(F495,STAMPANTI_DB!$A:$C,3,FALSE)/1000)*O495*SETTINGS!$C$6,"")</f>
        <v/>
      </c>
      <c r="X495" s="23" t="str">
        <f>IFERROR(O495*VLOOKUP(F495,STAMPANTI_DB!$A:$I,9,FALSE),"")</f>
        <v/>
      </c>
      <c r="Y495" s="23">
        <f>IFERROR(P495*SETTINGS!$C$7,"")</f>
        <v>0</v>
      </c>
      <c r="Z495" s="23">
        <f>SETTINGS!$C$11</f>
        <v>0.5</v>
      </c>
      <c r="AA495" s="23">
        <f t="shared" si="49"/>
        <v>0.5</v>
      </c>
      <c r="AB495" s="23">
        <f>IFERROR(AA495*SETTINGS!$C$9,"")</f>
        <v>2.5000000000000001E-2</v>
      </c>
      <c r="AC495" s="23">
        <f>IFERROR((AA495+AB495)*SETTINGS!$C$10,"")</f>
        <v>2.6250000000000002E-2</v>
      </c>
    </row>
    <row r="496" spans="1:29" ht="16" x14ac:dyDescent="0.2">
      <c r="A496" s="25"/>
      <c r="H496" t="str">
        <f>IFERROR(VLOOKUP(G496,FILAMENTI_DB!$A:$C,3,FALSE),"")</f>
        <v/>
      </c>
      <c r="I496" t="str">
        <f>IFERROR(VLOOKUP(G496,FILAMENTI_DB!$A:$E,4,FALSE),"")</f>
        <v/>
      </c>
      <c r="J496" s="26"/>
      <c r="K496" s="27"/>
      <c r="L496" s="27"/>
      <c r="M496" s="27">
        <f t="shared" si="44"/>
        <v>0</v>
      </c>
      <c r="N496" s="26">
        <f t="shared" si="45"/>
        <v>0</v>
      </c>
      <c r="O496" s="26"/>
      <c r="P496" s="26"/>
      <c r="Q496" s="23"/>
      <c r="R496" s="23">
        <f t="shared" si="46"/>
        <v>0</v>
      </c>
      <c r="S496" s="23"/>
      <c r="T496" s="23">
        <f t="shared" si="47"/>
        <v>0</v>
      </c>
      <c r="U496" s="28" t="str">
        <f t="shared" si="48"/>
        <v/>
      </c>
      <c r="V496" s="10" t="str">
        <f>IFERROR(N496*VLOOKUP(G496,FILAMENTI_DB!$A:$J,10,FALSE),"")</f>
        <v/>
      </c>
      <c r="W496" s="23" t="str">
        <f>IFERROR((VLOOKUP(F496,STAMPANTI_DB!$A:$C,3,FALSE)/1000)*O496*SETTINGS!$C$6,"")</f>
        <v/>
      </c>
      <c r="X496" s="23" t="str">
        <f>IFERROR(O496*VLOOKUP(F496,STAMPANTI_DB!$A:$I,9,FALSE),"")</f>
        <v/>
      </c>
      <c r="Y496" s="23">
        <f>IFERROR(P496*SETTINGS!$C$7,"")</f>
        <v>0</v>
      </c>
      <c r="Z496" s="23">
        <f>SETTINGS!$C$11</f>
        <v>0.5</v>
      </c>
      <c r="AA496" s="23">
        <f t="shared" si="49"/>
        <v>0.5</v>
      </c>
      <c r="AB496" s="23">
        <f>IFERROR(AA496*SETTINGS!$C$9,"")</f>
        <v>2.5000000000000001E-2</v>
      </c>
      <c r="AC496" s="23">
        <f>IFERROR((AA496+AB496)*SETTINGS!$C$10,"")</f>
        <v>2.6250000000000002E-2</v>
      </c>
    </row>
    <row r="497" spans="1:29" ht="16" x14ac:dyDescent="0.2">
      <c r="A497" s="25"/>
      <c r="H497" t="str">
        <f>IFERROR(VLOOKUP(G497,FILAMENTI_DB!$A:$C,3,FALSE),"")</f>
        <v/>
      </c>
      <c r="I497" t="str">
        <f>IFERROR(VLOOKUP(G497,FILAMENTI_DB!$A:$E,4,FALSE),"")</f>
        <v/>
      </c>
      <c r="J497" s="26"/>
      <c r="K497" s="27"/>
      <c r="L497" s="27"/>
      <c r="M497" s="27">
        <f t="shared" si="44"/>
        <v>0</v>
      </c>
      <c r="N497" s="26">
        <f t="shared" si="45"/>
        <v>0</v>
      </c>
      <c r="O497" s="26"/>
      <c r="P497" s="26"/>
      <c r="Q497" s="23"/>
      <c r="R497" s="23">
        <f t="shared" si="46"/>
        <v>0</v>
      </c>
      <c r="S497" s="23"/>
      <c r="T497" s="23">
        <f t="shared" si="47"/>
        <v>0</v>
      </c>
      <c r="U497" s="28" t="str">
        <f t="shared" si="48"/>
        <v/>
      </c>
      <c r="V497" s="10" t="str">
        <f>IFERROR(N497*VLOOKUP(G497,FILAMENTI_DB!$A:$J,10,FALSE),"")</f>
        <v/>
      </c>
      <c r="W497" s="23" t="str">
        <f>IFERROR((VLOOKUP(F497,STAMPANTI_DB!$A:$C,3,FALSE)/1000)*O497*SETTINGS!$C$6,"")</f>
        <v/>
      </c>
      <c r="X497" s="23" t="str">
        <f>IFERROR(O497*VLOOKUP(F497,STAMPANTI_DB!$A:$I,9,FALSE),"")</f>
        <v/>
      </c>
      <c r="Y497" s="23">
        <f>IFERROR(P497*SETTINGS!$C$7,"")</f>
        <v>0</v>
      </c>
      <c r="Z497" s="23">
        <f>SETTINGS!$C$11</f>
        <v>0.5</v>
      </c>
      <c r="AA497" s="23">
        <f t="shared" si="49"/>
        <v>0.5</v>
      </c>
      <c r="AB497" s="23">
        <f>IFERROR(AA497*SETTINGS!$C$9,"")</f>
        <v>2.5000000000000001E-2</v>
      </c>
      <c r="AC497" s="23">
        <f>IFERROR((AA497+AB497)*SETTINGS!$C$10,"")</f>
        <v>2.6250000000000002E-2</v>
      </c>
    </row>
    <row r="498" spans="1:29" ht="16" x14ac:dyDescent="0.2">
      <c r="A498" s="25"/>
      <c r="H498" t="str">
        <f>IFERROR(VLOOKUP(G498,FILAMENTI_DB!$A:$C,3,FALSE),"")</f>
        <v/>
      </c>
      <c r="I498" t="str">
        <f>IFERROR(VLOOKUP(G498,FILAMENTI_DB!$A:$E,4,FALSE),"")</f>
        <v/>
      </c>
      <c r="J498" s="26"/>
      <c r="K498" s="27"/>
      <c r="L498" s="27"/>
      <c r="M498" s="27">
        <f t="shared" si="44"/>
        <v>0</v>
      </c>
      <c r="N498" s="26">
        <f t="shared" si="45"/>
        <v>0</v>
      </c>
      <c r="O498" s="26"/>
      <c r="P498" s="26"/>
      <c r="Q498" s="23"/>
      <c r="R498" s="23">
        <f t="shared" si="46"/>
        <v>0</v>
      </c>
      <c r="S498" s="23"/>
      <c r="T498" s="23">
        <f t="shared" si="47"/>
        <v>0</v>
      </c>
      <c r="U498" s="28" t="str">
        <f t="shared" si="48"/>
        <v/>
      </c>
      <c r="V498" s="10" t="str">
        <f>IFERROR(N498*VLOOKUP(G498,FILAMENTI_DB!$A:$J,10,FALSE),"")</f>
        <v/>
      </c>
      <c r="W498" s="23" t="str">
        <f>IFERROR((VLOOKUP(F498,STAMPANTI_DB!$A:$C,3,FALSE)/1000)*O498*SETTINGS!$C$6,"")</f>
        <v/>
      </c>
      <c r="X498" s="23" t="str">
        <f>IFERROR(O498*VLOOKUP(F498,STAMPANTI_DB!$A:$I,9,FALSE),"")</f>
        <v/>
      </c>
      <c r="Y498" s="23">
        <f>IFERROR(P498*SETTINGS!$C$7,"")</f>
        <v>0</v>
      </c>
      <c r="Z498" s="23">
        <f>SETTINGS!$C$11</f>
        <v>0.5</v>
      </c>
      <c r="AA498" s="23">
        <f t="shared" si="49"/>
        <v>0.5</v>
      </c>
      <c r="AB498" s="23">
        <f>IFERROR(AA498*SETTINGS!$C$9,"")</f>
        <v>2.5000000000000001E-2</v>
      </c>
      <c r="AC498" s="23">
        <f>IFERROR((AA498+AB498)*SETTINGS!$C$10,"")</f>
        <v>2.6250000000000002E-2</v>
      </c>
    </row>
    <row r="499" spans="1:29" ht="16" x14ac:dyDescent="0.2">
      <c r="A499" s="25"/>
      <c r="H499" t="str">
        <f>IFERROR(VLOOKUP(G499,FILAMENTI_DB!$A:$C,3,FALSE),"")</f>
        <v/>
      </c>
      <c r="I499" t="str">
        <f>IFERROR(VLOOKUP(G499,FILAMENTI_DB!$A:$E,4,FALSE),"")</f>
        <v/>
      </c>
      <c r="J499" s="26"/>
      <c r="K499" s="27"/>
      <c r="L499" s="27"/>
      <c r="M499" s="27">
        <f t="shared" si="44"/>
        <v>0</v>
      </c>
      <c r="N499" s="26">
        <f t="shared" si="45"/>
        <v>0</v>
      </c>
      <c r="O499" s="26"/>
      <c r="P499" s="26"/>
      <c r="Q499" s="23"/>
      <c r="R499" s="23">
        <f t="shared" si="46"/>
        <v>0</v>
      </c>
      <c r="S499" s="23"/>
      <c r="T499" s="23">
        <f t="shared" si="47"/>
        <v>0</v>
      </c>
      <c r="U499" s="28" t="str">
        <f t="shared" si="48"/>
        <v/>
      </c>
      <c r="V499" s="10" t="str">
        <f>IFERROR(N499*VLOOKUP(G499,FILAMENTI_DB!$A:$J,10,FALSE),"")</f>
        <v/>
      </c>
      <c r="W499" s="23" t="str">
        <f>IFERROR((VLOOKUP(F499,STAMPANTI_DB!$A:$C,3,FALSE)/1000)*O499*SETTINGS!$C$6,"")</f>
        <v/>
      </c>
      <c r="X499" s="23" t="str">
        <f>IFERROR(O499*VLOOKUP(F499,STAMPANTI_DB!$A:$I,9,FALSE),"")</f>
        <v/>
      </c>
      <c r="Y499" s="23">
        <f>IFERROR(P499*SETTINGS!$C$7,"")</f>
        <v>0</v>
      </c>
      <c r="Z499" s="23">
        <f>SETTINGS!$C$11</f>
        <v>0.5</v>
      </c>
      <c r="AA499" s="23">
        <f t="shared" si="49"/>
        <v>0.5</v>
      </c>
      <c r="AB499" s="23">
        <f>IFERROR(AA499*SETTINGS!$C$9,"")</f>
        <v>2.5000000000000001E-2</v>
      </c>
      <c r="AC499" s="23">
        <f>IFERROR((AA499+AB499)*SETTINGS!$C$10,"")</f>
        <v>2.6250000000000002E-2</v>
      </c>
    </row>
    <row r="500" spans="1:29" ht="16" x14ac:dyDescent="0.2">
      <c r="A500" s="25"/>
      <c r="H500" t="str">
        <f>IFERROR(VLOOKUP(G500,FILAMENTI_DB!$A:$C,3,FALSE),"")</f>
        <v/>
      </c>
      <c r="I500" t="str">
        <f>IFERROR(VLOOKUP(G500,FILAMENTI_DB!$A:$E,4,FALSE),"")</f>
        <v/>
      </c>
      <c r="J500" s="26"/>
      <c r="K500" s="27"/>
      <c r="L500" s="27"/>
      <c r="M500" s="27">
        <f t="shared" si="44"/>
        <v>0</v>
      </c>
      <c r="N500" s="26">
        <f t="shared" si="45"/>
        <v>0</v>
      </c>
      <c r="O500" s="26"/>
      <c r="P500" s="26"/>
      <c r="Q500" s="23"/>
      <c r="R500" s="23">
        <f t="shared" si="46"/>
        <v>0</v>
      </c>
      <c r="S500" s="23"/>
      <c r="T500" s="23">
        <f t="shared" si="47"/>
        <v>0</v>
      </c>
      <c r="U500" s="28" t="str">
        <f t="shared" si="48"/>
        <v/>
      </c>
      <c r="V500" s="10" t="str">
        <f>IFERROR(N500*VLOOKUP(G500,FILAMENTI_DB!$A:$J,10,FALSE),"")</f>
        <v/>
      </c>
      <c r="W500" s="23" t="str">
        <f>IFERROR((VLOOKUP(F500,STAMPANTI_DB!$A:$C,3,FALSE)/1000)*O500*SETTINGS!$C$6,"")</f>
        <v/>
      </c>
      <c r="X500" s="23" t="str">
        <f>IFERROR(O500*VLOOKUP(F500,STAMPANTI_DB!$A:$I,9,FALSE),"")</f>
        <v/>
      </c>
      <c r="Y500" s="23">
        <f>IFERROR(P500*SETTINGS!$C$7,"")</f>
        <v>0</v>
      </c>
      <c r="Z500" s="23">
        <f>SETTINGS!$C$11</f>
        <v>0.5</v>
      </c>
      <c r="AA500" s="23">
        <f t="shared" si="49"/>
        <v>0.5</v>
      </c>
      <c r="AB500" s="23">
        <f>IFERROR(AA500*SETTINGS!$C$9,"")</f>
        <v>2.5000000000000001E-2</v>
      </c>
      <c r="AC500" s="23">
        <f>IFERROR((AA500+AB500)*SETTINGS!$C$10,"")</f>
        <v>2.6250000000000002E-2</v>
      </c>
    </row>
    <row r="501" spans="1:29" ht="16" x14ac:dyDescent="0.2">
      <c r="A501" s="25"/>
      <c r="H501" t="str">
        <f>IFERROR(VLOOKUP(G501,FILAMENTI_DB!$A:$C,3,FALSE),"")</f>
        <v/>
      </c>
      <c r="I501" t="str">
        <f>IFERROR(VLOOKUP(G501,FILAMENTI_DB!$A:$E,4,FALSE),"")</f>
        <v/>
      </c>
      <c r="J501" s="26"/>
      <c r="K501" s="27"/>
      <c r="L501" s="27"/>
      <c r="M501" s="27">
        <f t="shared" si="44"/>
        <v>0</v>
      </c>
      <c r="N501" s="26">
        <f t="shared" si="45"/>
        <v>0</v>
      </c>
      <c r="O501" s="26"/>
      <c r="P501" s="26"/>
      <c r="Q501" s="23"/>
      <c r="R501" s="23">
        <f t="shared" si="46"/>
        <v>0</v>
      </c>
      <c r="S501" s="23"/>
      <c r="T501" s="23">
        <f t="shared" si="47"/>
        <v>0</v>
      </c>
      <c r="U501" s="28" t="str">
        <f t="shared" si="48"/>
        <v/>
      </c>
      <c r="V501" s="10" t="str">
        <f>IFERROR(N501*VLOOKUP(G501,FILAMENTI_DB!$A:$J,10,FALSE),"")</f>
        <v/>
      </c>
      <c r="W501" s="23" t="str">
        <f>IFERROR((VLOOKUP(F501,STAMPANTI_DB!$A:$C,3,FALSE)/1000)*O501*SETTINGS!$C$6,"")</f>
        <v/>
      </c>
      <c r="X501" s="23" t="str">
        <f>IFERROR(O501*VLOOKUP(F501,STAMPANTI_DB!$A:$I,9,FALSE),"")</f>
        <v/>
      </c>
      <c r="Y501" s="23">
        <f>IFERROR(P501*SETTINGS!$C$7,"")</f>
        <v>0</v>
      </c>
      <c r="Z501" s="23">
        <f>SETTINGS!$C$11</f>
        <v>0.5</v>
      </c>
      <c r="AA501" s="23">
        <f t="shared" si="49"/>
        <v>0.5</v>
      </c>
      <c r="AB501" s="23">
        <f>IFERROR(AA501*SETTINGS!$C$9,"")</f>
        <v>2.5000000000000001E-2</v>
      </c>
      <c r="AC501" s="23">
        <f>IFERROR((AA501+AB501)*SETTINGS!$C$10,"")</f>
        <v>2.6250000000000002E-2</v>
      </c>
    </row>
    <row r="502" spans="1:29" ht="16" x14ac:dyDescent="0.2">
      <c r="A502" s="25"/>
      <c r="H502" t="str">
        <f>IFERROR(VLOOKUP(G502,FILAMENTI_DB!$A:$C,3,FALSE),"")</f>
        <v/>
      </c>
      <c r="I502" t="str">
        <f>IFERROR(VLOOKUP(G502,FILAMENTI_DB!$A:$E,4,FALSE),"")</f>
        <v/>
      </c>
      <c r="J502" s="26"/>
      <c r="K502" s="27"/>
      <c r="L502" s="27"/>
      <c r="M502" s="27">
        <f t="shared" si="44"/>
        <v>0</v>
      </c>
      <c r="N502" s="26">
        <f t="shared" si="45"/>
        <v>0</v>
      </c>
      <c r="O502" s="26"/>
      <c r="P502" s="26"/>
      <c r="Q502" s="23"/>
      <c r="R502" s="23">
        <f t="shared" si="46"/>
        <v>0</v>
      </c>
      <c r="S502" s="23"/>
      <c r="T502" s="23">
        <f t="shared" si="47"/>
        <v>0</v>
      </c>
      <c r="U502" s="28" t="str">
        <f t="shared" si="48"/>
        <v/>
      </c>
      <c r="V502" s="10" t="str">
        <f>IFERROR(N502*VLOOKUP(G502,FILAMENTI_DB!$A:$J,10,FALSE),"")</f>
        <v/>
      </c>
      <c r="W502" s="23" t="str">
        <f>IFERROR((VLOOKUP(F502,STAMPANTI_DB!$A:$C,3,FALSE)/1000)*O502*SETTINGS!$C$6,"")</f>
        <v/>
      </c>
      <c r="X502" s="23" t="str">
        <f>IFERROR(O502*VLOOKUP(F502,STAMPANTI_DB!$A:$I,9,FALSE),"")</f>
        <v/>
      </c>
      <c r="Y502" s="23">
        <f>IFERROR(P502*SETTINGS!$C$7,"")</f>
        <v>0</v>
      </c>
      <c r="Z502" s="23">
        <f>SETTINGS!$C$11</f>
        <v>0.5</v>
      </c>
      <c r="AA502" s="23">
        <f t="shared" si="49"/>
        <v>0.5</v>
      </c>
      <c r="AB502" s="23">
        <f>IFERROR(AA502*SETTINGS!$C$9,"")</f>
        <v>2.5000000000000001E-2</v>
      </c>
      <c r="AC502" s="23">
        <f>IFERROR((AA502+AB502)*SETTINGS!$C$10,"")</f>
        <v>2.6250000000000002E-2</v>
      </c>
    </row>
    <row r="503" spans="1:29" ht="16" x14ac:dyDescent="0.2">
      <c r="A503" s="25"/>
      <c r="H503" t="str">
        <f>IFERROR(VLOOKUP(G503,FILAMENTI_DB!$A:$C,3,FALSE),"")</f>
        <v/>
      </c>
      <c r="I503" t="str">
        <f>IFERROR(VLOOKUP(G503,FILAMENTI_DB!$A:$E,4,FALSE),"")</f>
        <v/>
      </c>
      <c r="J503" s="26"/>
      <c r="K503" s="27"/>
      <c r="L503" s="27"/>
      <c r="M503" s="27">
        <f t="shared" si="44"/>
        <v>0</v>
      </c>
      <c r="N503" s="26">
        <f t="shared" si="45"/>
        <v>0</v>
      </c>
      <c r="O503" s="26"/>
      <c r="P503" s="26"/>
      <c r="Q503" s="23"/>
      <c r="R503" s="23">
        <f t="shared" si="46"/>
        <v>0</v>
      </c>
      <c r="S503" s="23"/>
      <c r="T503" s="23">
        <f t="shared" si="47"/>
        <v>0</v>
      </c>
      <c r="U503" s="28" t="str">
        <f t="shared" si="48"/>
        <v/>
      </c>
      <c r="V503" s="10" t="str">
        <f>IFERROR(N503*VLOOKUP(G503,FILAMENTI_DB!$A:$J,10,FALSE),"")</f>
        <v/>
      </c>
      <c r="W503" s="23" t="str">
        <f>IFERROR((VLOOKUP(F503,STAMPANTI_DB!$A:$C,3,FALSE)/1000)*O503*SETTINGS!$C$6,"")</f>
        <v/>
      </c>
      <c r="X503" s="23" t="str">
        <f>IFERROR(O503*VLOOKUP(F503,STAMPANTI_DB!$A:$I,9,FALSE),"")</f>
        <v/>
      </c>
      <c r="Y503" s="23">
        <f>IFERROR(P503*SETTINGS!$C$7,"")</f>
        <v>0</v>
      </c>
      <c r="Z503" s="23">
        <f>SETTINGS!$C$11</f>
        <v>0.5</v>
      </c>
      <c r="AA503" s="23">
        <f t="shared" si="49"/>
        <v>0.5</v>
      </c>
      <c r="AB503" s="23">
        <f>IFERROR(AA503*SETTINGS!$C$9,"")</f>
        <v>2.5000000000000001E-2</v>
      </c>
      <c r="AC503" s="23">
        <f>IFERROR((AA503+AB503)*SETTINGS!$C$10,"")</f>
        <v>2.6250000000000002E-2</v>
      </c>
    </row>
    <row r="504" spans="1:29" ht="16" x14ac:dyDescent="0.2">
      <c r="A504" s="25"/>
      <c r="H504" t="str">
        <f>IFERROR(VLOOKUP(G504,FILAMENTI_DB!$A:$C,3,FALSE),"")</f>
        <v/>
      </c>
      <c r="I504" t="str">
        <f>IFERROR(VLOOKUP(G504,FILAMENTI_DB!$A:$E,4,FALSE),"")</f>
        <v/>
      </c>
      <c r="J504" s="26"/>
      <c r="K504" s="27"/>
      <c r="L504" s="27"/>
      <c r="M504" s="27">
        <f t="shared" si="44"/>
        <v>0</v>
      </c>
      <c r="N504" s="26">
        <f t="shared" si="45"/>
        <v>0</v>
      </c>
      <c r="O504" s="26"/>
      <c r="P504" s="26"/>
      <c r="Q504" s="23"/>
      <c r="R504" s="23">
        <f t="shared" si="46"/>
        <v>0</v>
      </c>
      <c r="S504" s="23"/>
      <c r="T504" s="23">
        <f t="shared" si="47"/>
        <v>0</v>
      </c>
      <c r="U504" s="28" t="str">
        <f t="shared" si="48"/>
        <v/>
      </c>
      <c r="V504" s="10" t="str">
        <f>IFERROR(N504*VLOOKUP(G504,FILAMENTI_DB!$A:$J,10,FALSE),"")</f>
        <v/>
      </c>
      <c r="W504" s="23" t="str">
        <f>IFERROR((VLOOKUP(F504,STAMPANTI_DB!$A:$C,3,FALSE)/1000)*O504*SETTINGS!$C$6,"")</f>
        <v/>
      </c>
      <c r="X504" s="23" t="str">
        <f>IFERROR(O504*VLOOKUP(F504,STAMPANTI_DB!$A:$I,9,FALSE),"")</f>
        <v/>
      </c>
      <c r="Y504" s="23">
        <f>IFERROR(P504*SETTINGS!$C$7,"")</f>
        <v>0</v>
      </c>
      <c r="Z504" s="23">
        <f>SETTINGS!$C$11</f>
        <v>0.5</v>
      </c>
      <c r="AA504" s="23">
        <f t="shared" si="49"/>
        <v>0.5</v>
      </c>
      <c r="AB504" s="23">
        <f>IFERROR(AA504*SETTINGS!$C$9,"")</f>
        <v>2.5000000000000001E-2</v>
      </c>
      <c r="AC504" s="23">
        <f>IFERROR((AA504+AB504)*SETTINGS!$C$10,"")</f>
        <v>2.6250000000000002E-2</v>
      </c>
    </row>
    <row r="505" spans="1:29" ht="16" x14ac:dyDescent="0.2">
      <c r="A505" s="25"/>
      <c r="H505" t="str">
        <f>IFERROR(VLOOKUP(G505,FILAMENTI_DB!$A:$C,3,FALSE),"")</f>
        <v/>
      </c>
      <c r="I505" t="str">
        <f>IFERROR(VLOOKUP(G505,FILAMENTI_DB!$A:$E,4,FALSE),"")</f>
        <v/>
      </c>
      <c r="J505" s="26"/>
      <c r="K505" s="27"/>
      <c r="L505" s="27"/>
      <c r="M505" s="27">
        <f t="shared" si="44"/>
        <v>0</v>
      </c>
      <c r="N505" s="26">
        <f t="shared" si="45"/>
        <v>0</v>
      </c>
      <c r="O505" s="26"/>
      <c r="P505" s="26"/>
      <c r="Q505" s="23"/>
      <c r="R505" s="23">
        <f t="shared" si="46"/>
        <v>0</v>
      </c>
      <c r="S505" s="23"/>
      <c r="T505" s="23">
        <f t="shared" si="47"/>
        <v>0</v>
      </c>
      <c r="U505" s="28" t="str">
        <f t="shared" si="48"/>
        <v/>
      </c>
      <c r="V505" s="10" t="str">
        <f>IFERROR(N505*VLOOKUP(G505,FILAMENTI_DB!$A:$J,10,FALSE),"")</f>
        <v/>
      </c>
      <c r="W505" s="23" t="str">
        <f>IFERROR((VLOOKUP(F505,STAMPANTI_DB!$A:$C,3,FALSE)/1000)*O505*SETTINGS!$C$6,"")</f>
        <v/>
      </c>
      <c r="X505" s="23" t="str">
        <f>IFERROR(O505*VLOOKUP(F505,STAMPANTI_DB!$A:$I,9,FALSE),"")</f>
        <v/>
      </c>
      <c r="Y505" s="23">
        <f>IFERROR(P505*SETTINGS!$C$7,"")</f>
        <v>0</v>
      </c>
      <c r="Z505" s="23">
        <f>SETTINGS!$C$11</f>
        <v>0.5</v>
      </c>
      <c r="AA505" s="23">
        <f t="shared" si="49"/>
        <v>0.5</v>
      </c>
      <c r="AB505" s="23">
        <f>IFERROR(AA505*SETTINGS!$C$9,"")</f>
        <v>2.5000000000000001E-2</v>
      </c>
      <c r="AC505" s="23">
        <f>IFERROR((AA505+AB505)*SETTINGS!$C$10,"")</f>
        <v>2.6250000000000002E-2</v>
      </c>
    </row>
    <row r="506" spans="1:29" ht="16" x14ac:dyDescent="0.2">
      <c r="A506" s="25"/>
      <c r="H506" t="str">
        <f>IFERROR(VLOOKUP(G506,FILAMENTI_DB!$A:$C,3,FALSE),"")</f>
        <v/>
      </c>
      <c r="I506" t="str">
        <f>IFERROR(VLOOKUP(G506,FILAMENTI_DB!$A:$E,4,FALSE),"")</f>
        <v/>
      </c>
      <c r="J506" s="26"/>
      <c r="K506" s="27"/>
      <c r="L506" s="27"/>
      <c r="M506" s="27">
        <f t="shared" si="44"/>
        <v>0</v>
      </c>
      <c r="N506" s="26">
        <f t="shared" si="45"/>
        <v>0</v>
      </c>
      <c r="O506" s="26"/>
      <c r="P506" s="26"/>
      <c r="Q506" s="23"/>
      <c r="R506" s="23">
        <f t="shared" si="46"/>
        <v>0</v>
      </c>
      <c r="S506" s="23"/>
      <c r="T506" s="23">
        <f t="shared" si="47"/>
        <v>0</v>
      </c>
      <c r="U506" s="28" t="str">
        <f t="shared" si="48"/>
        <v/>
      </c>
      <c r="V506" s="10" t="str">
        <f>IFERROR(N506*VLOOKUP(G506,FILAMENTI_DB!$A:$J,10,FALSE),"")</f>
        <v/>
      </c>
      <c r="W506" s="23" t="str">
        <f>IFERROR((VLOOKUP(F506,STAMPANTI_DB!$A:$C,3,FALSE)/1000)*O506*SETTINGS!$C$6,"")</f>
        <v/>
      </c>
      <c r="X506" s="23" t="str">
        <f>IFERROR(O506*VLOOKUP(F506,STAMPANTI_DB!$A:$I,9,FALSE),"")</f>
        <v/>
      </c>
      <c r="Y506" s="23">
        <f>IFERROR(P506*SETTINGS!$C$7,"")</f>
        <v>0</v>
      </c>
      <c r="Z506" s="23">
        <f>SETTINGS!$C$11</f>
        <v>0.5</v>
      </c>
      <c r="AA506" s="23">
        <f t="shared" si="49"/>
        <v>0.5</v>
      </c>
      <c r="AB506" s="23">
        <f>IFERROR(AA506*SETTINGS!$C$9,"")</f>
        <v>2.5000000000000001E-2</v>
      </c>
      <c r="AC506" s="23">
        <f>IFERROR((AA506+AB506)*SETTINGS!$C$10,"")</f>
        <v>2.6250000000000002E-2</v>
      </c>
    </row>
    <row r="507" spans="1:29" ht="16" x14ac:dyDescent="0.2">
      <c r="A507" s="25"/>
      <c r="H507" t="str">
        <f>IFERROR(VLOOKUP(G507,FILAMENTI_DB!$A:$C,3,FALSE),"")</f>
        <v/>
      </c>
      <c r="I507" t="str">
        <f>IFERROR(VLOOKUP(G507,FILAMENTI_DB!$A:$E,4,FALSE),"")</f>
        <v/>
      </c>
      <c r="J507" s="26"/>
      <c r="K507" s="27"/>
      <c r="L507" s="27"/>
      <c r="M507" s="27">
        <f t="shared" si="44"/>
        <v>0</v>
      </c>
      <c r="N507" s="26">
        <f t="shared" si="45"/>
        <v>0</v>
      </c>
      <c r="O507" s="26"/>
      <c r="P507" s="26"/>
      <c r="Q507" s="23"/>
      <c r="R507" s="23">
        <f t="shared" si="46"/>
        <v>0</v>
      </c>
      <c r="S507" s="23"/>
      <c r="T507" s="23">
        <f t="shared" si="47"/>
        <v>0</v>
      </c>
      <c r="U507" s="28" t="str">
        <f t="shared" si="48"/>
        <v/>
      </c>
      <c r="V507" s="10" t="str">
        <f>IFERROR(N507*VLOOKUP(G507,FILAMENTI_DB!$A:$J,10,FALSE),"")</f>
        <v/>
      </c>
      <c r="W507" s="23" t="str">
        <f>IFERROR((VLOOKUP(F507,STAMPANTI_DB!$A:$C,3,FALSE)/1000)*O507*SETTINGS!$C$6,"")</f>
        <v/>
      </c>
      <c r="X507" s="23" t="str">
        <f>IFERROR(O507*VLOOKUP(F507,STAMPANTI_DB!$A:$I,9,FALSE),"")</f>
        <v/>
      </c>
      <c r="Y507" s="23">
        <f>IFERROR(P507*SETTINGS!$C$7,"")</f>
        <v>0</v>
      </c>
      <c r="Z507" s="23">
        <f>SETTINGS!$C$11</f>
        <v>0.5</v>
      </c>
      <c r="AA507" s="23">
        <f t="shared" si="49"/>
        <v>0.5</v>
      </c>
      <c r="AB507" s="23">
        <f>IFERROR(AA507*SETTINGS!$C$9,"")</f>
        <v>2.5000000000000001E-2</v>
      </c>
      <c r="AC507" s="23">
        <f>IFERROR((AA507+AB507)*SETTINGS!$C$10,"")</f>
        <v>2.6250000000000002E-2</v>
      </c>
    </row>
    <row r="508" spans="1:29" ht="16" x14ac:dyDescent="0.2">
      <c r="A508" s="25"/>
      <c r="H508" t="str">
        <f>IFERROR(VLOOKUP(G508,FILAMENTI_DB!$A:$C,3,FALSE),"")</f>
        <v/>
      </c>
      <c r="I508" t="str">
        <f>IFERROR(VLOOKUP(G508,FILAMENTI_DB!$A:$E,4,FALSE),"")</f>
        <v/>
      </c>
      <c r="J508" s="26"/>
      <c r="K508" s="27"/>
      <c r="L508" s="27"/>
      <c r="M508" s="27">
        <f t="shared" si="44"/>
        <v>0</v>
      </c>
      <c r="N508" s="26">
        <f t="shared" si="45"/>
        <v>0</v>
      </c>
      <c r="O508" s="26"/>
      <c r="P508" s="26"/>
      <c r="Q508" s="23"/>
      <c r="R508" s="23">
        <f t="shared" si="46"/>
        <v>0</v>
      </c>
      <c r="S508" s="23"/>
      <c r="T508" s="23">
        <f t="shared" si="47"/>
        <v>0</v>
      </c>
      <c r="U508" s="28" t="str">
        <f t="shared" si="48"/>
        <v/>
      </c>
      <c r="V508" s="10" t="str">
        <f>IFERROR(N508*VLOOKUP(G508,FILAMENTI_DB!$A:$J,10,FALSE),"")</f>
        <v/>
      </c>
      <c r="W508" s="23" t="str">
        <f>IFERROR((VLOOKUP(F508,STAMPANTI_DB!$A:$C,3,FALSE)/1000)*O508*SETTINGS!$C$6,"")</f>
        <v/>
      </c>
      <c r="X508" s="23" t="str">
        <f>IFERROR(O508*VLOOKUP(F508,STAMPANTI_DB!$A:$I,9,FALSE),"")</f>
        <v/>
      </c>
      <c r="Y508" s="23">
        <f>IFERROR(P508*SETTINGS!$C$7,"")</f>
        <v>0</v>
      </c>
      <c r="Z508" s="23">
        <f>SETTINGS!$C$11</f>
        <v>0.5</v>
      </c>
      <c r="AA508" s="23">
        <f t="shared" si="49"/>
        <v>0.5</v>
      </c>
      <c r="AB508" s="23">
        <f>IFERROR(AA508*SETTINGS!$C$9,"")</f>
        <v>2.5000000000000001E-2</v>
      </c>
      <c r="AC508" s="23">
        <f>IFERROR((AA508+AB508)*SETTINGS!$C$10,"")</f>
        <v>2.6250000000000002E-2</v>
      </c>
    </row>
    <row r="509" spans="1:29" ht="16" x14ac:dyDescent="0.2">
      <c r="A509" s="25"/>
      <c r="H509" t="str">
        <f>IFERROR(VLOOKUP(G509,FILAMENTI_DB!$A:$C,3,FALSE),"")</f>
        <v/>
      </c>
      <c r="I509" t="str">
        <f>IFERROR(VLOOKUP(G509,FILAMENTI_DB!$A:$E,4,FALSE),"")</f>
        <v/>
      </c>
      <c r="J509" s="26"/>
      <c r="K509" s="27"/>
      <c r="L509" s="27"/>
      <c r="M509" s="27">
        <f t="shared" si="44"/>
        <v>0</v>
      </c>
      <c r="N509" s="26">
        <f t="shared" si="45"/>
        <v>0</v>
      </c>
      <c r="O509" s="26"/>
      <c r="P509" s="26"/>
      <c r="Q509" s="23"/>
      <c r="R509" s="23">
        <f t="shared" si="46"/>
        <v>0</v>
      </c>
      <c r="S509" s="23"/>
      <c r="T509" s="23">
        <f t="shared" si="47"/>
        <v>0</v>
      </c>
      <c r="U509" s="28" t="str">
        <f t="shared" si="48"/>
        <v/>
      </c>
      <c r="V509" s="10" t="str">
        <f>IFERROR(N509*VLOOKUP(G509,FILAMENTI_DB!$A:$J,10,FALSE),"")</f>
        <v/>
      </c>
      <c r="W509" s="23" t="str">
        <f>IFERROR((VLOOKUP(F509,STAMPANTI_DB!$A:$C,3,FALSE)/1000)*O509*SETTINGS!$C$6,"")</f>
        <v/>
      </c>
      <c r="X509" s="23" t="str">
        <f>IFERROR(O509*VLOOKUP(F509,STAMPANTI_DB!$A:$I,9,FALSE),"")</f>
        <v/>
      </c>
      <c r="Y509" s="23">
        <f>IFERROR(P509*SETTINGS!$C$7,"")</f>
        <v>0</v>
      </c>
      <c r="Z509" s="23">
        <f>SETTINGS!$C$11</f>
        <v>0.5</v>
      </c>
      <c r="AA509" s="23">
        <f t="shared" si="49"/>
        <v>0.5</v>
      </c>
      <c r="AB509" s="23">
        <f>IFERROR(AA509*SETTINGS!$C$9,"")</f>
        <v>2.5000000000000001E-2</v>
      </c>
      <c r="AC509" s="23">
        <f>IFERROR((AA509+AB509)*SETTINGS!$C$10,"")</f>
        <v>2.6250000000000002E-2</v>
      </c>
    </row>
    <row r="510" spans="1:29" ht="16" x14ac:dyDescent="0.2">
      <c r="A510" s="25"/>
      <c r="H510" t="str">
        <f>IFERROR(VLOOKUP(G510,FILAMENTI_DB!$A:$C,3,FALSE),"")</f>
        <v/>
      </c>
      <c r="I510" t="str">
        <f>IFERROR(VLOOKUP(G510,FILAMENTI_DB!$A:$E,4,FALSE),"")</f>
        <v/>
      </c>
      <c r="J510" s="26"/>
      <c r="K510" s="27"/>
      <c r="L510" s="27"/>
      <c r="M510" s="27">
        <f t="shared" si="44"/>
        <v>0</v>
      </c>
      <c r="N510" s="26">
        <f t="shared" si="45"/>
        <v>0</v>
      </c>
      <c r="O510" s="26"/>
      <c r="P510" s="26"/>
      <c r="Q510" s="23"/>
      <c r="R510" s="23">
        <f t="shared" si="46"/>
        <v>0</v>
      </c>
      <c r="S510" s="23"/>
      <c r="T510" s="23">
        <f t="shared" si="47"/>
        <v>0</v>
      </c>
      <c r="U510" s="28" t="str">
        <f t="shared" si="48"/>
        <v/>
      </c>
      <c r="V510" s="10" t="str">
        <f>IFERROR(N510*VLOOKUP(G510,FILAMENTI_DB!$A:$J,10,FALSE),"")</f>
        <v/>
      </c>
      <c r="W510" s="23" t="str">
        <f>IFERROR((VLOOKUP(F510,STAMPANTI_DB!$A:$C,3,FALSE)/1000)*O510*SETTINGS!$C$6,"")</f>
        <v/>
      </c>
      <c r="X510" s="23" t="str">
        <f>IFERROR(O510*VLOOKUP(F510,STAMPANTI_DB!$A:$I,9,FALSE),"")</f>
        <v/>
      </c>
      <c r="Y510" s="23">
        <f>IFERROR(P510*SETTINGS!$C$7,"")</f>
        <v>0</v>
      </c>
      <c r="Z510" s="23">
        <f>SETTINGS!$C$11</f>
        <v>0.5</v>
      </c>
      <c r="AA510" s="23">
        <f t="shared" si="49"/>
        <v>0.5</v>
      </c>
      <c r="AB510" s="23">
        <f>IFERROR(AA510*SETTINGS!$C$9,"")</f>
        <v>2.5000000000000001E-2</v>
      </c>
      <c r="AC510" s="23">
        <f>IFERROR((AA510+AB510)*SETTINGS!$C$10,"")</f>
        <v>2.6250000000000002E-2</v>
      </c>
    </row>
    <row r="511" spans="1:29" ht="16" x14ac:dyDescent="0.2">
      <c r="A511" s="25"/>
      <c r="H511" t="str">
        <f>IFERROR(VLOOKUP(G511,FILAMENTI_DB!$A:$C,3,FALSE),"")</f>
        <v/>
      </c>
      <c r="I511" t="str">
        <f>IFERROR(VLOOKUP(G511,FILAMENTI_DB!$A:$E,4,FALSE),"")</f>
        <v/>
      </c>
      <c r="J511" s="26"/>
      <c r="K511" s="27"/>
      <c r="L511" s="27"/>
      <c r="M511" s="27">
        <f t="shared" si="44"/>
        <v>0</v>
      </c>
      <c r="N511" s="26">
        <f t="shared" si="45"/>
        <v>0</v>
      </c>
      <c r="O511" s="26"/>
      <c r="P511" s="26"/>
      <c r="Q511" s="23"/>
      <c r="R511" s="23">
        <f t="shared" si="46"/>
        <v>0</v>
      </c>
      <c r="S511" s="23"/>
      <c r="T511" s="23">
        <f t="shared" si="47"/>
        <v>0</v>
      </c>
      <c r="U511" s="28" t="str">
        <f t="shared" si="48"/>
        <v/>
      </c>
      <c r="V511" s="10" t="str">
        <f>IFERROR(N511*VLOOKUP(G511,FILAMENTI_DB!$A:$J,10,FALSE),"")</f>
        <v/>
      </c>
      <c r="W511" s="23" t="str">
        <f>IFERROR((VLOOKUP(F511,STAMPANTI_DB!$A:$C,3,FALSE)/1000)*O511*SETTINGS!$C$6,"")</f>
        <v/>
      </c>
      <c r="X511" s="23" t="str">
        <f>IFERROR(O511*VLOOKUP(F511,STAMPANTI_DB!$A:$I,9,FALSE),"")</f>
        <v/>
      </c>
      <c r="Y511" s="23">
        <f>IFERROR(P511*SETTINGS!$C$7,"")</f>
        <v>0</v>
      </c>
      <c r="Z511" s="23">
        <f>SETTINGS!$C$11</f>
        <v>0.5</v>
      </c>
      <c r="AA511" s="23">
        <f t="shared" si="49"/>
        <v>0.5</v>
      </c>
      <c r="AB511" s="23">
        <f>IFERROR(AA511*SETTINGS!$C$9,"")</f>
        <v>2.5000000000000001E-2</v>
      </c>
      <c r="AC511" s="23">
        <f>IFERROR((AA511+AB511)*SETTINGS!$C$10,"")</f>
        <v>2.6250000000000002E-2</v>
      </c>
    </row>
    <row r="512" spans="1:29" ht="16" x14ac:dyDescent="0.2">
      <c r="A512" s="25"/>
      <c r="H512" t="str">
        <f>IFERROR(VLOOKUP(G512,FILAMENTI_DB!$A:$C,3,FALSE),"")</f>
        <v/>
      </c>
      <c r="I512" t="str">
        <f>IFERROR(VLOOKUP(G512,FILAMENTI_DB!$A:$E,4,FALSE),"")</f>
        <v/>
      </c>
      <c r="J512" s="26"/>
      <c r="K512" s="27"/>
      <c r="L512" s="27"/>
      <c r="M512" s="27">
        <f t="shared" si="44"/>
        <v>0</v>
      </c>
      <c r="N512" s="26">
        <f t="shared" si="45"/>
        <v>0</v>
      </c>
      <c r="O512" s="26"/>
      <c r="P512" s="26"/>
      <c r="Q512" s="23"/>
      <c r="R512" s="23">
        <f t="shared" si="46"/>
        <v>0</v>
      </c>
      <c r="S512" s="23"/>
      <c r="T512" s="23">
        <f t="shared" si="47"/>
        <v>0</v>
      </c>
      <c r="U512" s="28" t="str">
        <f t="shared" si="48"/>
        <v/>
      </c>
      <c r="V512" s="10" t="str">
        <f>IFERROR(N512*VLOOKUP(G512,FILAMENTI_DB!$A:$J,10,FALSE),"")</f>
        <v/>
      </c>
      <c r="W512" s="23" t="str">
        <f>IFERROR((VLOOKUP(F512,STAMPANTI_DB!$A:$C,3,FALSE)/1000)*O512*SETTINGS!$C$6,"")</f>
        <v/>
      </c>
      <c r="X512" s="23" t="str">
        <f>IFERROR(O512*VLOOKUP(F512,STAMPANTI_DB!$A:$I,9,FALSE),"")</f>
        <v/>
      </c>
      <c r="Y512" s="23">
        <f>IFERROR(P512*SETTINGS!$C$7,"")</f>
        <v>0</v>
      </c>
      <c r="Z512" s="23">
        <f>SETTINGS!$C$11</f>
        <v>0.5</v>
      </c>
      <c r="AA512" s="23">
        <f t="shared" si="49"/>
        <v>0.5</v>
      </c>
      <c r="AB512" s="23">
        <f>IFERROR(AA512*SETTINGS!$C$9,"")</f>
        <v>2.5000000000000001E-2</v>
      </c>
      <c r="AC512" s="23">
        <f>IFERROR((AA512+AB512)*SETTINGS!$C$10,"")</f>
        <v>2.6250000000000002E-2</v>
      </c>
    </row>
    <row r="513" spans="1:29" ht="16" x14ac:dyDescent="0.2">
      <c r="A513" s="25"/>
      <c r="H513" t="str">
        <f>IFERROR(VLOOKUP(G513,FILAMENTI_DB!$A:$C,3,FALSE),"")</f>
        <v/>
      </c>
      <c r="I513" t="str">
        <f>IFERROR(VLOOKUP(G513,FILAMENTI_DB!$A:$E,4,FALSE),"")</f>
        <v/>
      </c>
      <c r="J513" s="26"/>
      <c r="K513" s="27"/>
      <c r="L513" s="27"/>
      <c r="M513" s="27">
        <f t="shared" si="44"/>
        <v>0</v>
      </c>
      <c r="N513" s="26">
        <f t="shared" si="45"/>
        <v>0</v>
      </c>
      <c r="O513" s="26"/>
      <c r="P513" s="26"/>
      <c r="Q513" s="23"/>
      <c r="R513" s="23">
        <f t="shared" si="46"/>
        <v>0</v>
      </c>
      <c r="S513" s="23"/>
      <c r="T513" s="23">
        <f t="shared" si="47"/>
        <v>0</v>
      </c>
      <c r="U513" s="28" t="str">
        <f t="shared" si="48"/>
        <v/>
      </c>
      <c r="V513" s="10" t="str">
        <f>IFERROR(N513*VLOOKUP(G513,FILAMENTI_DB!$A:$J,10,FALSE),"")</f>
        <v/>
      </c>
      <c r="W513" s="23" t="str">
        <f>IFERROR((VLOOKUP(F513,STAMPANTI_DB!$A:$C,3,FALSE)/1000)*O513*SETTINGS!$C$6,"")</f>
        <v/>
      </c>
      <c r="X513" s="23" t="str">
        <f>IFERROR(O513*VLOOKUP(F513,STAMPANTI_DB!$A:$I,9,FALSE),"")</f>
        <v/>
      </c>
      <c r="Y513" s="23">
        <f>IFERROR(P513*SETTINGS!$C$7,"")</f>
        <v>0</v>
      </c>
      <c r="Z513" s="23">
        <f>SETTINGS!$C$11</f>
        <v>0.5</v>
      </c>
      <c r="AA513" s="23">
        <f t="shared" si="49"/>
        <v>0.5</v>
      </c>
      <c r="AB513" s="23">
        <f>IFERROR(AA513*SETTINGS!$C$9,"")</f>
        <v>2.5000000000000001E-2</v>
      </c>
      <c r="AC513" s="23">
        <f>IFERROR((AA513+AB513)*SETTINGS!$C$10,"")</f>
        <v>2.6250000000000002E-2</v>
      </c>
    </row>
    <row r="514" spans="1:29" ht="16" x14ac:dyDescent="0.2">
      <c r="A514" s="25"/>
      <c r="H514" t="str">
        <f>IFERROR(VLOOKUP(G514,FILAMENTI_DB!$A:$C,3,FALSE),"")</f>
        <v/>
      </c>
      <c r="I514" t="str">
        <f>IFERROR(VLOOKUP(G514,FILAMENTI_DB!$A:$E,4,FALSE),"")</f>
        <v/>
      </c>
      <c r="J514" s="26"/>
      <c r="K514" s="27"/>
      <c r="L514" s="27"/>
      <c r="M514" s="27">
        <f t="shared" si="44"/>
        <v>0</v>
      </c>
      <c r="N514" s="26">
        <f t="shared" si="45"/>
        <v>0</v>
      </c>
      <c r="O514" s="26"/>
      <c r="P514" s="26"/>
      <c r="Q514" s="23"/>
      <c r="R514" s="23">
        <f t="shared" si="46"/>
        <v>0</v>
      </c>
      <c r="S514" s="23"/>
      <c r="T514" s="23">
        <f t="shared" si="47"/>
        <v>0</v>
      </c>
      <c r="U514" s="28" t="str">
        <f t="shared" si="48"/>
        <v/>
      </c>
      <c r="V514" s="10" t="str">
        <f>IFERROR(N514*VLOOKUP(G514,FILAMENTI_DB!$A:$J,10,FALSE),"")</f>
        <v/>
      </c>
      <c r="W514" s="23" t="str">
        <f>IFERROR((VLOOKUP(F514,STAMPANTI_DB!$A:$C,3,FALSE)/1000)*O514*SETTINGS!$C$6,"")</f>
        <v/>
      </c>
      <c r="X514" s="23" t="str">
        <f>IFERROR(O514*VLOOKUP(F514,STAMPANTI_DB!$A:$I,9,FALSE),"")</f>
        <v/>
      </c>
      <c r="Y514" s="23">
        <f>IFERROR(P514*SETTINGS!$C$7,"")</f>
        <v>0</v>
      </c>
      <c r="Z514" s="23">
        <f>SETTINGS!$C$11</f>
        <v>0.5</v>
      </c>
      <c r="AA514" s="23">
        <f t="shared" si="49"/>
        <v>0.5</v>
      </c>
      <c r="AB514" s="23">
        <f>IFERROR(AA514*SETTINGS!$C$9,"")</f>
        <v>2.5000000000000001E-2</v>
      </c>
      <c r="AC514" s="23">
        <f>IFERROR((AA514+AB514)*SETTINGS!$C$10,"")</f>
        <v>2.6250000000000002E-2</v>
      </c>
    </row>
    <row r="515" spans="1:29" ht="16" x14ac:dyDescent="0.2">
      <c r="A515" s="25"/>
      <c r="H515" t="str">
        <f>IFERROR(VLOOKUP(G515,FILAMENTI_DB!$A:$C,3,FALSE),"")</f>
        <v/>
      </c>
      <c r="I515" t="str">
        <f>IFERROR(VLOOKUP(G515,FILAMENTI_DB!$A:$E,4,FALSE),"")</f>
        <v/>
      </c>
      <c r="J515" s="26"/>
      <c r="K515" s="27"/>
      <c r="L515" s="27"/>
      <c r="M515" s="27">
        <f t="shared" si="44"/>
        <v>0</v>
      </c>
      <c r="N515" s="26">
        <f t="shared" si="45"/>
        <v>0</v>
      </c>
      <c r="O515" s="26"/>
      <c r="P515" s="26"/>
      <c r="Q515" s="23"/>
      <c r="R515" s="23">
        <f t="shared" si="46"/>
        <v>0</v>
      </c>
      <c r="S515" s="23"/>
      <c r="T515" s="23">
        <f t="shared" si="47"/>
        <v>0</v>
      </c>
      <c r="U515" s="28" t="str">
        <f t="shared" si="48"/>
        <v/>
      </c>
      <c r="V515" s="10" t="str">
        <f>IFERROR(N515*VLOOKUP(G515,FILAMENTI_DB!$A:$J,10,FALSE),"")</f>
        <v/>
      </c>
      <c r="W515" s="23" t="str">
        <f>IFERROR((VLOOKUP(F515,STAMPANTI_DB!$A:$C,3,FALSE)/1000)*O515*SETTINGS!$C$6,"")</f>
        <v/>
      </c>
      <c r="X515" s="23" t="str">
        <f>IFERROR(O515*VLOOKUP(F515,STAMPANTI_DB!$A:$I,9,FALSE),"")</f>
        <v/>
      </c>
      <c r="Y515" s="23">
        <f>IFERROR(P515*SETTINGS!$C$7,"")</f>
        <v>0</v>
      </c>
      <c r="Z515" s="23">
        <f>SETTINGS!$C$11</f>
        <v>0.5</v>
      </c>
      <c r="AA515" s="23">
        <f t="shared" si="49"/>
        <v>0.5</v>
      </c>
      <c r="AB515" s="23">
        <f>IFERROR(AA515*SETTINGS!$C$9,"")</f>
        <v>2.5000000000000001E-2</v>
      </c>
      <c r="AC515" s="23">
        <f>IFERROR((AA515+AB515)*SETTINGS!$C$10,"")</f>
        <v>2.6250000000000002E-2</v>
      </c>
    </row>
    <row r="516" spans="1:29" ht="16" x14ac:dyDescent="0.2">
      <c r="A516" s="25"/>
      <c r="H516" t="str">
        <f>IFERROR(VLOOKUP(G516,FILAMENTI_DB!$A:$C,3,FALSE),"")</f>
        <v/>
      </c>
      <c r="I516" t="str">
        <f>IFERROR(VLOOKUP(G516,FILAMENTI_DB!$A:$E,4,FALSE),"")</f>
        <v/>
      </c>
      <c r="J516" s="26"/>
      <c r="K516" s="27"/>
      <c r="L516" s="27"/>
      <c r="M516" s="27">
        <f t="shared" si="44"/>
        <v>0</v>
      </c>
      <c r="N516" s="26">
        <f t="shared" si="45"/>
        <v>0</v>
      </c>
      <c r="O516" s="26"/>
      <c r="P516" s="26"/>
      <c r="Q516" s="23"/>
      <c r="R516" s="23">
        <f t="shared" si="46"/>
        <v>0</v>
      </c>
      <c r="S516" s="23"/>
      <c r="T516" s="23">
        <f t="shared" si="47"/>
        <v>0</v>
      </c>
      <c r="U516" s="28" t="str">
        <f t="shared" si="48"/>
        <v/>
      </c>
      <c r="V516" s="10" t="str">
        <f>IFERROR(N516*VLOOKUP(G516,FILAMENTI_DB!$A:$J,10,FALSE),"")</f>
        <v/>
      </c>
      <c r="W516" s="23" t="str">
        <f>IFERROR((VLOOKUP(F516,STAMPANTI_DB!$A:$C,3,FALSE)/1000)*O516*SETTINGS!$C$6,"")</f>
        <v/>
      </c>
      <c r="X516" s="23" t="str">
        <f>IFERROR(O516*VLOOKUP(F516,STAMPANTI_DB!$A:$I,9,FALSE),"")</f>
        <v/>
      </c>
      <c r="Y516" s="23">
        <f>IFERROR(P516*SETTINGS!$C$7,"")</f>
        <v>0</v>
      </c>
      <c r="Z516" s="23">
        <f>SETTINGS!$C$11</f>
        <v>0.5</v>
      </c>
      <c r="AA516" s="23">
        <f t="shared" si="49"/>
        <v>0.5</v>
      </c>
      <c r="AB516" s="23">
        <f>IFERROR(AA516*SETTINGS!$C$9,"")</f>
        <v>2.5000000000000001E-2</v>
      </c>
      <c r="AC516" s="23">
        <f>IFERROR((AA516+AB516)*SETTINGS!$C$10,"")</f>
        <v>2.6250000000000002E-2</v>
      </c>
    </row>
    <row r="517" spans="1:29" ht="16" x14ac:dyDescent="0.2">
      <c r="A517" s="25"/>
      <c r="H517" t="str">
        <f>IFERROR(VLOOKUP(G517,FILAMENTI_DB!$A:$C,3,FALSE),"")</f>
        <v/>
      </c>
      <c r="I517" t="str">
        <f>IFERROR(VLOOKUP(G517,FILAMENTI_DB!$A:$E,4,FALSE),"")</f>
        <v/>
      </c>
      <c r="J517" s="26"/>
      <c r="K517" s="27"/>
      <c r="L517" s="27"/>
      <c r="M517" s="27">
        <f t="shared" ref="M517:M580" si="50">IFERROR(K517+L517,"")</f>
        <v>0</v>
      </c>
      <c r="N517" s="26">
        <f t="shared" ref="N517:N580" si="51">IFERROR(J517*M517,"")</f>
        <v>0</v>
      </c>
      <c r="O517" s="26"/>
      <c r="P517" s="26"/>
      <c r="Q517" s="23"/>
      <c r="R517" s="23">
        <f t="shared" ref="R517:R580" si="52">IFERROR(Q517*K517,"")</f>
        <v>0</v>
      </c>
      <c r="S517" s="23"/>
      <c r="T517" s="23">
        <f t="shared" ref="T517:T580" si="53">IFERROR(R517-S517,"")</f>
        <v>0</v>
      </c>
      <c r="U517" s="28" t="str">
        <f t="shared" ref="U517:U580" si="54">IFERROR(T517/R517,"")</f>
        <v/>
      </c>
      <c r="V517" s="10" t="str">
        <f>IFERROR(N517*VLOOKUP(G517,FILAMENTI_DB!$A:$J,10,FALSE),"")</f>
        <v/>
      </c>
      <c r="W517" s="23" t="str">
        <f>IFERROR((VLOOKUP(F517,STAMPANTI_DB!$A:$C,3,FALSE)/1000)*O517*SETTINGS!$C$6,"")</f>
        <v/>
      </c>
      <c r="X517" s="23" t="str">
        <f>IFERROR(O517*VLOOKUP(F517,STAMPANTI_DB!$A:$I,9,FALSE),"")</f>
        <v/>
      </c>
      <c r="Y517" s="23">
        <f>IFERROR(P517*SETTINGS!$C$7,"")</f>
        <v>0</v>
      </c>
      <c r="Z517" s="23">
        <f>SETTINGS!$C$11</f>
        <v>0.5</v>
      </c>
      <c r="AA517" s="23">
        <f t="shared" ref="AA517:AA580" si="55">IFERROR(SUM(V517:Z517),"")</f>
        <v>0.5</v>
      </c>
      <c r="AB517" s="23">
        <f>IFERROR(AA517*SETTINGS!$C$9,"")</f>
        <v>2.5000000000000001E-2</v>
      </c>
      <c r="AC517" s="23">
        <f>IFERROR((AA517+AB517)*SETTINGS!$C$10,"")</f>
        <v>2.6250000000000002E-2</v>
      </c>
    </row>
    <row r="518" spans="1:29" ht="16" x14ac:dyDescent="0.2">
      <c r="A518" s="25"/>
      <c r="H518" t="str">
        <f>IFERROR(VLOOKUP(G518,FILAMENTI_DB!$A:$C,3,FALSE),"")</f>
        <v/>
      </c>
      <c r="I518" t="str">
        <f>IFERROR(VLOOKUP(G518,FILAMENTI_DB!$A:$E,4,FALSE),"")</f>
        <v/>
      </c>
      <c r="J518" s="26"/>
      <c r="K518" s="27"/>
      <c r="L518" s="27"/>
      <c r="M518" s="27">
        <f t="shared" si="50"/>
        <v>0</v>
      </c>
      <c r="N518" s="26">
        <f t="shared" si="51"/>
        <v>0</v>
      </c>
      <c r="O518" s="26"/>
      <c r="P518" s="26"/>
      <c r="Q518" s="23"/>
      <c r="R518" s="23">
        <f t="shared" si="52"/>
        <v>0</v>
      </c>
      <c r="S518" s="23"/>
      <c r="T518" s="23">
        <f t="shared" si="53"/>
        <v>0</v>
      </c>
      <c r="U518" s="28" t="str">
        <f t="shared" si="54"/>
        <v/>
      </c>
      <c r="V518" s="10" t="str">
        <f>IFERROR(N518*VLOOKUP(G518,FILAMENTI_DB!$A:$J,10,FALSE),"")</f>
        <v/>
      </c>
      <c r="W518" s="23" t="str">
        <f>IFERROR((VLOOKUP(F518,STAMPANTI_DB!$A:$C,3,FALSE)/1000)*O518*SETTINGS!$C$6,"")</f>
        <v/>
      </c>
      <c r="X518" s="23" t="str">
        <f>IFERROR(O518*VLOOKUP(F518,STAMPANTI_DB!$A:$I,9,FALSE),"")</f>
        <v/>
      </c>
      <c r="Y518" s="23">
        <f>IFERROR(P518*SETTINGS!$C$7,"")</f>
        <v>0</v>
      </c>
      <c r="Z518" s="23">
        <f>SETTINGS!$C$11</f>
        <v>0.5</v>
      </c>
      <c r="AA518" s="23">
        <f t="shared" si="55"/>
        <v>0.5</v>
      </c>
      <c r="AB518" s="23">
        <f>IFERROR(AA518*SETTINGS!$C$9,"")</f>
        <v>2.5000000000000001E-2</v>
      </c>
      <c r="AC518" s="23">
        <f>IFERROR((AA518+AB518)*SETTINGS!$C$10,"")</f>
        <v>2.6250000000000002E-2</v>
      </c>
    </row>
    <row r="519" spans="1:29" ht="16" x14ac:dyDescent="0.2">
      <c r="A519" s="25"/>
      <c r="H519" t="str">
        <f>IFERROR(VLOOKUP(G519,FILAMENTI_DB!$A:$C,3,FALSE),"")</f>
        <v/>
      </c>
      <c r="I519" t="str">
        <f>IFERROR(VLOOKUP(G519,FILAMENTI_DB!$A:$E,4,FALSE),"")</f>
        <v/>
      </c>
      <c r="J519" s="26"/>
      <c r="K519" s="27"/>
      <c r="L519" s="27"/>
      <c r="M519" s="27">
        <f t="shared" si="50"/>
        <v>0</v>
      </c>
      <c r="N519" s="26">
        <f t="shared" si="51"/>
        <v>0</v>
      </c>
      <c r="O519" s="26"/>
      <c r="P519" s="26"/>
      <c r="Q519" s="23"/>
      <c r="R519" s="23">
        <f t="shared" si="52"/>
        <v>0</v>
      </c>
      <c r="S519" s="23"/>
      <c r="T519" s="23">
        <f t="shared" si="53"/>
        <v>0</v>
      </c>
      <c r="U519" s="28" t="str">
        <f t="shared" si="54"/>
        <v/>
      </c>
      <c r="V519" s="10" t="str">
        <f>IFERROR(N519*VLOOKUP(G519,FILAMENTI_DB!$A:$J,10,FALSE),"")</f>
        <v/>
      </c>
      <c r="W519" s="23" t="str">
        <f>IFERROR((VLOOKUP(F519,STAMPANTI_DB!$A:$C,3,FALSE)/1000)*O519*SETTINGS!$C$6,"")</f>
        <v/>
      </c>
      <c r="X519" s="23" t="str">
        <f>IFERROR(O519*VLOOKUP(F519,STAMPANTI_DB!$A:$I,9,FALSE),"")</f>
        <v/>
      </c>
      <c r="Y519" s="23">
        <f>IFERROR(P519*SETTINGS!$C$7,"")</f>
        <v>0</v>
      </c>
      <c r="Z519" s="23">
        <f>SETTINGS!$C$11</f>
        <v>0.5</v>
      </c>
      <c r="AA519" s="23">
        <f t="shared" si="55"/>
        <v>0.5</v>
      </c>
      <c r="AB519" s="23">
        <f>IFERROR(AA519*SETTINGS!$C$9,"")</f>
        <v>2.5000000000000001E-2</v>
      </c>
      <c r="AC519" s="23">
        <f>IFERROR((AA519+AB519)*SETTINGS!$C$10,"")</f>
        <v>2.6250000000000002E-2</v>
      </c>
    </row>
    <row r="520" spans="1:29" ht="16" x14ac:dyDescent="0.2">
      <c r="A520" s="25"/>
      <c r="H520" t="str">
        <f>IFERROR(VLOOKUP(G520,FILAMENTI_DB!$A:$C,3,FALSE),"")</f>
        <v/>
      </c>
      <c r="I520" t="str">
        <f>IFERROR(VLOOKUP(G520,FILAMENTI_DB!$A:$E,4,FALSE),"")</f>
        <v/>
      </c>
      <c r="J520" s="26"/>
      <c r="K520" s="27"/>
      <c r="L520" s="27"/>
      <c r="M520" s="27">
        <f t="shared" si="50"/>
        <v>0</v>
      </c>
      <c r="N520" s="26">
        <f t="shared" si="51"/>
        <v>0</v>
      </c>
      <c r="O520" s="26"/>
      <c r="P520" s="26"/>
      <c r="Q520" s="23"/>
      <c r="R520" s="23">
        <f t="shared" si="52"/>
        <v>0</v>
      </c>
      <c r="S520" s="23"/>
      <c r="T520" s="23">
        <f t="shared" si="53"/>
        <v>0</v>
      </c>
      <c r="U520" s="28" t="str">
        <f t="shared" si="54"/>
        <v/>
      </c>
      <c r="V520" s="10" t="str">
        <f>IFERROR(N520*VLOOKUP(G520,FILAMENTI_DB!$A:$J,10,FALSE),"")</f>
        <v/>
      </c>
      <c r="W520" s="23" t="str">
        <f>IFERROR((VLOOKUP(F520,STAMPANTI_DB!$A:$C,3,FALSE)/1000)*O520*SETTINGS!$C$6,"")</f>
        <v/>
      </c>
      <c r="X520" s="23" t="str">
        <f>IFERROR(O520*VLOOKUP(F520,STAMPANTI_DB!$A:$I,9,FALSE),"")</f>
        <v/>
      </c>
      <c r="Y520" s="23">
        <f>IFERROR(P520*SETTINGS!$C$7,"")</f>
        <v>0</v>
      </c>
      <c r="Z520" s="23">
        <f>SETTINGS!$C$11</f>
        <v>0.5</v>
      </c>
      <c r="AA520" s="23">
        <f t="shared" si="55"/>
        <v>0.5</v>
      </c>
      <c r="AB520" s="23">
        <f>IFERROR(AA520*SETTINGS!$C$9,"")</f>
        <v>2.5000000000000001E-2</v>
      </c>
      <c r="AC520" s="23">
        <f>IFERROR((AA520+AB520)*SETTINGS!$C$10,"")</f>
        <v>2.6250000000000002E-2</v>
      </c>
    </row>
    <row r="521" spans="1:29" ht="16" x14ac:dyDescent="0.2">
      <c r="A521" s="25"/>
      <c r="H521" t="str">
        <f>IFERROR(VLOOKUP(G521,FILAMENTI_DB!$A:$C,3,FALSE),"")</f>
        <v/>
      </c>
      <c r="I521" t="str">
        <f>IFERROR(VLOOKUP(G521,FILAMENTI_DB!$A:$E,4,FALSE),"")</f>
        <v/>
      </c>
      <c r="J521" s="26"/>
      <c r="K521" s="27"/>
      <c r="L521" s="27"/>
      <c r="M521" s="27">
        <f t="shared" si="50"/>
        <v>0</v>
      </c>
      <c r="N521" s="26">
        <f t="shared" si="51"/>
        <v>0</v>
      </c>
      <c r="O521" s="26"/>
      <c r="P521" s="26"/>
      <c r="Q521" s="23"/>
      <c r="R521" s="23">
        <f t="shared" si="52"/>
        <v>0</v>
      </c>
      <c r="S521" s="23"/>
      <c r="T521" s="23">
        <f t="shared" si="53"/>
        <v>0</v>
      </c>
      <c r="U521" s="28" t="str">
        <f t="shared" si="54"/>
        <v/>
      </c>
      <c r="V521" s="10" t="str">
        <f>IFERROR(N521*VLOOKUP(G521,FILAMENTI_DB!$A:$J,10,FALSE),"")</f>
        <v/>
      </c>
      <c r="W521" s="23" t="str">
        <f>IFERROR((VLOOKUP(F521,STAMPANTI_DB!$A:$C,3,FALSE)/1000)*O521*SETTINGS!$C$6,"")</f>
        <v/>
      </c>
      <c r="X521" s="23" t="str">
        <f>IFERROR(O521*VLOOKUP(F521,STAMPANTI_DB!$A:$I,9,FALSE),"")</f>
        <v/>
      </c>
      <c r="Y521" s="23">
        <f>IFERROR(P521*SETTINGS!$C$7,"")</f>
        <v>0</v>
      </c>
      <c r="Z521" s="23">
        <f>SETTINGS!$C$11</f>
        <v>0.5</v>
      </c>
      <c r="AA521" s="23">
        <f t="shared" si="55"/>
        <v>0.5</v>
      </c>
      <c r="AB521" s="23">
        <f>IFERROR(AA521*SETTINGS!$C$9,"")</f>
        <v>2.5000000000000001E-2</v>
      </c>
      <c r="AC521" s="23">
        <f>IFERROR((AA521+AB521)*SETTINGS!$C$10,"")</f>
        <v>2.6250000000000002E-2</v>
      </c>
    </row>
    <row r="522" spans="1:29" ht="16" x14ac:dyDescent="0.2">
      <c r="A522" s="25"/>
      <c r="H522" t="str">
        <f>IFERROR(VLOOKUP(G522,FILAMENTI_DB!$A:$C,3,FALSE),"")</f>
        <v/>
      </c>
      <c r="I522" t="str">
        <f>IFERROR(VLOOKUP(G522,FILAMENTI_DB!$A:$E,4,FALSE),"")</f>
        <v/>
      </c>
      <c r="J522" s="26"/>
      <c r="K522" s="27"/>
      <c r="L522" s="27"/>
      <c r="M522" s="27">
        <f t="shared" si="50"/>
        <v>0</v>
      </c>
      <c r="N522" s="26">
        <f t="shared" si="51"/>
        <v>0</v>
      </c>
      <c r="O522" s="26"/>
      <c r="P522" s="26"/>
      <c r="Q522" s="23"/>
      <c r="R522" s="23">
        <f t="shared" si="52"/>
        <v>0</v>
      </c>
      <c r="S522" s="23"/>
      <c r="T522" s="23">
        <f t="shared" si="53"/>
        <v>0</v>
      </c>
      <c r="U522" s="28" t="str">
        <f t="shared" si="54"/>
        <v/>
      </c>
      <c r="V522" s="10" t="str">
        <f>IFERROR(N522*VLOOKUP(G522,FILAMENTI_DB!$A:$J,10,FALSE),"")</f>
        <v/>
      </c>
      <c r="W522" s="23" t="str">
        <f>IFERROR((VLOOKUP(F522,STAMPANTI_DB!$A:$C,3,FALSE)/1000)*O522*SETTINGS!$C$6,"")</f>
        <v/>
      </c>
      <c r="X522" s="23" t="str">
        <f>IFERROR(O522*VLOOKUP(F522,STAMPANTI_DB!$A:$I,9,FALSE),"")</f>
        <v/>
      </c>
      <c r="Y522" s="23">
        <f>IFERROR(P522*SETTINGS!$C$7,"")</f>
        <v>0</v>
      </c>
      <c r="Z522" s="23">
        <f>SETTINGS!$C$11</f>
        <v>0.5</v>
      </c>
      <c r="AA522" s="23">
        <f t="shared" si="55"/>
        <v>0.5</v>
      </c>
      <c r="AB522" s="23">
        <f>IFERROR(AA522*SETTINGS!$C$9,"")</f>
        <v>2.5000000000000001E-2</v>
      </c>
      <c r="AC522" s="23">
        <f>IFERROR((AA522+AB522)*SETTINGS!$C$10,"")</f>
        <v>2.6250000000000002E-2</v>
      </c>
    </row>
    <row r="523" spans="1:29" ht="16" x14ac:dyDescent="0.2">
      <c r="A523" s="25"/>
      <c r="H523" t="str">
        <f>IFERROR(VLOOKUP(G523,FILAMENTI_DB!$A:$C,3,FALSE),"")</f>
        <v/>
      </c>
      <c r="I523" t="str">
        <f>IFERROR(VLOOKUP(G523,FILAMENTI_DB!$A:$E,4,FALSE),"")</f>
        <v/>
      </c>
      <c r="J523" s="26"/>
      <c r="K523" s="27"/>
      <c r="L523" s="27"/>
      <c r="M523" s="27">
        <f t="shared" si="50"/>
        <v>0</v>
      </c>
      <c r="N523" s="26">
        <f t="shared" si="51"/>
        <v>0</v>
      </c>
      <c r="O523" s="26"/>
      <c r="P523" s="26"/>
      <c r="Q523" s="23"/>
      <c r="R523" s="23">
        <f t="shared" si="52"/>
        <v>0</v>
      </c>
      <c r="S523" s="23"/>
      <c r="T523" s="23">
        <f t="shared" si="53"/>
        <v>0</v>
      </c>
      <c r="U523" s="28" t="str">
        <f t="shared" si="54"/>
        <v/>
      </c>
      <c r="V523" s="10" t="str">
        <f>IFERROR(N523*VLOOKUP(G523,FILAMENTI_DB!$A:$J,10,FALSE),"")</f>
        <v/>
      </c>
      <c r="W523" s="23" t="str">
        <f>IFERROR((VLOOKUP(F523,STAMPANTI_DB!$A:$C,3,FALSE)/1000)*O523*SETTINGS!$C$6,"")</f>
        <v/>
      </c>
      <c r="X523" s="23" t="str">
        <f>IFERROR(O523*VLOOKUP(F523,STAMPANTI_DB!$A:$I,9,FALSE),"")</f>
        <v/>
      </c>
      <c r="Y523" s="23">
        <f>IFERROR(P523*SETTINGS!$C$7,"")</f>
        <v>0</v>
      </c>
      <c r="Z523" s="23">
        <f>SETTINGS!$C$11</f>
        <v>0.5</v>
      </c>
      <c r="AA523" s="23">
        <f t="shared" si="55"/>
        <v>0.5</v>
      </c>
      <c r="AB523" s="23">
        <f>IFERROR(AA523*SETTINGS!$C$9,"")</f>
        <v>2.5000000000000001E-2</v>
      </c>
      <c r="AC523" s="23">
        <f>IFERROR((AA523+AB523)*SETTINGS!$C$10,"")</f>
        <v>2.6250000000000002E-2</v>
      </c>
    </row>
    <row r="524" spans="1:29" ht="16" x14ac:dyDescent="0.2">
      <c r="A524" s="25"/>
      <c r="H524" t="str">
        <f>IFERROR(VLOOKUP(G524,FILAMENTI_DB!$A:$C,3,FALSE),"")</f>
        <v/>
      </c>
      <c r="I524" t="str">
        <f>IFERROR(VLOOKUP(G524,FILAMENTI_DB!$A:$E,4,FALSE),"")</f>
        <v/>
      </c>
      <c r="J524" s="26"/>
      <c r="K524" s="27"/>
      <c r="L524" s="27"/>
      <c r="M524" s="27">
        <f t="shared" si="50"/>
        <v>0</v>
      </c>
      <c r="N524" s="26">
        <f t="shared" si="51"/>
        <v>0</v>
      </c>
      <c r="O524" s="26"/>
      <c r="P524" s="26"/>
      <c r="Q524" s="23"/>
      <c r="R524" s="23">
        <f t="shared" si="52"/>
        <v>0</v>
      </c>
      <c r="S524" s="23"/>
      <c r="T524" s="23">
        <f t="shared" si="53"/>
        <v>0</v>
      </c>
      <c r="U524" s="28" t="str">
        <f t="shared" si="54"/>
        <v/>
      </c>
      <c r="V524" s="10" t="str">
        <f>IFERROR(N524*VLOOKUP(G524,FILAMENTI_DB!$A:$J,10,FALSE),"")</f>
        <v/>
      </c>
      <c r="W524" s="23" t="str">
        <f>IFERROR((VLOOKUP(F524,STAMPANTI_DB!$A:$C,3,FALSE)/1000)*O524*SETTINGS!$C$6,"")</f>
        <v/>
      </c>
      <c r="X524" s="23" t="str">
        <f>IFERROR(O524*VLOOKUP(F524,STAMPANTI_DB!$A:$I,9,FALSE),"")</f>
        <v/>
      </c>
      <c r="Y524" s="23">
        <f>IFERROR(P524*SETTINGS!$C$7,"")</f>
        <v>0</v>
      </c>
      <c r="Z524" s="23">
        <f>SETTINGS!$C$11</f>
        <v>0.5</v>
      </c>
      <c r="AA524" s="23">
        <f t="shared" si="55"/>
        <v>0.5</v>
      </c>
      <c r="AB524" s="23">
        <f>IFERROR(AA524*SETTINGS!$C$9,"")</f>
        <v>2.5000000000000001E-2</v>
      </c>
      <c r="AC524" s="23">
        <f>IFERROR((AA524+AB524)*SETTINGS!$C$10,"")</f>
        <v>2.6250000000000002E-2</v>
      </c>
    </row>
    <row r="525" spans="1:29" ht="16" x14ac:dyDescent="0.2">
      <c r="A525" s="25"/>
      <c r="H525" t="str">
        <f>IFERROR(VLOOKUP(G525,FILAMENTI_DB!$A:$C,3,FALSE),"")</f>
        <v/>
      </c>
      <c r="I525" t="str">
        <f>IFERROR(VLOOKUP(G525,FILAMENTI_DB!$A:$E,4,FALSE),"")</f>
        <v/>
      </c>
      <c r="J525" s="26"/>
      <c r="K525" s="27"/>
      <c r="L525" s="27"/>
      <c r="M525" s="27">
        <f t="shared" si="50"/>
        <v>0</v>
      </c>
      <c r="N525" s="26">
        <f t="shared" si="51"/>
        <v>0</v>
      </c>
      <c r="O525" s="26"/>
      <c r="P525" s="26"/>
      <c r="Q525" s="23"/>
      <c r="R525" s="23">
        <f t="shared" si="52"/>
        <v>0</v>
      </c>
      <c r="S525" s="23"/>
      <c r="T525" s="23">
        <f t="shared" si="53"/>
        <v>0</v>
      </c>
      <c r="U525" s="28" t="str">
        <f t="shared" si="54"/>
        <v/>
      </c>
      <c r="V525" s="10" t="str">
        <f>IFERROR(N525*VLOOKUP(G525,FILAMENTI_DB!$A:$J,10,FALSE),"")</f>
        <v/>
      </c>
      <c r="W525" s="23" t="str">
        <f>IFERROR((VLOOKUP(F525,STAMPANTI_DB!$A:$C,3,FALSE)/1000)*O525*SETTINGS!$C$6,"")</f>
        <v/>
      </c>
      <c r="X525" s="23" t="str">
        <f>IFERROR(O525*VLOOKUP(F525,STAMPANTI_DB!$A:$I,9,FALSE),"")</f>
        <v/>
      </c>
      <c r="Y525" s="23">
        <f>IFERROR(P525*SETTINGS!$C$7,"")</f>
        <v>0</v>
      </c>
      <c r="Z525" s="23">
        <f>SETTINGS!$C$11</f>
        <v>0.5</v>
      </c>
      <c r="AA525" s="23">
        <f t="shared" si="55"/>
        <v>0.5</v>
      </c>
      <c r="AB525" s="23">
        <f>IFERROR(AA525*SETTINGS!$C$9,"")</f>
        <v>2.5000000000000001E-2</v>
      </c>
      <c r="AC525" s="23">
        <f>IFERROR((AA525+AB525)*SETTINGS!$C$10,"")</f>
        <v>2.6250000000000002E-2</v>
      </c>
    </row>
    <row r="526" spans="1:29" ht="16" x14ac:dyDescent="0.2">
      <c r="A526" s="25"/>
      <c r="H526" t="str">
        <f>IFERROR(VLOOKUP(G526,FILAMENTI_DB!$A:$C,3,FALSE),"")</f>
        <v/>
      </c>
      <c r="I526" t="str">
        <f>IFERROR(VLOOKUP(G526,FILAMENTI_DB!$A:$E,4,FALSE),"")</f>
        <v/>
      </c>
      <c r="J526" s="26"/>
      <c r="K526" s="27"/>
      <c r="L526" s="27"/>
      <c r="M526" s="27">
        <f t="shared" si="50"/>
        <v>0</v>
      </c>
      <c r="N526" s="26">
        <f t="shared" si="51"/>
        <v>0</v>
      </c>
      <c r="O526" s="26"/>
      <c r="P526" s="26"/>
      <c r="Q526" s="23"/>
      <c r="R526" s="23">
        <f t="shared" si="52"/>
        <v>0</v>
      </c>
      <c r="S526" s="23"/>
      <c r="T526" s="23">
        <f t="shared" si="53"/>
        <v>0</v>
      </c>
      <c r="U526" s="28" t="str">
        <f t="shared" si="54"/>
        <v/>
      </c>
      <c r="V526" s="10" t="str">
        <f>IFERROR(N526*VLOOKUP(G526,FILAMENTI_DB!$A:$J,10,FALSE),"")</f>
        <v/>
      </c>
      <c r="W526" s="23" t="str">
        <f>IFERROR((VLOOKUP(F526,STAMPANTI_DB!$A:$C,3,FALSE)/1000)*O526*SETTINGS!$C$6,"")</f>
        <v/>
      </c>
      <c r="X526" s="23" t="str">
        <f>IFERROR(O526*VLOOKUP(F526,STAMPANTI_DB!$A:$I,9,FALSE),"")</f>
        <v/>
      </c>
      <c r="Y526" s="23">
        <f>IFERROR(P526*SETTINGS!$C$7,"")</f>
        <v>0</v>
      </c>
      <c r="Z526" s="23">
        <f>SETTINGS!$C$11</f>
        <v>0.5</v>
      </c>
      <c r="AA526" s="23">
        <f t="shared" si="55"/>
        <v>0.5</v>
      </c>
      <c r="AB526" s="23">
        <f>IFERROR(AA526*SETTINGS!$C$9,"")</f>
        <v>2.5000000000000001E-2</v>
      </c>
      <c r="AC526" s="23">
        <f>IFERROR((AA526+AB526)*SETTINGS!$C$10,"")</f>
        <v>2.6250000000000002E-2</v>
      </c>
    </row>
    <row r="527" spans="1:29" ht="16" x14ac:dyDescent="0.2">
      <c r="A527" s="25"/>
      <c r="H527" t="str">
        <f>IFERROR(VLOOKUP(G527,FILAMENTI_DB!$A:$C,3,FALSE),"")</f>
        <v/>
      </c>
      <c r="I527" t="str">
        <f>IFERROR(VLOOKUP(G527,FILAMENTI_DB!$A:$E,4,FALSE),"")</f>
        <v/>
      </c>
      <c r="J527" s="26"/>
      <c r="K527" s="27"/>
      <c r="L527" s="27"/>
      <c r="M527" s="27">
        <f t="shared" si="50"/>
        <v>0</v>
      </c>
      <c r="N527" s="26">
        <f t="shared" si="51"/>
        <v>0</v>
      </c>
      <c r="O527" s="26"/>
      <c r="P527" s="26"/>
      <c r="Q527" s="23"/>
      <c r="R527" s="23">
        <f t="shared" si="52"/>
        <v>0</v>
      </c>
      <c r="S527" s="23"/>
      <c r="T527" s="23">
        <f t="shared" si="53"/>
        <v>0</v>
      </c>
      <c r="U527" s="28" t="str">
        <f t="shared" si="54"/>
        <v/>
      </c>
      <c r="V527" s="10" t="str">
        <f>IFERROR(N527*VLOOKUP(G527,FILAMENTI_DB!$A:$J,10,FALSE),"")</f>
        <v/>
      </c>
      <c r="W527" s="23" t="str">
        <f>IFERROR((VLOOKUP(F527,STAMPANTI_DB!$A:$C,3,FALSE)/1000)*O527*SETTINGS!$C$6,"")</f>
        <v/>
      </c>
      <c r="X527" s="23" t="str">
        <f>IFERROR(O527*VLOOKUP(F527,STAMPANTI_DB!$A:$I,9,FALSE),"")</f>
        <v/>
      </c>
      <c r="Y527" s="23">
        <f>IFERROR(P527*SETTINGS!$C$7,"")</f>
        <v>0</v>
      </c>
      <c r="Z527" s="23">
        <f>SETTINGS!$C$11</f>
        <v>0.5</v>
      </c>
      <c r="AA527" s="23">
        <f t="shared" si="55"/>
        <v>0.5</v>
      </c>
      <c r="AB527" s="23">
        <f>IFERROR(AA527*SETTINGS!$C$9,"")</f>
        <v>2.5000000000000001E-2</v>
      </c>
      <c r="AC527" s="23">
        <f>IFERROR((AA527+AB527)*SETTINGS!$C$10,"")</f>
        <v>2.6250000000000002E-2</v>
      </c>
    </row>
    <row r="528" spans="1:29" ht="16" x14ac:dyDescent="0.2">
      <c r="A528" s="25"/>
      <c r="H528" t="str">
        <f>IFERROR(VLOOKUP(G528,FILAMENTI_DB!$A:$C,3,FALSE),"")</f>
        <v/>
      </c>
      <c r="I528" t="str">
        <f>IFERROR(VLOOKUP(G528,FILAMENTI_DB!$A:$E,4,FALSE),"")</f>
        <v/>
      </c>
      <c r="J528" s="26"/>
      <c r="K528" s="27"/>
      <c r="L528" s="27"/>
      <c r="M528" s="27">
        <f t="shared" si="50"/>
        <v>0</v>
      </c>
      <c r="N528" s="26">
        <f t="shared" si="51"/>
        <v>0</v>
      </c>
      <c r="O528" s="26"/>
      <c r="P528" s="26"/>
      <c r="Q528" s="23"/>
      <c r="R528" s="23">
        <f t="shared" si="52"/>
        <v>0</v>
      </c>
      <c r="S528" s="23"/>
      <c r="T528" s="23">
        <f t="shared" si="53"/>
        <v>0</v>
      </c>
      <c r="U528" s="28" t="str">
        <f t="shared" si="54"/>
        <v/>
      </c>
      <c r="V528" s="10" t="str">
        <f>IFERROR(N528*VLOOKUP(G528,FILAMENTI_DB!$A:$J,10,FALSE),"")</f>
        <v/>
      </c>
      <c r="W528" s="23" t="str">
        <f>IFERROR((VLOOKUP(F528,STAMPANTI_DB!$A:$C,3,FALSE)/1000)*O528*SETTINGS!$C$6,"")</f>
        <v/>
      </c>
      <c r="X528" s="23" t="str">
        <f>IFERROR(O528*VLOOKUP(F528,STAMPANTI_DB!$A:$I,9,FALSE),"")</f>
        <v/>
      </c>
      <c r="Y528" s="23">
        <f>IFERROR(P528*SETTINGS!$C$7,"")</f>
        <v>0</v>
      </c>
      <c r="Z528" s="23">
        <f>SETTINGS!$C$11</f>
        <v>0.5</v>
      </c>
      <c r="AA528" s="23">
        <f t="shared" si="55"/>
        <v>0.5</v>
      </c>
      <c r="AB528" s="23">
        <f>IFERROR(AA528*SETTINGS!$C$9,"")</f>
        <v>2.5000000000000001E-2</v>
      </c>
      <c r="AC528" s="23">
        <f>IFERROR((AA528+AB528)*SETTINGS!$C$10,"")</f>
        <v>2.6250000000000002E-2</v>
      </c>
    </row>
    <row r="529" spans="1:29" ht="16" x14ac:dyDescent="0.2">
      <c r="A529" s="25"/>
      <c r="H529" t="str">
        <f>IFERROR(VLOOKUP(G529,FILAMENTI_DB!$A:$C,3,FALSE),"")</f>
        <v/>
      </c>
      <c r="I529" t="str">
        <f>IFERROR(VLOOKUP(G529,FILAMENTI_DB!$A:$E,4,FALSE),"")</f>
        <v/>
      </c>
      <c r="J529" s="26"/>
      <c r="K529" s="27"/>
      <c r="L529" s="27"/>
      <c r="M529" s="27">
        <f t="shared" si="50"/>
        <v>0</v>
      </c>
      <c r="N529" s="26">
        <f t="shared" si="51"/>
        <v>0</v>
      </c>
      <c r="O529" s="26"/>
      <c r="P529" s="26"/>
      <c r="Q529" s="23"/>
      <c r="R529" s="23">
        <f t="shared" si="52"/>
        <v>0</v>
      </c>
      <c r="S529" s="23"/>
      <c r="T529" s="23">
        <f t="shared" si="53"/>
        <v>0</v>
      </c>
      <c r="U529" s="28" t="str">
        <f t="shared" si="54"/>
        <v/>
      </c>
      <c r="V529" s="10" t="str">
        <f>IFERROR(N529*VLOOKUP(G529,FILAMENTI_DB!$A:$J,10,FALSE),"")</f>
        <v/>
      </c>
      <c r="W529" s="23" t="str">
        <f>IFERROR((VLOOKUP(F529,STAMPANTI_DB!$A:$C,3,FALSE)/1000)*O529*SETTINGS!$C$6,"")</f>
        <v/>
      </c>
      <c r="X529" s="23" t="str">
        <f>IFERROR(O529*VLOOKUP(F529,STAMPANTI_DB!$A:$I,9,FALSE),"")</f>
        <v/>
      </c>
      <c r="Y529" s="23">
        <f>IFERROR(P529*SETTINGS!$C$7,"")</f>
        <v>0</v>
      </c>
      <c r="Z529" s="23">
        <f>SETTINGS!$C$11</f>
        <v>0.5</v>
      </c>
      <c r="AA529" s="23">
        <f t="shared" si="55"/>
        <v>0.5</v>
      </c>
      <c r="AB529" s="23">
        <f>IFERROR(AA529*SETTINGS!$C$9,"")</f>
        <v>2.5000000000000001E-2</v>
      </c>
      <c r="AC529" s="23">
        <f>IFERROR((AA529+AB529)*SETTINGS!$C$10,"")</f>
        <v>2.6250000000000002E-2</v>
      </c>
    </row>
    <row r="530" spans="1:29" ht="16" x14ac:dyDescent="0.2">
      <c r="A530" s="25"/>
      <c r="H530" t="str">
        <f>IFERROR(VLOOKUP(G530,FILAMENTI_DB!$A:$C,3,FALSE),"")</f>
        <v/>
      </c>
      <c r="I530" t="str">
        <f>IFERROR(VLOOKUP(G530,FILAMENTI_DB!$A:$E,4,FALSE),"")</f>
        <v/>
      </c>
      <c r="J530" s="26"/>
      <c r="K530" s="27"/>
      <c r="L530" s="27"/>
      <c r="M530" s="27">
        <f t="shared" si="50"/>
        <v>0</v>
      </c>
      <c r="N530" s="26">
        <f t="shared" si="51"/>
        <v>0</v>
      </c>
      <c r="O530" s="26"/>
      <c r="P530" s="26"/>
      <c r="Q530" s="23"/>
      <c r="R530" s="23">
        <f t="shared" si="52"/>
        <v>0</v>
      </c>
      <c r="S530" s="23"/>
      <c r="T530" s="23">
        <f t="shared" si="53"/>
        <v>0</v>
      </c>
      <c r="U530" s="28" t="str">
        <f t="shared" si="54"/>
        <v/>
      </c>
      <c r="V530" s="10" t="str">
        <f>IFERROR(N530*VLOOKUP(G530,FILAMENTI_DB!$A:$J,10,FALSE),"")</f>
        <v/>
      </c>
      <c r="W530" s="23" t="str">
        <f>IFERROR((VLOOKUP(F530,STAMPANTI_DB!$A:$C,3,FALSE)/1000)*O530*SETTINGS!$C$6,"")</f>
        <v/>
      </c>
      <c r="X530" s="23" t="str">
        <f>IFERROR(O530*VLOOKUP(F530,STAMPANTI_DB!$A:$I,9,FALSE),"")</f>
        <v/>
      </c>
      <c r="Y530" s="23">
        <f>IFERROR(P530*SETTINGS!$C$7,"")</f>
        <v>0</v>
      </c>
      <c r="Z530" s="23">
        <f>SETTINGS!$C$11</f>
        <v>0.5</v>
      </c>
      <c r="AA530" s="23">
        <f t="shared" si="55"/>
        <v>0.5</v>
      </c>
      <c r="AB530" s="23">
        <f>IFERROR(AA530*SETTINGS!$C$9,"")</f>
        <v>2.5000000000000001E-2</v>
      </c>
      <c r="AC530" s="23">
        <f>IFERROR((AA530+AB530)*SETTINGS!$C$10,"")</f>
        <v>2.6250000000000002E-2</v>
      </c>
    </row>
    <row r="531" spans="1:29" ht="16" x14ac:dyDescent="0.2">
      <c r="A531" s="25"/>
      <c r="H531" t="str">
        <f>IFERROR(VLOOKUP(G531,FILAMENTI_DB!$A:$C,3,FALSE),"")</f>
        <v/>
      </c>
      <c r="I531" t="str">
        <f>IFERROR(VLOOKUP(G531,FILAMENTI_DB!$A:$E,4,FALSE),"")</f>
        <v/>
      </c>
      <c r="J531" s="26"/>
      <c r="K531" s="27"/>
      <c r="L531" s="27"/>
      <c r="M531" s="27">
        <f t="shared" si="50"/>
        <v>0</v>
      </c>
      <c r="N531" s="26">
        <f t="shared" si="51"/>
        <v>0</v>
      </c>
      <c r="O531" s="26"/>
      <c r="P531" s="26"/>
      <c r="Q531" s="23"/>
      <c r="R531" s="23">
        <f t="shared" si="52"/>
        <v>0</v>
      </c>
      <c r="S531" s="23"/>
      <c r="T531" s="23">
        <f t="shared" si="53"/>
        <v>0</v>
      </c>
      <c r="U531" s="28" t="str">
        <f t="shared" si="54"/>
        <v/>
      </c>
      <c r="V531" s="10" t="str">
        <f>IFERROR(N531*VLOOKUP(G531,FILAMENTI_DB!$A:$J,10,FALSE),"")</f>
        <v/>
      </c>
      <c r="W531" s="23" t="str">
        <f>IFERROR((VLOOKUP(F531,STAMPANTI_DB!$A:$C,3,FALSE)/1000)*O531*SETTINGS!$C$6,"")</f>
        <v/>
      </c>
      <c r="X531" s="23" t="str">
        <f>IFERROR(O531*VLOOKUP(F531,STAMPANTI_DB!$A:$I,9,FALSE),"")</f>
        <v/>
      </c>
      <c r="Y531" s="23">
        <f>IFERROR(P531*SETTINGS!$C$7,"")</f>
        <v>0</v>
      </c>
      <c r="Z531" s="23">
        <f>SETTINGS!$C$11</f>
        <v>0.5</v>
      </c>
      <c r="AA531" s="23">
        <f t="shared" si="55"/>
        <v>0.5</v>
      </c>
      <c r="AB531" s="23">
        <f>IFERROR(AA531*SETTINGS!$C$9,"")</f>
        <v>2.5000000000000001E-2</v>
      </c>
      <c r="AC531" s="23">
        <f>IFERROR((AA531+AB531)*SETTINGS!$C$10,"")</f>
        <v>2.6250000000000002E-2</v>
      </c>
    </row>
    <row r="532" spans="1:29" ht="16" x14ac:dyDescent="0.2">
      <c r="A532" s="25"/>
      <c r="H532" t="str">
        <f>IFERROR(VLOOKUP(G532,FILAMENTI_DB!$A:$C,3,FALSE),"")</f>
        <v/>
      </c>
      <c r="I532" t="str">
        <f>IFERROR(VLOOKUP(G532,FILAMENTI_DB!$A:$E,4,FALSE),"")</f>
        <v/>
      </c>
      <c r="J532" s="26"/>
      <c r="K532" s="27"/>
      <c r="L532" s="27"/>
      <c r="M532" s="27">
        <f t="shared" si="50"/>
        <v>0</v>
      </c>
      <c r="N532" s="26">
        <f t="shared" si="51"/>
        <v>0</v>
      </c>
      <c r="O532" s="26"/>
      <c r="P532" s="26"/>
      <c r="Q532" s="23"/>
      <c r="R532" s="23">
        <f t="shared" si="52"/>
        <v>0</v>
      </c>
      <c r="S532" s="23"/>
      <c r="T532" s="23">
        <f t="shared" si="53"/>
        <v>0</v>
      </c>
      <c r="U532" s="28" t="str">
        <f t="shared" si="54"/>
        <v/>
      </c>
      <c r="V532" s="10" t="str">
        <f>IFERROR(N532*VLOOKUP(G532,FILAMENTI_DB!$A:$J,10,FALSE),"")</f>
        <v/>
      </c>
      <c r="W532" s="23" t="str">
        <f>IFERROR((VLOOKUP(F532,STAMPANTI_DB!$A:$C,3,FALSE)/1000)*O532*SETTINGS!$C$6,"")</f>
        <v/>
      </c>
      <c r="X532" s="23" t="str">
        <f>IFERROR(O532*VLOOKUP(F532,STAMPANTI_DB!$A:$I,9,FALSE),"")</f>
        <v/>
      </c>
      <c r="Y532" s="23">
        <f>IFERROR(P532*SETTINGS!$C$7,"")</f>
        <v>0</v>
      </c>
      <c r="Z532" s="23">
        <f>SETTINGS!$C$11</f>
        <v>0.5</v>
      </c>
      <c r="AA532" s="23">
        <f t="shared" si="55"/>
        <v>0.5</v>
      </c>
      <c r="AB532" s="23">
        <f>IFERROR(AA532*SETTINGS!$C$9,"")</f>
        <v>2.5000000000000001E-2</v>
      </c>
      <c r="AC532" s="23">
        <f>IFERROR((AA532+AB532)*SETTINGS!$C$10,"")</f>
        <v>2.6250000000000002E-2</v>
      </c>
    </row>
    <row r="533" spans="1:29" ht="16" x14ac:dyDescent="0.2">
      <c r="A533" s="25"/>
      <c r="H533" t="str">
        <f>IFERROR(VLOOKUP(G533,FILAMENTI_DB!$A:$C,3,FALSE),"")</f>
        <v/>
      </c>
      <c r="I533" t="str">
        <f>IFERROR(VLOOKUP(G533,FILAMENTI_DB!$A:$E,4,FALSE),"")</f>
        <v/>
      </c>
      <c r="J533" s="26"/>
      <c r="K533" s="27"/>
      <c r="L533" s="27"/>
      <c r="M533" s="27">
        <f t="shared" si="50"/>
        <v>0</v>
      </c>
      <c r="N533" s="26">
        <f t="shared" si="51"/>
        <v>0</v>
      </c>
      <c r="O533" s="26"/>
      <c r="P533" s="26"/>
      <c r="Q533" s="23"/>
      <c r="R533" s="23">
        <f t="shared" si="52"/>
        <v>0</v>
      </c>
      <c r="S533" s="23"/>
      <c r="T533" s="23">
        <f t="shared" si="53"/>
        <v>0</v>
      </c>
      <c r="U533" s="28" t="str">
        <f t="shared" si="54"/>
        <v/>
      </c>
      <c r="V533" s="10" t="str">
        <f>IFERROR(N533*VLOOKUP(G533,FILAMENTI_DB!$A:$J,10,FALSE),"")</f>
        <v/>
      </c>
      <c r="W533" s="23" t="str">
        <f>IFERROR((VLOOKUP(F533,STAMPANTI_DB!$A:$C,3,FALSE)/1000)*O533*SETTINGS!$C$6,"")</f>
        <v/>
      </c>
      <c r="X533" s="23" t="str">
        <f>IFERROR(O533*VLOOKUP(F533,STAMPANTI_DB!$A:$I,9,FALSE),"")</f>
        <v/>
      </c>
      <c r="Y533" s="23">
        <f>IFERROR(P533*SETTINGS!$C$7,"")</f>
        <v>0</v>
      </c>
      <c r="Z533" s="23">
        <f>SETTINGS!$C$11</f>
        <v>0.5</v>
      </c>
      <c r="AA533" s="23">
        <f t="shared" si="55"/>
        <v>0.5</v>
      </c>
      <c r="AB533" s="23">
        <f>IFERROR(AA533*SETTINGS!$C$9,"")</f>
        <v>2.5000000000000001E-2</v>
      </c>
      <c r="AC533" s="23">
        <f>IFERROR((AA533+AB533)*SETTINGS!$C$10,"")</f>
        <v>2.6250000000000002E-2</v>
      </c>
    </row>
    <row r="534" spans="1:29" ht="16" x14ac:dyDescent="0.2">
      <c r="A534" s="25"/>
      <c r="H534" t="str">
        <f>IFERROR(VLOOKUP(G534,FILAMENTI_DB!$A:$C,3,FALSE),"")</f>
        <v/>
      </c>
      <c r="I534" t="str">
        <f>IFERROR(VLOOKUP(G534,FILAMENTI_DB!$A:$E,4,FALSE),"")</f>
        <v/>
      </c>
      <c r="J534" s="26"/>
      <c r="K534" s="27"/>
      <c r="L534" s="27"/>
      <c r="M534" s="27">
        <f t="shared" si="50"/>
        <v>0</v>
      </c>
      <c r="N534" s="26">
        <f t="shared" si="51"/>
        <v>0</v>
      </c>
      <c r="O534" s="26"/>
      <c r="P534" s="26"/>
      <c r="Q534" s="23"/>
      <c r="R534" s="23">
        <f t="shared" si="52"/>
        <v>0</v>
      </c>
      <c r="S534" s="23"/>
      <c r="T534" s="23">
        <f t="shared" si="53"/>
        <v>0</v>
      </c>
      <c r="U534" s="28" t="str">
        <f t="shared" si="54"/>
        <v/>
      </c>
      <c r="V534" s="10" t="str">
        <f>IFERROR(N534*VLOOKUP(G534,FILAMENTI_DB!$A:$J,10,FALSE),"")</f>
        <v/>
      </c>
      <c r="W534" s="23" t="str">
        <f>IFERROR((VLOOKUP(F534,STAMPANTI_DB!$A:$C,3,FALSE)/1000)*O534*SETTINGS!$C$6,"")</f>
        <v/>
      </c>
      <c r="X534" s="23" t="str">
        <f>IFERROR(O534*VLOOKUP(F534,STAMPANTI_DB!$A:$I,9,FALSE),"")</f>
        <v/>
      </c>
      <c r="Y534" s="23">
        <f>IFERROR(P534*SETTINGS!$C$7,"")</f>
        <v>0</v>
      </c>
      <c r="Z534" s="23">
        <f>SETTINGS!$C$11</f>
        <v>0.5</v>
      </c>
      <c r="AA534" s="23">
        <f t="shared" si="55"/>
        <v>0.5</v>
      </c>
      <c r="AB534" s="23">
        <f>IFERROR(AA534*SETTINGS!$C$9,"")</f>
        <v>2.5000000000000001E-2</v>
      </c>
      <c r="AC534" s="23">
        <f>IFERROR((AA534+AB534)*SETTINGS!$C$10,"")</f>
        <v>2.6250000000000002E-2</v>
      </c>
    </row>
    <row r="535" spans="1:29" ht="16" x14ac:dyDescent="0.2">
      <c r="A535" s="25"/>
      <c r="H535" t="str">
        <f>IFERROR(VLOOKUP(G535,FILAMENTI_DB!$A:$C,3,FALSE),"")</f>
        <v/>
      </c>
      <c r="I535" t="str">
        <f>IFERROR(VLOOKUP(G535,FILAMENTI_DB!$A:$E,4,FALSE),"")</f>
        <v/>
      </c>
      <c r="J535" s="26"/>
      <c r="K535" s="27"/>
      <c r="L535" s="27"/>
      <c r="M535" s="27">
        <f t="shared" si="50"/>
        <v>0</v>
      </c>
      <c r="N535" s="26">
        <f t="shared" si="51"/>
        <v>0</v>
      </c>
      <c r="O535" s="26"/>
      <c r="P535" s="26"/>
      <c r="Q535" s="23"/>
      <c r="R535" s="23">
        <f t="shared" si="52"/>
        <v>0</v>
      </c>
      <c r="S535" s="23"/>
      <c r="T535" s="23">
        <f t="shared" si="53"/>
        <v>0</v>
      </c>
      <c r="U535" s="28" t="str">
        <f t="shared" si="54"/>
        <v/>
      </c>
      <c r="V535" s="10" t="str">
        <f>IFERROR(N535*VLOOKUP(G535,FILAMENTI_DB!$A:$J,10,FALSE),"")</f>
        <v/>
      </c>
      <c r="W535" s="23" t="str">
        <f>IFERROR((VLOOKUP(F535,STAMPANTI_DB!$A:$C,3,FALSE)/1000)*O535*SETTINGS!$C$6,"")</f>
        <v/>
      </c>
      <c r="X535" s="23" t="str">
        <f>IFERROR(O535*VLOOKUP(F535,STAMPANTI_DB!$A:$I,9,FALSE),"")</f>
        <v/>
      </c>
      <c r="Y535" s="23">
        <f>IFERROR(P535*SETTINGS!$C$7,"")</f>
        <v>0</v>
      </c>
      <c r="Z535" s="23">
        <f>SETTINGS!$C$11</f>
        <v>0.5</v>
      </c>
      <c r="AA535" s="23">
        <f t="shared" si="55"/>
        <v>0.5</v>
      </c>
      <c r="AB535" s="23">
        <f>IFERROR(AA535*SETTINGS!$C$9,"")</f>
        <v>2.5000000000000001E-2</v>
      </c>
      <c r="AC535" s="23">
        <f>IFERROR((AA535+AB535)*SETTINGS!$C$10,"")</f>
        <v>2.6250000000000002E-2</v>
      </c>
    </row>
    <row r="536" spans="1:29" ht="16" x14ac:dyDescent="0.2">
      <c r="A536" s="25"/>
      <c r="H536" t="str">
        <f>IFERROR(VLOOKUP(G536,FILAMENTI_DB!$A:$C,3,FALSE),"")</f>
        <v/>
      </c>
      <c r="I536" t="str">
        <f>IFERROR(VLOOKUP(G536,FILAMENTI_DB!$A:$E,4,FALSE),"")</f>
        <v/>
      </c>
      <c r="J536" s="26"/>
      <c r="K536" s="27"/>
      <c r="L536" s="27"/>
      <c r="M536" s="27">
        <f t="shared" si="50"/>
        <v>0</v>
      </c>
      <c r="N536" s="26">
        <f t="shared" si="51"/>
        <v>0</v>
      </c>
      <c r="O536" s="26"/>
      <c r="P536" s="26"/>
      <c r="Q536" s="23"/>
      <c r="R536" s="23">
        <f t="shared" si="52"/>
        <v>0</v>
      </c>
      <c r="S536" s="23"/>
      <c r="T536" s="23">
        <f t="shared" si="53"/>
        <v>0</v>
      </c>
      <c r="U536" s="28" t="str">
        <f t="shared" si="54"/>
        <v/>
      </c>
      <c r="V536" s="10" t="str">
        <f>IFERROR(N536*VLOOKUP(G536,FILAMENTI_DB!$A:$J,10,FALSE),"")</f>
        <v/>
      </c>
      <c r="W536" s="23" t="str">
        <f>IFERROR((VLOOKUP(F536,STAMPANTI_DB!$A:$C,3,FALSE)/1000)*O536*SETTINGS!$C$6,"")</f>
        <v/>
      </c>
      <c r="X536" s="23" t="str">
        <f>IFERROR(O536*VLOOKUP(F536,STAMPANTI_DB!$A:$I,9,FALSE),"")</f>
        <v/>
      </c>
      <c r="Y536" s="23">
        <f>IFERROR(P536*SETTINGS!$C$7,"")</f>
        <v>0</v>
      </c>
      <c r="Z536" s="23">
        <f>SETTINGS!$C$11</f>
        <v>0.5</v>
      </c>
      <c r="AA536" s="23">
        <f t="shared" si="55"/>
        <v>0.5</v>
      </c>
      <c r="AB536" s="23">
        <f>IFERROR(AA536*SETTINGS!$C$9,"")</f>
        <v>2.5000000000000001E-2</v>
      </c>
      <c r="AC536" s="23">
        <f>IFERROR((AA536+AB536)*SETTINGS!$C$10,"")</f>
        <v>2.6250000000000002E-2</v>
      </c>
    </row>
    <row r="537" spans="1:29" ht="16" x14ac:dyDescent="0.2">
      <c r="A537" s="25"/>
      <c r="H537" t="str">
        <f>IFERROR(VLOOKUP(G537,FILAMENTI_DB!$A:$C,3,FALSE),"")</f>
        <v/>
      </c>
      <c r="I537" t="str">
        <f>IFERROR(VLOOKUP(G537,FILAMENTI_DB!$A:$E,4,FALSE),"")</f>
        <v/>
      </c>
      <c r="J537" s="26"/>
      <c r="K537" s="27"/>
      <c r="L537" s="27"/>
      <c r="M537" s="27">
        <f t="shared" si="50"/>
        <v>0</v>
      </c>
      <c r="N537" s="26">
        <f t="shared" si="51"/>
        <v>0</v>
      </c>
      <c r="O537" s="26"/>
      <c r="P537" s="26"/>
      <c r="Q537" s="23"/>
      <c r="R537" s="23">
        <f t="shared" si="52"/>
        <v>0</v>
      </c>
      <c r="S537" s="23"/>
      <c r="T537" s="23">
        <f t="shared" si="53"/>
        <v>0</v>
      </c>
      <c r="U537" s="28" t="str">
        <f t="shared" si="54"/>
        <v/>
      </c>
      <c r="V537" s="10" t="str">
        <f>IFERROR(N537*VLOOKUP(G537,FILAMENTI_DB!$A:$J,10,FALSE),"")</f>
        <v/>
      </c>
      <c r="W537" s="23" t="str">
        <f>IFERROR((VLOOKUP(F537,STAMPANTI_DB!$A:$C,3,FALSE)/1000)*O537*SETTINGS!$C$6,"")</f>
        <v/>
      </c>
      <c r="X537" s="23" t="str">
        <f>IFERROR(O537*VLOOKUP(F537,STAMPANTI_DB!$A:$I,9,FALSE),"")</f>
        <v/>
      </c>
      <c r="Y537" s="23">
        <f>IFERROR(P537*SETTINGS!$C$7,"")</f>
        <v>0</v>
      </c>
      <c r="Z537" s="23">
        <f>SETTINGS!$C$11</f>
        <v>0.5</v>
      </c>
      <c r="AA537" s="23">
        <f t="shared" si="55"/>
        <v>0.5</v>
      </c>
      <c r="AB537" s="23">
        <f>IFERROR(AA537*SETTINGS!$C$9,"")</f>
        <v>2.5000000000000001E-2</v>
      </c>
      <c r="AC537" s="23">
        <f>IFERROR((AA537+AB537)*SETTINGS!$C$10,"")</f>
        <v>2.6250000000000002E-2</v>
      </c>
    </row>
    <row r="538" spans="1:29" ht="16" x14ac:dyDescent="0.2">
      <c r="A538" s="25"/>
      <c r="H538" t="str">
        <f>IFERROR(VLOOKUP(G538,FILAMENTI_DB!$A:$C,3,FALSE),"")</f>
        <v/>
      </c>
      <c r="I538" t="str">
        <f>IFERROR(VLOOKUP(G538,FILAMENTI_DB!$A:$E,4,FALSE),"")</f>
        <v/>
      </c>
      <c r="J538" s="26"/>
      <c r="K538" s="27"/>
      <c r="L538" s="27"/>
      <c r="M538" s="27">
        <f t="shared" si="50"/>
        <v>0</v>
      </c>
      <c r="N538" s="26">
        <f t="shared" si="51"/>
        <v>0</v>
      </c>
      <c r="O538" s="26"/>
      <c r="P538" s="26"/>
      <c r="Q538" s="23"/>
      <c r="R538" s="23">
        <f t="shared" si="52"/>
        <v>0</v>
      </c>
      <c r="S538" s="23"/>
      <c r="T538" s="23">
        <f t="shared" si="53"/>
        <v>0</v>
      </c>
      <c r="U538" s="28" t="str">
        <f t="shared" si="54"/>
        <v/>
      </c>
      <c r="V538" s="10" t="str">
        <f>IFERROR(N538*VLOOKUP(G538,FILAMENTI_DB!$A:$J,10,FALSE),"")</f>
        <v/>
      </c>
      <c r="W538" s="23" t="str">
        <f>IFERROR((VLOOKUP(F538,STAMPANTI_DB!$A:$C,3,FALSE)/1000)*O538*SETTINGS!$C$6,"")</f>
        <v/>
      </c>
      <c r="X538" s="23" t="str">
        <f>IFERROR(O538*VLOOKUP(F538,STAMPANTI_DB!$A:$I,9,FALSE),"")</f>
        <v/>
      </c>
      <c r="Y538" s="23">
        <f>IFERROR(P538*SETTINGS!$C$7,"")</f>
        <v>0</v>
      </c>
      <c r="Z538" s="23">
        <f>SETTINGS!$C$11</f>
        <v>0.5</v>
      </c>
      <c r="AA538" s="23">
        <f t="shared" si="55"/>
        <v>0.5</v>
      </c>
      <c r="AB538" s="23">
        <f>IFERROR(AA538*SETTINGS!$C$9,"")</f>
        <v>2.5000000000000001E-2</v>
      </c>
      <c r="AC538" s="23">
        <f>IFERROR((AA538+AB538)*SETTINGS!$C$10,"")</f>
        <v>2.6250000000000002E-2</v>
      </c>
    </row>
    <row r="539" spans="1:29" ht="16" x14ac:dyDescent="0.2">
      <c r="A539" s="25"/>
      <c r="H539" t="str">
        <f>IFERROR(VLOOKUP(G539,FILAMENTI_DB!$A:$C,3,FALSE),"")</f>
        <v/>
      </c>
      <c r="I539" t="str">
        <f>IFERROR(VLOOKUP(G539,FILAMENTI_DB!$A:$E,4,FALSE),"")</f>
        <v/>
      </c>
      <c r="J539" s="26"/>
      <c r="K539" s="27"/>
      <c r="L539" s="27"/>
      <c r="M539" s="27">
        <f t="shared" si="50"/>
        <v>0</v>
      </c>
      <c r="N539" s="26">
        <f t="shared" si="51"/>
        <v>0</v>
      </c>
      <c r="O539" s="26"/>
      <c r="P539" s="26"/>
      <c r="Q539" s="23"/>
      <c r="R539" s="23">
        <f t="shared" si="52"/>
        <v>0</v>
      </c>
      <c r="S539" s="23"/>
      <c r="T539" s="23">
        <f t="shared" si="53"/>
        <v>0</v>
      </c>
      <c r="U539" s="28" t="str">
        <f t="shared" si="54"/>
        <v/>
      </c>
      <c r="V539" s="10" t="str">
        <f>IFERROR(N539*VLOOKUP(G539,FILAMENTI_DB!$A:$J,10,FALSE),"")</f>
        <v/>
      </c>
      <c r="W539" s="23" t="str">
        <f>IFERROR((VLOOKUP(F539,STAMPANTI_DB!$A:$C,3,FALSE)/1000)*O539*SETTINGS!$C$6,"")</f>
        <v/>
      </c>
      <c r="X539" s="23" t="str">
        <f>IFERROR(O539*VLOOKUP(F539,STAMPANTI_DB!$A:$I,9,FALSE),"")</f>
        <v/>
      </c>
      <c r="Y539" s="23">
        <f>IFERROR(P539*SETTINGS!$C$7,"")</f>
        <v>0</v>
      </c>
      <c r="Z539" s="23">
        <f>SETTINGS!$C$11</f>
        <v>0.5</v>
      </c>
      <c r="AA539" s="23">
        <f t="shared" si="55"/>
        <v>0.5</v>
      </c>
      <c r="AB539" s="23">
        <f>IFERROR(AA539*SETTINGS!$C$9,"")</f>
        <v>2.5000000000000001E-2</v>
      </c>
      <c r="AC539" s="23">
        <f>IFERROR((AA539+AB539)*SETTINGS!$C$10,"")</f>
        <v>2.6250000000000002E-2</v>
      </c>
    </row>
    <row r="540" spans="1:29" ht="16" x14ac:dyDescent="0.2">
      <c r="A540" s="25"/>
      <c r="H540" t="str">
        <f>IFERROR(VLOOKUP(G540,FILAMENTI_DB!$A:$C,3,FALSE),"")</f>
        <v/>
      </c>
      <c r="I540" t="str">
        <f>IFERROR(VLOOKUP(G540,FILAMENTI_DB!$A:$E,4,FALSE),"")</f>
        <v/>
      </c>
      <c r="J540" s="26"/>
      <c r="K540" s="27"/>
      <c r="L540" s="27"/>
      <c r="M540" s="27">
        <f t="shared" si="50"/>
        <v>0</v>
      </c>
      <c r="N540" s="26">
        <f t="shared" si="51"/>
        <v>0</v>
      </c>
      <c r="O540" s="26"/>
      <c r="P540" s="26"/>
      <c r="Q540" s="23"/>
      <c r="R540" s="23">
        <f t="shared" si="52"/>
        <v>0</v>
      </c>
      <c r="S540" s="23"/>
      <c r="T540" s="23">
        <f t="shared" si="53"/>
        <v>0</v>
      </c>
      <c r="U540" s="28" t="str">
        <f t="shared" si="54"/>
        <v/>
      </c>
      <c r="V540" s="10" t="str">
        <f>IFERROR(N540*VLOOKUP(G540,FILAMENTI_DB!$A:$J,10,FALSE),"")</f>
        <v/>
      </c>
      <c r="W540" s="23" t="str">
        <f>IFERROR((VLOOKUP(F540,STAMPANTI_DB!$A:$C,3,FALSE)/1000)*O540*SETTINGS!$C$6,"")</f>
        <v/>
      </c>
      <c r="X540" s="23" t="str">
        <f>IFERROR(O540*VLOOKUP(F540,STAMPANTI_DB!$A:$I,9,FALSE),"")</f>
        <v/>
      </c>
      <c r="Y540" s="23">
        <f>IFERROR(P540*SETTINGS!$C$7,"")</f>
        <v>0</v>
      </c>
      <c r="Z540" s="23">
        <f>SETTINGS!$C$11</f>
        <v>0.5</v>
      </c>
      <c r="AA540" s="23">
        <f t="shared" si="55"/>
        <v>0.5</v>
      </c>
      <c r="AB540" s="23">
        <f>IFERROR(AA540*SETTINGS!$C$9,"")</f>
        <v>2.5000000000000001E-2</v>
      </c>
      <c r="AC540" s="23">
        <f>IFERROR((AA540+AB540)*SETTINGS!$C$10,"")</f>
        <v>2.6250000000000002E-2</v>
      </c>
    </row>
    <row r="541" spans="1:29" ht="16" x14ac:dyDescent="0.2">
      <c r="A541" s="25"/>
      <c r="H541" t="str">
        <f>IFERROR(VLOOKUP(G541,FILAMENTI_DB!$A:$C,3,FALSE),"")</f>
        <v/>
      </c>
      <c r="I541" t="str">
        <f>IFERROR(VLOOKUP(G541,FILAMENTI_DB!$A:$E,4,FALSE),"")</f>
        <v/>
      </c>
      <c r="J541" s="26"/>
      <c r="K541" s="27"/>
      <c r="L541" s="27"/>
      <c r="M541" s="27">
        <f t="shared" si="50"/>
        <v>0</v>
      </c>
      <c r="N541" s="26">
        <f t="shared" si="51"/>
        <v>0</v>
      </c>
      <c r="O541" s="26"/>
      <c r="P541" s="26"/>
      <c r="Q541" s="23"/>
      <c r="R541" s="23">
        <f t="shared" si="52"/>
        <v>0</v>
      </c>
      <c r="S541" s="23"/>
      <c r="T541" s="23">
        <f t="shared" si="53"/>
        <v>0</v>
      </c>
      <c r="U541" s="28" t="str">
        <f t="shared" si="54"/>
        <v/>
      </c>
      <c r="V541" s="10" t="str">
        <f>IFERROR(N541*VLOOKUP(G541,FILAMENTI_DB!$A:$J,10,FALSE),"")</f>
        <v/>
      </c>
      <c r="W541" s="23" t="str">
        <f>IFERROR((VLOOKUP(F541,STAMPANTI_DB!$A:$C,3,FALSE)/1000)*O541*SETTINGS!$C$6,"")</f>
        <v/>
      </c>
      <c r="X541" s="23" t="str">
        <f>IFERROR(O541*VLOOKUP(F541,STAMPANTI_DB!$A:$I,9,FALSE),"")</f>
        <v/>
      </c>
      <c r="Y541" s="23">
        <f>IFERROR(P541*SETTINGS!$C$7,"")</f>
        <v>0</v>
      </c>
      <c r="Z541" s="23">
        <f>SETTINGS!$C$11</f>
        <v>0.5</v>
      </c>
      <c r="AA541" s="23">
        <f t="shared" si="55"/>
        <v>0.5</v>
      </c>
      <c r="AB541" s="23">
        <f>IFERROR(AA541*SETTINGS!$C$9,"")</f>
        <v>2.5000000000000001E-2</v>
      </c>
      <c r="AC541" s="23">
        <f>IFERROR((AA541+AB541)*SETTINGS!$C$10,"")</f>
        <v>2.6250000000000002E-2</v>
      </c>
    </row>
    <row r="542" spans="1:29" ht="16" x14ac:dyDescent="0.2">
      <c r="A542" s="25"/>
      <c r="H542" t="str">
        <f>IFERROR(VLOOKUP(G542,FILAMENTI_DB!$A:$C,3,FALSE),"")</f>
        <v/>
      </c>
      <c r="I542" t="str">
        <f>IFERROR(VLOOKUP(G542,FILAMENTI_DB!$A:$E,4,FALSE),"")</f>
        <v/>
      </c>
      <c r="J542" s="26"/>
      <c r="K542" s="27"/>
      <c r="L542" s="27"/>
      <c r="M542" s="27">
        <f t="shared" si="50"/>
        <v>0</v>
      </c>
      <c r="N542" s="26">
        <f t="shared" si="51"/>
        <v>0</v>
      </c>
      <c r="O542" s="26"/>
      <c r="P542" s="26"/>
      <c r="Q542" s="23"/>
      <c r="R542" s="23">
        <f t="shared" si="52"/>
        <v>0</v>
      </c>
      <c r="S542" s="23"/>
      <c r="T542" s="23">
        <f t="shared" si="53"/>
        <v>0</v>
      </c>
      <c r="U542" s="28" t="str">
        <f t="shared" si="54"/>
        <v/>
      </c>
      <c r="V542" s="10" t="str">
        <f>IFERROR(N542*VLOOKUP(G542,FILAMENTI_DB!$A:$J,10,FALSE),"")</f>
        <v/>
      </c>
      <c r="W542" s="23" t="str">
        <f>IFERROR((VLOOKUP(F542,STAMPANTI_DB!$A:$C,3,FALSE)/1000)*O542*SETTINGS!$C$6,"")</f>
        <v/>
      </c>
      <c r="X542" s="23" t="str">
        <f>IFERROR(O542*VLOOKUP(F542,STAMPANTI_DB!$A:$I,9,FALSE),"")</f>
        <v/>
      </c>
      <c r="Y542" s="23">
        <f>IFERROR(P542*SETTINGS!$C$7,"")</f>
        <v>0</v>
      </c>
      <c r="Z542" s="23">
        <f>SETTINGS!$C$11</f>
        <v>0.5</v>
      </c>
      <c r="AA542" s="23">
        <f t="shared" si="55"/>
        <v>0.5</v>
      </c>
      <c r="AB542" s="23">
        <f>IFERROR(AA542*SETTINGS!$C$9,"")</f>
        <v>2.5000000000000001E-2</v>
      </c>
      <c r="AC542" s="23">
        <f>IFERROR((AA542+AB542)*SETTINGS!$C$10,"")</f>
        <v>2.6250000000000002E-2</v>
      </c>
    </row>
    <row r="543" spans="1:29" ht="16" x14ac:dyDescent="0.2">
      <c r="A543" s="25"/>
      <c r="H543" t="str">
        <f>IFERROR(VLOOKUP(G543,FILAMENTI_DB!$A:$C,3,FALSE),"")</f>
        <v/>
      </c>
      <c r="I543" t="str">
        <f>IFERROR(VLOOKUP(G543,FILAMENTI_DB!$A:$E,4,FALSE),"")</f>
        <v/>
      </c>
      <c r="J543" s="26"/>
      <c r="K543" s="27"/>
      <c r="L543" s="27"/>
      <c r="M543" s="27">
        <f t="shared" si="50"/>
        <v>0</v>
      </c>
      <c r="N543" s="26">
        <f t="shared" si="51"/>
        <v>0</v>
      </c>
      <c r="O543" s="26"/>
      <c r="P543" s="26"/>
      <c r="Q543" s="23"/>
      <c r="R543" s="23">
        <f t="shared" si="52"/>
        <v>0</v>
      </c>
      <c r="S543" s="23"/>
      <c r="T543" s="23">
        <f t="shared" si="53"/>
        <v>0</v>
      </c>
      <c r="U543" s="28" t="str">
        <f t="shared" si="54"/>
        <v/>
      </c>
      <c r="V543" s="10" t="str">
        <f>IFERROR(N543*VLOOKUP(G543,FILAMENTI_DB!$A:$J,10,FALSE),"")</f>
        <v/>
      </c>
      <c r="W543" s="23" t="str">
        <f>IFERROR((VLOOKUP(F543,STAMPANTI_DB!$A:$C,3,FALSE)/1000)*O543*SETTINGS!$C$6,"")</f>
        <v/>
      </c>
      <c r="X543" s="23" t="str">
        <f>IFERROR(O543*VLOOKUP(F543,STAMPANTI_DB!$A:$I,9,FALSE),"")</f>
        <v/>
      </c>
      <c r="Y543" s="23">
        <f>IFERROR(P543*SETTINGS!$C$7,"")</f>
        <v>0</v>
      </c>
      <c r="Z543" s="23">
        <f>SETTINGS!$C$11</f>
        <v>0.5</v>
      </c>
      <c r="AA543" s="23">
        <f t="shared" si="55"/>
        <v>0.5</v>
      </c>
      <c r="AB543" s="23">
        <f>IFERROR(AA543*SETTINGS!$C$9,"")</f>
        <v>2.5000000000000001E-2</v>
      </c>
      <c r="AC543" s="23">
        <f>IFERROR((AA543+AB543)*SETTINGS!$C$10,"")</f>
        <v>2.6250000000000002E-2</v>
      </c>
    </row>
    <row r="544" spans="1:29" ht="16" x14ac:dyDescent="0.2">
      <c r="A544" s="25"/>
      <c r="H544" t="str">
        <f>IFERROR(VLOOKUP(G544,FILAMENTI_DB!$A:$C,3,FALSE),"")</f>
        <v/>
      </c>
      <c r="I544" t="str">
        <f>IFERROR(VLOOKUP(G544,FILAMENTI_DB!$A:$E,4,FALSE),"")</f>
        <v/>
      </c>
      <c r="J544" s="26"/>
      <c r="K544" s="27"/>
      <c r="L544" s="27"/>
      <c r="M544" s="27">
        <f t="shared" si="50"/>
        <v>0</v>
      </c>
      <c r="N544" s="26">
        <f t="shared" si="51"/>
        <v>0</v>
      </c>
      <c r="O544" s="26"/>
      <c r="P544" s="26"/>
      <c r="Q544" s="23"/>
      <c r="R544" s="23">
        <f t="shared" si="52"/>
        <v>0</v>
      </c>
      <c r="S544" s="23"/>
      <c r="T544" s="23">
        <f t="shared" si="53"/>
        <v>0</v>
      </c>
      <c r="U544" s="28" t="str">
        <f t="shared" si="54"/>
        <v/>
      </c>
      <c r="V544" s="10" t="str">
        <f>IFERROR(N544*VLOOKUP(G544,FILAMENTI_DB!$A:$J,10,FALSE),"")</f>
        <v/>
      </c>
      <c r="W544" s="23" t="str">
        <f>IFERROR((VLOOKUP(F544,STAMPANTI_DB!$A:$C,3,FALSE)/1000)*O544*SETTINGS!$C$6,"")</f>
        <v/>
      </c>
      <c r="X544" s="23" t="str">
        <f>IFERROR(O544*VLOOKUP(F544,STAMPANTI_DB!$A:$I,9,FALSE),"")</f>
        <v/>
      </c>
      <c r="Y544" s="23">
        <f>IFERROR(P544*SETTINGS!$C$7,"")</f>
        <v>0</v>
      </c>
      <c r="Z544" s="23">
        <f>SETTINGS!$C$11</f>
        <v>0.5</v>
      </c>
      <c r="AA544" s="23">
        <f t="shared" si="55"/>
        <v>0.5</v>
      </c>
      <c r="AB544" s="23">
        <f>IFERROR(AA544*SETTINGS!$C$9,"")</f>
        <v>2.5000000000000001E-2</v>
      </c>
      <c r="AC544" s="23">
        <f>IFERROR((AA544+AB544)*SETTINGS!$C$10,"")</f>
        <v>2.6250000000000002E-2</v>
      </c>
    </row>
    <row r="545" spans="1:29" ht="16" x14ac:dyDescent="0.2">
      <c r="A545" s="25"/>
      <c r="H545" t="str">
        <f>IFERROR(VLOOKUP(G545,FILAMENTI_DB!$A:$C,3,FALSE),"")</f>
        <v/>
      </c>
      <c r="I545" t="str">
        <f>IFERROR(VLOOKUP(G545,FILAMENTI_DB!$A:$E,4,FALSE),"")</f>
        <v/>
      </c>
      <c r="J545" s="26"/>
      <c r="K545" s="27"/>
      <c r="L545" s="27"/>
      <c r="M545" s="27">
        <f t="shared" si="50"/>
        <v>0</v>
      </c>
      <c r="N545" s="26">
        <f t="shared" si="51"/>
        <v>0</v>
      </c>
      <c r="O545" s="26"/>
      <c r="P545" s="26"/>
      <c r="Q545" s="23"/>
      <c r="R545" s="23">
        <f t="shared" si="52"/>
        <v>0</v>
      </c>
      <c r="S545" s="23"/>
      <c r="T545" s="23">
        <f t="shared" si="53"/>
        <v>0</v>
      </c>
      <c r="U545" s="28" t="str">
        <f t="shared" si="54"/>
        <v/>
      </c>
      <c r="V545" s="10" t="str">
        <f>IFERROR(N545*VLOOKUP(G545,FILAMENTI_DB!$A:$J,10,FALSE),"")</f>
        <v/>
      </c>
      <c r="W545" s="23" t="str">
        <f>IFERROR((VLOOKUP(F545,STAMPANTI_DB!$A:$C,3,FALSE)/1000)*O545*SETTINGS!$C$6,"")</f>
        <v/>
      </c>
      <c r="X545" s="23" t="str">
        <f>IFERROR(O545*VLOOKUP(F545,STAMPANTI_DB!$A:$I,9,FALSE),"")</f>
        <v/>
      </c>
      <c r="Y545" s="23">
        <f>IFERROR(P545*SETTINGS!$C$7,"")</f>
        <v>0</v>
      </c>
      <c r="Z545" s="23">
        <f>SETTINGS!$C$11</f>
        <v>0.5</v>
      </c>
      <c r="AA545" s="23">
        <f t="shared" si="55"/>
        <v>0.5</v>
      </c>
      <c r="AB545" s="23">
        <f>IFERROR(AA545*SETTINGS!$C$9,"")</f>
        <v>2.5000000000000001E-2</v>
      </c>
      <c r="AC545" s="23">
        <f>IFERROR((AA545+AB545)*SETTINGS!$C$10,"")</f>
        <v>2.6250000000000002E-2</v>
      </c>
    </row>
    <row r="546" spans="1:29" ht="16" x14ac:dyDescent="0.2">
      <c r="A546" s="25"/>
      <c r="H546" t="str">
        <f>IFERROR(VLOOKUP(G546,FILAMENTI_DB!$A:$C,3,FALSE),"")</f>
        <v/>
      </c>
      <c r="I546" t="str">
        <f>IFERROR(VLOOKUP(G546,FILAMENTI_DB!$A:$E,4,FALSE),"")</f>
        <v/>
      </c>
      <c r="J546" s="26"/>
      <c r="K546" s="27"/>
      <c r="L546" s="27"/>
      <c r="M546" s="27">
        <f t="shared" si="50"/>
        <v>0</v>
      </c>
      <c r="N546" s="26">
        <f t="shared" si="51"/>
        <v>0</v>
      </c>
      <c r="O546" s="26"/>
      <c r="P546" s="26"/>
      <c r="Q546" s="23"/>
      <c r="R546" s="23">
        <f t="shared" si="52"/>
        <v>0</v>
      </c>
      <c r="S546" s="23"/>
      <c r="T546" s="23">
        <f t="shared" si="53"/>
        <v>0</v>
      </c>
      <c r="U546" s="28" t="str">
        <f t="shared" si="54"/>
        <v/>
      </c>
      <c r="V546" s="10" t="str">
        <f>IFERROR(N546*VLOOKUP(G546,FILAMENTI_DB!$A:$J,10,FALSE),"")</f>
        <v/>
      </c>
      <c r="W546" s="23" t="str">
        <f>IFERROR((VLOOKUP(F546,STAMPANTI_DB!$A:$C,3,FALSE)/1000)*O546*SETTINGS!$C$6,"")</f>
        <v/>
      </c>
      <c r="X546" s="23" t="str">
        <f>IFERROR(O546*VLOOKUP(F546,STAMPANTI_DB!$A:$I,9,FALSE),"")</f>
        <v/>
      </c>
      <c r="Y546" s="23">
        <f>IFERROR(P546*SETTINGS!$C$7,"")</f>
        <v>0</v>
      </c>
      <c r="Z546" s="23">
        <f>SETTINGS!$C$11</f>
        <v>0.5</v>
      </c>
      <c r="AA546" s="23">
        <f t="shared" si="55"/>
        <v>0.5</v>
      </c>
      <c r="AB546" s="23">
        <f>IFERROR(AA546*SETTINGS!$C$9,"")</f>
        <v>2.5000000000000001E-2</v>
      </c>
      <c r="AC546" s="23">
        <f>IFERROR((AA546+AB546)*SETTINGS!$C$10,"")</f>
        <v>2.6250000000000002E-2</v>
      </c>
    </row>
    <row r="547" spans="1:29" ht="16" x14ac:dyDescent="0.2">
      <c r="A547" s="25"/>
      <c r="H547" t="str">
        <f>IFERROR(VLOOKUP(G547,FILAMENTI_DB!$A:$C,3,FALSE),"")</f>
        <v/>
      </c>
      <c r="I547" t="str">
        <f>IFERROR(VLOOKUP(G547,FILAMENTI_DB!$A:$E,4,FALSE),"")</f>
        <v/>
      </c>
      <c r="J547" s="26"/>
      <c r="K547" s="27"/>
      <c r="L547" s="27"/>
      <c r="M547" s="27">
        <f t="shared" si="50"/>
        <v>0</v>
      </c>
      <c r="N547" s="26">
        <f t="shared" si="51"/>
        <v>0</v>
      </c>
      <c r="O547" s="26"/>
      <c r="P547" s="26"/>
      <c r="Q547" s="23"/>
      <c r="R547" s="23">
        <f t="shared" si="52"/>
        <v>0</v>
      </c>
      <c r="S547" s="23"/>
      <c r="T547" s="23">
        <f t="shared" si="53"/>
        <v>0</v>
      </c>
      <c r="U547" s="28" t="str">
        <f t="shared" si="54"/>
        <v/>
      </c>
      <c r="V547" s="10" t="str">
        <f>IFERROR(N547*VLOOKUP(G547,FILAMENTI_DB!$A:$J,10,FALSE),"")</f>
        <v/>
      </c>
      <c r="W547" s="23" t="str">
        <f>IFERROR((VLOOKUP(F547,STAMPANTI_DB!$A:$C,3,FALSE)/1000)*O547*SETTINGS!$C$6,"")</f>
        <v/>
      </c>
      <c r="X547" s="23" t="str">
        <f>IFERROR(O547*VLOOKUP(F547,STAMPANTI_DB!$A:$I,9,FALSE),"")</f>
        <v/>
      </c>
      <c r="Y547" s="23">
        <f>IFERROR(P547*SETTINGS!$C$7,"")</f>
        <v>0</v>
      </c>
      <c r="Z547" s="23">
        <f>SETTINGS!$C$11</f>
        <v>0.5</v>
      </c>
      <c r="AA547" s="23">
        <f t="shared" si="55"/>
        <v>0.5</v>
      </c>
      <c r="AB547" s="23">
        <f>IFERROR(AA547*SETTINGS!$C$9,"")</f>
        <v>2.5000000000000001E-2</v>
      </c>
      <c r="AC547" s="23">
        <f>IFERROR((AA547+AB547)*SETTINGS!$C$10,"")</f>
        <v>2.6250000000000002E-2</v>
      </c>
    </row>
    <row r="548" spans="1:29" ht="16" x14ac:dyDescent="0.2">
      <c r="A548" s="25"/>
      <c r="H548" t="str">
        <f>IFERROR(VLOOKUP(G548,FILAMENTI_DB!$A:$C,3,FALSE),"")</f>
        <v/>
      </c>
      <c r="I548" t="str">
        <f>IFERROR(VLOOKUP(G548,FILAMENTI_DB!$A:$E,4,FALSE),"")</f>
        <v/>
      </c>
      <c r="J548" s="26"/>
      <c r="K548" s="27"/>
      <c r="L548" s="27"/>
      <c r="M548" s="27">
        <f t="shared" si="50"/>
        <v>0</v>
      </c>
      <c r="N548" s="26">
        <f t="shared" si="51"/>
        <v>0</v>
      </c>
      <c r="O548" s="26"/>
      <c r="P548" s="26"/>
      <c r="Q548" s="23"/>
      <c r="R548" s="23">
        <f t="shared" si="52"/>
        <v>0</v>
      </c>
      <c r="S548" s="23"/>
      <c r="T548" s="23">
        <f t="shared" si="53"/>
        <v>0</v>
      </c>
      <c r="U548" s="28" t="str">
        <f t="shared" si="54"/>
        <v/>
      </c>
      <c r="V548" s="10" t="str">
        <f>IFERROR(N548*VLOOKUP(G548,FILAMENTI_DB!$A:$J,10,FALSE),"")</f>
        <v/>
      </c>
      <c r="W548" s="23" t="str">
        <f>IFERROR((VLOOKUP(F548,STAMPANTI_DB!$A:$C,3,FALSE)/1000)*O548*SETTINGS!$C$6,"")</f>
        <v/>
      </c>
      <c r="X548" s="23" t="str">
        <f>IFERROR(O548*VLOOKUP(F548,STAMPANTI_DB!$A:$I,9,FALSE),"")</f>
        <v/>
      </c>
      <c r="Y548" s="23">
        <f>IFERROR(P548*SETTINGS!$C$7,"")</f>
        <v>0</v>
      </c>
      <c r="Z548" s="23">
        <f>SETTINGS!$C$11</f>
        <v>0.5</v>
      </c>
      <c r="AA548" s="23">
        <f t="shared" si="55"/>
        <v>0.5</v>
      </c>
      <c r="AB548" s="23">
        <f>IFERROR(AA548*SETTINGS!$C$9,"")</f>
        <v>2.5000000000000001E-2</v>
      </c>
      <c r="AC548" s="23">
        <f>IFERROR((AA548+AB548)*SETTINGS!$C$10,"")</f>
        <v>2.6250000000000002E-2</v>
      </c>
    </row>
    <row r="549" spans="1:29" ht="16" x14ac:dyDescent="0.2">
      <c r="A549" s="25"/>
      <c r="H549" t="str">
        <f>IFERROR(VLOOKUP(G549,FILAMENTI_DB!$A:$C,3,FALSE),"")</f>
        <v/>
      </c>
      <c r="I549" t="str">
        <f>IFERROR(VLOOKUP(G549,FILAMENTI_DB!$A:$E,4,FALSE),"")</f>
        <v/>
      </c>
      <c r="J549" s="26"/>
      <c r="K549" s="27"/>
      <c r="L549" s="27"/>
      <c r="M549" s="27">
        <f t="shared" si="50"/>
        <v>0</v>
      </c>
      <c r="N549" s="26">
        <f t="shared" si="51"/>
        <v>0</v>
      </c>
      <c r="O549" s="26"/>
      <c r="P549" s="26"/>
      <c r="Q549" s="23"/>
      <c r="R549" s="23">
        <f t="shared" si="52"/>
        <v>0</v>
      </c>
      <c r="S549" s="23"/>
      <c r="T549" s="23">
        <f t="shared" si="53"/>
        <v>0</v>
      </c>
      <c r="U549" s="28" t="str">
        <f t="shared" si="54"/>
        <v/>
      </c>
      <c r="V549" s="10" t="str">
        <f>IFERROR(N549*VLOOKUP(G549,FILAMENTI_DB!$A:$J,10,FALSE),"")</f>
        <v/>
      </c>
      <c r="W549" s="23" t="str">
        <f>IFERROR((VLOOKUP(F549,STAMPANTI_DB!$A:$C,3,FALSE)/1000)*O549*SETTINGS!$C$6,"")</f>
        <v/>
      </c>
      <c r="X549" s="23" t="str">
        <f>IFERROR(O549*VLOOKUP(F549,STAMPANTI_DB!$A:$I,9,FALSE),"")</f>
        <v/>
      </c>
      <c r="Y549" s="23">
        <f>IFERROR(P549*SETTINGS!$C$7,"")</f>
        <v>0</v>
      </c>
      <c r="Z549" s="23">
        <f>SETTINGS!$C$11</f>
        <v>0.5</v>
      </c>
      <c r="AA549" s="23">
        <f t="shared" si="55"/>
        <v>0.5</v>
      </c>
      <c r="AB549" s="23">
        <f>IFERROR(AA549*SETTINGS!$C$9,"")</f>
        <v>2.5000000000000001E-2</v>
      </c>
      <c r="AC549" s="23">
        <f>IFERROR((AA549+AB549)*SETTINGS!$C$10,"")</f>
        <v>2.6250000000000002E-2</v>
      </c>
    </row>
    <row r="550" spans="1:29" ht="16" x14ac:dyDescent="0.2">
      <c r="A550" s="25"/>
      <c r="H550" t="str">
        <f>IFERROR(VLOOKUP(G550,FILAMENTI_DB!$A:$C,3,FALSE),"")</f>
        <v/>
      </c>
      <c r="I550" t="str">
        <f>IFERROR(VLOOKUP(G550,FILAMENTI_DB!$A:$E,4,FALSE),"")</f>
        <v/>
      </c>
      <c r="J550" s="26"/>
      <c r="K550" s="27"/>
      <c r="L550" s="27"/>
      <c r="M550" s="27">
        <f t="shared" si="50"/>
        <v>0</v>
      </c>
      <c r="N550" s="26">
        <f t="shared" si="51"/>
        <v>0</v>
      </c>
      <c r="O550" s="26"/>
      <c r="P550" s="26"/>
      <c r="Q550" s="23"/>
      <c r="R550" s="23">
        <f t="shared" si="52"/>
        <v>0</v>
      </c>
      <c r="S550" s="23"/>
      <c r="T550" s="23">
        <f t="shared" si="53"/>
        <v>0</v>
      </c>
      <c r="U550" s="28" t="str">
        <f t="shared" si="54"/>
        <v/>
      </c>
      <c r="V550" s="10" t="str">
        <f>IFERROR(N550*VLOOKUP(G550,FILAMENTI_DB!$A:$J,10,FALSE),"")</f>
        <v/>
      </c>
      <c r="W550" s="23" t="str">
        <f>IFERROR((VLOOKUP(F550,STAMPANTI_DB!$A:$C,3,FALSE)/1000)*O550*SETTINGS!$C$6,"")</f>
        <v/>
      </c>
      <c r="X550" s="23" t="str">
        <f>IFERROR(O550*VLOOKUP(F550,STAMPANTI_DB!$A:$I,9,FALSE),"")</f>
        <v/>
      </c>
      <c r="Y550" s="23">
        <f>IFERROR(P550*SETTINGS!$C$7,"")</f>
        <v>0</v>
      </c>
      <c r="Z550" s="23">
        <f>SETTINGS!$C$11</f>
        <v>0.5</v>
      </c>
      <c r="AA550" s="23">
        <f t="shared" si="55"/>
        <v>0.5</v>
      </c>
      <c r="AB550" s="23">
        <f>IFERROR(AA550*SETTINGS!$C$9,"")</f>
        <v>2.5000000000000001E-2</v>
      </c>
      <c r="AC550" s="23">
        <f>IFERROR((AA550+AB550)*SETTINGS!$C$10,"")</f>
        <v>2.6250000000000002E-2</v>
      </c>
    </row>
    <row r="551" spans="1:29" ht="16" x14ac:dyDescent="0.2">
      <c r="A551" s="25"/>
      <c r="H551" t="str">
        <f>IFERROR(VLOOKUP(G551,FILAMENTI_DB!$A:$C,3,FALSE),"")</f>
        <v/>
      </c>
      <c r="I551" t="str">
        <f>IFERROR(VLOOKUP(G551,FILAMENTI_DB!$A:$E,4,FALSE),"")</f>
        <v/>
      </c>
      <c r="J551" s="26"/>
      <c r="K551" s="27"/>
      <c r="L551" s="27"/>
      <c r="M551" s="27">
        <f t="shared" si="50"/>
        <v>0</v>
      </c>
      <c r="N551" s="26">
        <f t="shared" si="51"/>
        <v>0</v>
      </c>
      <c r="O551" s="26"/>
      <c r="P551" s="26"/>
      <c r="Q551" s="23"/>
      <c r="R551" s="23">
        <f t="shared" si="52"/>
        <v>0</v>
      </c>
      <c r="S551" s="23"/>
      <c r="T551" s="23">
        <f t="shared" si="53"/>
        <v>0</v>
      </c>
      <c r="U551" s="28" t="str">
        <f t="shared" si="54"/>
        <v/>
      </c>
      <c r="V551" s="10" t="str">
        <f>IFERROR(N551*VLOOKUP(G551,FILAMENTI_DB!$A:$J,10,FALSE),"")</f>
        <v/>
      </c>
      <c r="W551" s="23" t="str">
        <f>IFERROR((VLOOKUP(F551,STAMPANTI_DB!$A:$C,3,FALSE)/1000)*O551*SETTINGS!$C$6,"")</f>
        <v/>
      </c>
      <c r="X551" s="23" t="str">
        <f>IFERROR(O551*VLOOKUP(F551,STAMPANTI_DB!$A:$I,9,FALSE),"")</f>
        <v/>
      </c>
      <c r="Y551" s="23">
        <f>IFERROR(P551*SETTINGS!$C$7,"")</f>
        <v>0</v>
      </c>
      <c r="Z551" s="23">
        <f>SETTINGS!$C$11</f>
        <v>0.5</v>
      </c>
      <c r="AA551" s="23">
        <f t="shared" si="55"/>
        <v>0.5</v>
      </c>
      <c r="AB551" s="23">
        <f>IFERROR(AA551*SETTINGS!$C$9,"")</f>
        <v>2.5000000000000001E-2</v>
      </c>
      <c r="AC551" s="23">
        <f>IFERROR((AA551+AB551)*SETTINGS!$C$10,"")</f>
        <v>2.6250000000000002E-2</v>
      </c>
    </row>
    <row r="552" spans="1:29" ht="16" x14ac:dyDescent="0.2">
      <c r="A552" s="25"/>
      <c r="H552" t="str">
        <f>IFERROR(VLOOKUP(G552,FILAMENTI_DB!$A:$C,3,FALSE),"")</f>
        <v/>
      </c>
      <c r="I552" t="str">
        <f>IFERROR(VLOOKUP(G552,FILAMENTI_DB!$A:$E,4,FALSE),"")</f>
        <v/>
      </c>
      <c r="J552" s="26"/>
      <c r="K552" s="27"/>
      <c r="L552" s="27"/>
      <c r="M552" s="27">
        <f t="shared" si="50"/>
        <v>0</v>
      </c>
      <c r="N552" s="26">
        <f t="shared" si="51"/>
        <v>0</v>
      </c>
      <c r="O552" s="26"/>
      <c r="P552" s="26"/>
      <c r="Q552" s="23"/>
      <c r="R552" s="23">
        <f t="shared" si="52"/>
        <v>0</v>
      </c>
      <c r="S552" s="23"/>
      <c r="T552" s="23">
        <f t="shared" si="53"/>
        <v>0</v>
      </c>
      <c r="U552" s="28" t="str">
        <f t="shared" si="54"/>
        <v/>
      </c>
      <c r="V552" s="10" t="str">
        <f>IFERROR(N552*VLOOKUP(G552,FILAMENTI_DB!$A:$J,10,FALSE),"")</f>
        <v/>
      </c>
      <c r="W552" s="23" t="str">
        <f>IFERROR((VLOOKUP(F552,STAMPANTI_DB!$A:$C,3,FALSE)/1000)*O552*SETTINGS!$C$6,"")</f>
        <v/>
      </c>
      <c r="X552" s="23" t="str">
        <f>IFERROR(O552*VLOOKUP(F552,STAMPANTI_DB!$A:$I,9,FALSE),"")</f>
        <v/>
      </c>
      <c r="Y552" s="23">
        <f>IFERROR(P552*SETTINGS!$C$7,"")</f>
        <v>0</v>
      </c>
      <c r="Z552" s="23">
        <f>SETTINGS!$C$11</f>
        <v>0.5</v>
      </c>
      <c r="AA552" s="23">
        <f t="shared" si="55"/>
        <v>0.5</v>
      </c>
      <c r="AB552" s="23">
        <f>IFERROR(AA552*SETTINGS!$C$9,"")</f>
        <v>2.5000000000000001E-2</v>
      </c>
      <c r="AC552" s="23">
        <f>IFERROR((AA552+AB552)*SETTINGS!$C$10,"")</f>
        <v>2.6250000000000002E-2</v>
      </c>
    </row>
    <row r="553" spans="1:29" ht="16" x14ac:dyDescent="0.2">
      <c r="A553" s="25"/>
      <c r="H553" t="str">
        <f>IFERROR(VLOOKUP(G553,FILAMENTI_DB!$A:$C,3,FALSE),"")</f>
        <v/>
      </c>
      <c r="I553" t="str">
        <f>IFERROR(VLOOKUP(G553,FILAMENTI_DB!$A:$E,4,FALSE),"")</f>
        <v/>
      </c>
      <c r="J553" s="26"/>
      <c r="K553" s="27"/>
      <c r="L553" s="27"/>
      <c r="M553" s="27">
        <f t="shared" si="50"/>
        <v>0</v>
      </c>
      <c r="N553" s="26">
        <f t="shared" si="51"/>
        <v>0</v>
      </c>
      <c r="O553" s="26"/>
      <c r="P553" s="26"/>
      <c r="Q553" s="23"/>
      <c r="R553" s="23">
        <f t="shared" si="52"/>
        <v>0</v>
      </c>
      <c r="S553" s="23"/>
      <c r="T553" s="23">
        <f t="shared" si="53"/>
        <v>0</v>
      </c>
      <c r="U553" s="28" t="str">
        <f t="shared" si="54"/>
        <v/>
      </c>
      <c r="V553" s="10" t="str">
        <f>IFERROR(N553*VLOOKUP(G553,FILAMENTI_DB!$A:$J,10,FALSE),"")</f>
        <v/>
      </c>
      <c r="W553" s="23" t="str">
        <f>IFERROR((VLOOKUP(F553,STAMPANTI_DB!$A:$C,3,FALSE)/1000)*O553*SETTINGS!$C$6,"")</f>
        <v/>
      </c>
      <c r="X553" s="23" t="str">
        <f>IFERROR(O553*VLOOKUP(F553,STAMPANTI_DB!$A:$I,9,FALSE),"")</f>
        <v/>
      </c>
      <c r="Y553" s="23">
        <f>IFERROR(P553*SETTINGS!$C$7,"")</f>
        <v>0</v>
      </c>
      <c r="Z553" s="23">
        <f>SETTINGS!$C$11</f>
        <v>0.5</v>
      </c>
      <c r="AA553" s="23">
        <f t="shared" si="55"/>
        <v>0.5</v>
      </c>
      <c r="AB553" s="23">
        <f>IFERROR(AA553*SETTINGS!$C$9,"")</f>
        <v>2.5000000000000001E-2</v>
      </c>
      <c r="AC553" s="23">
        <f>IFERROR((AA553+AB553)*SETTINGS!$C$10,"")</f>
        <v>2.6250000000000002E-2</v>
      </c>
    </row>
    <row r="554" spans="1:29" ht="16" x14ac:dyDescent="0.2">
      <c r="A554" s="25"/>
      <c r="H554" t="str">
        <f>IFERROR(VLOOKUP(G554,FILAMENTI_DB!$A:$C,3,FALSE),"")</f>
        <v/>
      </c>
      <c r="I554" t="str">
        <f>IFERROR(VLOOKUP(G554,FILAMENTI_DB!$A:$E,4,FALSE),"")</f>
        <v/>
      </c>
      <c r="J554" s="26"/>
      <c r="K554" s="27"/>
      <c r="L554" s="27"/>
      <c r="M554" s="27">
        <f t="shared" si="50"/>
        <v>0</v>
      </c>
      <c r="N554" s="26">
        <f t="shared" si="51"/>
        <v>0</v>
      </c>
      <c r="O554" s="26"/>
      <c r="P554" s="26"/>
      <c r="Q554" s="23"/>
      <c r="R554" s="23">
        <f t="shared" si="52"/>
        <v>0</v>
      </c>
      <c r="S554" s="23"/>
      <c r="T554" s="23">
        <f t="shared" si="53"/>
        <v>0</v>
      </c>
      <c r="U554" s="28" t="str">
        <f t="shared" si="54"/>
        <v/>
      </c>
      <c r="V554" s="10" t="str">
        <f>IFERROR(N554*VLOOKUP(G554,FILAMENTI_DB!$A:$J,10,FALSE),"")</f>
        <v/>
      </c>
      <c r="W554" s="23" t="str">
        <f>IFERROR((VLOOKUP(F554,STAMPANTI_DB!$A:$C,3,FALSE)/1000)*O554*SETTINGS!$C$6,"")</f>
        <v/>
      </c>
      <c r="X554" s="23" t="str">
        <f>IFERROR(O554*VLOOKUP(F554,STAMPANTI_DB!$A:$I,9,FALSE),"")</f>
        <v/>
      </c>
      <c r="Y554" s="23">
        <f>IFERROR(P554*SETTINGS!$C$7,"")</f>
        <v>0</v>
      </c>
      <c r="Z554" s="23">
        <f>SETTINGS!$C$11</f>
        <v>0.5</v>
      </c>
      <c r="AA554" s="23">
        <f t="shared" si="55"/>
        <v>0.5</v>
      </c>
      <c r="AB554" s="23">
        <f>IFERROR(AA554*SETTINGS!$C$9,"")</f>
        <v>2.5000000000000001E-2</v>
      </c>
      <c r="AC554" s="23">
        <f>IFERROR((AA554+AB554)*SETTINGS!$C$10,"")</f>
        <v>2.6250000000000002E-2</v>
      </c>
    </row>
    <row r="555" spans="1:29" ht="16" x14ac:dyDescent="0.2">
      <c r="A555" s="25"/>
      <c r="H555" t="str">
        <f>IFERROR(VLOOKUP(G555,FILAMENTI_DB!$A:$C,3,FALSE),"")</f>
        <v/>
      </c>
      <c r="I555" t="str">
        <f>IFERROR(VLOOKUP(G555,FILAMENTI_DB!$A:$E,4,FALSE),"")</f>
        <v/>
      </c>
      <c r="J555" s="26"/>
      <c r="K555" s="27"/>
      <c r="L555" s="27"/>
      <c r="M555" s="27">
        <f t="shared" si="50"/>
        <v>0</v>
      </c>
      <c r="N555" s="26">
        <f t="shared" si="51"/>
        <v>0</v>
      </c>
      <c r="O555" s="26"/>
      <c r="P555" s="26"/>
      <c r="Q555" s="23"/>
      <c r="R555" s="23">
        <f t="shared" si="52"/>
        <v>0</v>
      </c>
      <c r="S555" s="23"/>
      <c r="T555" s="23">
        <f t="shared" si="53"/>
        <v>0</v>
      </c>
      <c r="U555" s="28" t="str">
        <f t="shared" si="54"/>
        <v/>
      </c>
      <c r="V555" s="10" t="str">
        <f>IFERROR(N555*VLOOKUP(G555,FILAMENTI_DB!$A:$J,10,FALSE),"")</f>
        <v/>
      </c>
      <c r="W555" s="23" t="str">
        <f>IFERROR((VLOOKUP(F555,STAMPANTI_DB!$A:$C,3,FALSE)/1000)*O555*SETTINGS!$C$6,"")</f>
        <v/>
      </c>
      <c r="X555" s="23" t="str">
        <f>IFERROR(O555*VLOOKUP(F555,STAMPANTI_DB!$A:$I,9,FALSE),"")</f>
        <v/>
      </c>
      <c r="Y555" s="23">
        <f>IFERROR(P555*SETTINGS!$C$7,"")</f>
        <v>0</v>
      </c>
      <c r="Z555" s="23">
        <f>SETTINGS!$C$11</f>
        <v>0.5</v>
      </c>
      <c r="AA555" s="23">
        <f t="shared" si="55"/>
        <v>0.5</v>
      </c>
      <c r="AB555" s="23">
        <f>IFERROR(AA555*SETTINGS!$C$9,"")</f>
        <v>2.5000000000000001E-2</v>
      </c>
      <c r="AC555" s="23">
        <f>IFERROR((AA555+AB555)*SETTINGS!$C$10,"")</f>
        <v>2.6250000000000002E-2</v>
      </c>
    </row>
    <row r="556" spans="1:29" ht="16" x14ac:dyDescent="0.2">
      <c r="A556" s="25"/>
      <c r="H556" t="str">
        <f>IFERROR(VLOOKUP(G556,FILAMENTI_DB!$A:$C,3,FALSE),"")</f>
        <v/>
      </c>
      <c r="I556" t="str">
        <f>IFERROR(VLOOKUP(G556,FILAMENTI_DB!$A:$E,4,FALSE),"")</f>
        <v/>
      </c>
      <c r="J556" s="26"/>
      <c r="K556" s="27"/>
      <c r="L556" s="27"/>
      <c r="M556" s="27">
        <f t="shared" si="50"/>
        <v>0</v>
      </c>
      <c r="N556" s="26">
        <f t="shared" si="51"/>
        <v>0</v>
      </c>
      <c r="O556" s="26"/>
      <c r="P556" s="26"/>
      <c r="Q556" s="23"/>
      <c r="R556" s="23">
        <f t="shared" si="52"/>
        <v>0</v>
      </c>
      <c r="S556" s="23"/>
      <c r="T556" s="23">
        <f t="shared" si="53"/>
        <v>0</v>
      </c>
      <c r="U556" s="28" t="str">
        <f t="shared" si="54"/>
        <v/>
      </c>
      <c r="V556" s="10" t="str">
        <f>IFERROR(N556*VLOOKUP(G556,FILAMENTI_DB!$A:$J,10,FALSE),"")</f>
        <v/>
      </c>
      <c r="W556" s="23" t="str">
        <f>IFERROR((VLOOKUP(F556,STAMPANTI_DB!$A:$C,3,FALSE)/1000)*O556*SETTINGS!$C$6,"")</f>
        <v/>
      </c>
      <c r="X556" s="23" t="str">
        <f>IFERROR(O556*VLOOKUP(F556,STAMPANTI_DB!$A:$I,9,FALSE),"")</f>
        <v/>
      </c>
      <c r="Y556" s="23">
        <f>IFERROR(P556*SETTINGS!$C$7,"")</f>
        <v>0</v>
      </c>
      <c r="Z556" s="23">
        <f>SETTINGS!$C$11</f>
        <v>0.5</v>
      </c>
      <c r="AA556" s="23">
        <f t="shared" si="55"/>
        <v>0.5</v>
      </c>
      <c r="AB556" s="23">
        <f>IFERROR(AA556*SETTINGS!$C$9,"")</f>
        <v>2.5000000000000001E-2</v>
      </c>
      <c r="AC556" s="23">
        <f>IFERROR((AA556+AB556)*SETTINGS!$C$10,"")</f>
        <v>2.6250000000000002E-2</v>
      </c>
    </row>
    <row r="557" spans="1:29" ht="16" x14ac:dyDescent="0.2">
      <c r="A557" s="25"/>
      <c r="H557" t="str">
        <f>IFERROR(VLOOKUP(G557,FILAMENTI_DB!$A:$C,3,FALSE),"")</f>
        <v/>
      </c>
      <c r="I557" t="str">
        <f>IFERROR(VLOOKUP(G557,FILAMENTI_DB!$A:$E,4,FALSE),"")</f>
        <v/>
      </c>
      <c r="J557" s="26"/>
      <c r="K557" s="27"/>
      <c r="L557" s="27"/>
      <c r="M557" s="27">
        <f t="shared" si="50"/>
        <v>0</v>
      </c>
      <c r="N557" s="26">
        <f t="shared" si="51"/>
        <v>0</v>
      </c>
      <c r="O557" s="26"/>
      <c r="P557" s="26"/>
      <c r="Q557" s="23"/>
      <c r="R557" s="23">
        <f t="shared" si="52"/>
        <v>0</v>
      </c>
      <c r="S557" s="23"/>
      <c r="T557" s="23">
        <f t="shared" si="53"/>
        <v>0</v>
      </c>
      <c r="U557" s="28" t="str">
        <f t="shared" si="54"/>
        <v/>
      </c>
      <c r="V557" s="10" t="str">
        <f>IFERROR(N557*VLOOKUP(G557,FILAMENTI_DB!$A:$J,10,FALSE),"")</f>
        <v/>
      </c>
      <c r="W557" s="23" t="str">
        <f>IFERROR((VLOOKUP(F557,STAMPANTI_DB!$A:$C,3,FALSE)/1000)*O557*SETTINGS!$C$6,"")</f>
        <v/>
      </c>
      <c r="X557" s="23" t="str">
        <f>IFERROR(O557*VLOOKUP(F557,STAMPANTI_DB!$A:$I,9,FALSE),"")</f>
        <v/>
      </c>
      <c r="Y557" s="23">
        <f>IFERROR(P557*SETTINGS!$C$7,"")</f>
        <v>0</v>
      </c>
      <c r="Z557" s="23">
        <f>SETTINGS!$C$11</f>
        <v>0.5</v>
      </c>
      <c r="AA557" s="23">
        <f t="shared" si="55"/>
        <v>0.5</v>
      </c>
      <c r="AB557" s="23">
        <f>IFERROR(AA557*SETTINGS!$C$9,"")</f>
        <v>2.5000000000000001E-2</v>
      </c>
      <c r="AC557" s="23">
        <f>IFERROR((AA557+AB557)*SETTINGS!$C$10,"")</f>
        <v>2.6250000000000002E-2</v>
      </c>
    </row>
    <row r="558" spans="1:29" ht="16" x14ac:dyDescent="0.2">
      <c r="A558" s="25"/>
      <c r="H558" t="str">
        <f>IFERROR(VLOOKUP(G558,FILAMENTI_DB!$A:$C,3,FALSE),"")</f>
        <v/>
      </c>
      <c r="I558" t="str">
        <f>IFERROR(VLOOKUP(G558,FILAMENTI_DB!$A:$E,4,FALSE),"")</f>
        <v/>
      </c>
      <c r="J558" s="26"/>
      <c r="K558" s="27"/>
      <c r="L558" s="27"/>
      <c r="M558" s="27">
        <f t="shared" si="50"/>
        <v>0</v>
      </c>
      <c r="N558" s="26">
        <f t="shared" si="51"/>
        <v>0</v>
      </c>
      <c r="O558" s="26"/>
      <c r="P558" s="26"/>
      <c r="Q558" s="23"/>
      <c r="R558" s="23">
        <f t="shared" si="52"/>
        <v>0</v>
      </c>
      <c r="S558" s="23"/>
      <c r="T558" s="23">
        <f t="shared" si="53"/>
        <v>0</v>
      </c>
      <c r="U558" s="28" t="str">
        <f t="shared" si="54"/>
        <v/>
      </c>
      <c r="V558" s="10" t="str">
        <f>IFERROR(N558*VLOOKUP(G558,FILAMENTI_DB!$A:$J,10,FALSE),"")</f>
        <v/>
      </c>
      <c r="W558" s="23" t="str">
        <f>IFERROR((VLOOKUP(F558,STAMPANTI_DB!$A:$C,3,FALSE)/1000)*O558*SETTINGS!$C$6,"")</f>
        <v/>
      </c>
      <c r="X558" s="23" t="str">
        <f>IFERROR(O558*VLOOKUP(F558,STAMPANTI_DB!$A:$I,9,FALSE),"")</f>
        <v/>
      </c>
      <c r="Y558" s="23">
        <f>IFERROR(P558*SETTINGS!$C$7,"")</f>
        <v>0</v>
      </c>
      <c r="Z558" s="23">
        <f>SETTINGS!$C$11</f>
        <v>0.5</v>
      </c>
      <c r="AA558" s="23">
        <f t="shared" si="55"/>
        <v>0.5</v>
      </c>
      <c r="AB558" s="23">
        <f>IFERROR(AA558*SETTINGS!$C$9,"")</f>
        <v>2.5000000000000001E-2</v>
      </c>
      <c r="AC558" s="23">
        <f>IFERROR((AA558+AB558)*SETTINGS!$C$10,"")</f>
        <v>2.6250000000000002E-2</v>
      </c>
    </row>
    <row r="559" spans="1:29" ht="16" x14ac:dyDescent="0.2">
      <c r="A559" s="25"/>
      <c r="H559" t="str">
        <f>IFERROR(VLOOKUP(G559,FILAMENTI_DB!$A:$C,3,FALSE),"")</f>
        <v/>
      </c>
      <c r="I559" t="str">
        <f>IFERROR(VLOOKUP(G559,FILAMENTI_DB!$A:$E,4,FALSE),"")</f>
        <v/>
      </c>
      <c r="J559" s="26"/>
      <c r="K559" s="27"/>
      <c r="L559" s="27"/>
      <c r="M559" s="27">
        <f t="shared" si="50"/>
        <v>0</v>
      </c>
      <c r="N559" s="26">
        <f t="shared" si="51"/>
        <v>0</v>
      </c>
      <c r="O559" s="26"/>
      <c r="P559" s="26"/>
      <c r="Q559" s="23"/>
      <c r="R559" s="23">
        <f t="shared" si="52"/>
        <v>0</v>
      </c>
      <c r="S559" s="23"/>
      <c r="T559" s="23">
        <f t="shared" si="53"/>
        <v>0</v>
      </c>
      <c r="U559" s="28" t="str">
        <f t="shared" si="54"/>
        <v/>
      </c>
      <c r="V559" s="10" t="str">
        <f>IFERROR(N559*VLOOKUP(G559,FILAMENTI_DB!$A:$J,10,FALSE),"")</f>
        <v/>
      </c>
      <c r="W559" s="23" t="str">
        <f>IFERROR((VLOOKUP(F559,STAMPANTI_DB!$A:$C,3,FALSE)/1000)*O559*SETTINGS!$C$6,"")</f>
        <v/>
      </c>
      <c r="X559" s="23" t="str">
        <f>IFERROR(O559*VLOOKUP(F559,STAMPANTI_DB!$A:$I,9,FALSE),"")</f>
        <v/>
      </c>
      <c r="Y559" s="23">
        <f>IFERROR(P559*SETTINGS!$C$7,"")</f>
        <v>0</v>
      </c>
      <c r="Z559" s="23">
        <f>SETTINGS!$C$11</f>
        <v>0.5</v>
      </c>
      <c r="AA559" s="23">
        <f t="shared" si="55"/>
        <v>0.5</v>
      </c>
      <c r="AB559" s="23">
        <f>IFERROR(AA559*SETTINGS!$C$9,"")</f>
        <v>2.5000000000000001E-2</v>
      </c>
      <c r="AC559" s="23">
        <f>IFERROR((AA559+AB559)*SETTINGS!$C$10,"")</f>
        <v>2.6250000000000002E-2</v>
      </c>
    </row>
    <row r="560" spans="1:29" ht="16" x14ac:dyDescent="0.2">
      <c r="A560" s="25"/>
      <c r="H560" t="str">
        <f>IFERROR(VLOOKUP(G560,FILAMENTI_DB!$A:$C,3,FALSE),"")</f>
        <v/>
      </c>
      <c r="I560" t="str">
        <f>IFERROR(VLOOKUP(G560,FILAMENTI_DB!$A:$E,4,FALSE),"")</f>
        <v/>
      </c>
      <c r="J560" s="26"/>
      <c r="K560" s="27"/>
      <c r="L560" s="27"/>
      <c r="M560" s="27">
        <f t="shared" si="50"/>
        <v>0</v>
      </c>
      <c r="N560" s="26">
        <f t="shared" si="51"/>
        <v>0</v>
      </c>
      <c r="O560" s="26"/>
      <c r="P560" s="26"/>
      <c r="Q560" s="23"/>
      <c r="R560" s="23">
        <f t="shared" si="52"/>
        <v>0</v>
      </c>
      <c r="S560" s="23"/>
      <c r="T560" s="23">
        <f t="shared" si="53"/>
        <v>0</v>
      </c>
      <c r="U560" s="28" t="str">
        <f t="shared" si="54"/>
        <v/>
      </c>
      <c r="V560" s="10" t="str">
        <f>IFERROR(N560*VLOOKUP(G560,FILAMENTI_DB!$A:$J,10,FALSE),"")</f>
        <v/>
      </c>
      <c r="W560" s="23" t="str">
        <f>IFERROR((VLOOKUP(F560,STAMPANTI_DB!$A:$C,3,FALSE)/1000)*O560*SETTINGS!$C$6,"")</f>
        <v/>
      </c>
      <c r="X560" s="23" t="str">
        <f>IFERROR(O560*VLOOKUP(F560,STAMPANTI_DB!$A:$I,9,FALSE),"")</f>
        <v/>
      </c>
      <c r="Y560" s="23">
        <f>IFERROR(P560*SETTINGS!$C$7,"")</f>
        <v>0</v>
      </c>
      <c r="Z560" s="23">
        <f>SETTINGS!$C$11</f>
        <v>0.5</v>
      </c>
      <c r="AA560" s="23">
        <f t="shared" si="55"/>
        <v>0.5</v>
      </c>
      <c r="AB560" s="23">
        <f>IFERROR(AA560*SETTINGS!$C$9,"")</f>
        <v>2.5000000000000001E-2</v>
      </c>
      <c r="AC560" s="23">
        <f>IFERROR((AA560+AB560)*SETTINGS!$C$10,"")</f>
        <v>2.6250000000000002E-2</v>
      </c>
    </row>
    <row r="561" spans="1:29" ht="16" x14ac:dyDescent="0.2">
      <c r="A561" s="25"/>
      <c r="H561" t="str">
        <f>IFERROR(VLOOKUP(G561,FILAMENTI_DB!$A:$C,3,FALSE),"")</f>
        <v/>
      </c>
      <c r="I561" t="str">
        <f>IFERROR(VLOOKUP(G561,FILAMENTI_DB!$A:$E,4,FALSE),"")</f>
        <v/>
      </c>
      <c r="J561" s="26"/>
      <c r="K561" s="27"/>
      <c r="L561" s="27"/>
      <c r="M561" s="27">
        <f t="shared" si="50"/>
        <v>0</v>
      </c>
      <c r="N561" s="26">
        <f t="shared" si="51"/>
        <v>0</v>
      </c>
      <c r="O561" s="26"/>
      <c r="P561" s="26"/>
      <c r="Q561" s="23"/>
      <c r="R561" s="23">
        <f t="shared" si="52"/>
        <v>0</v>
      </c>
      <c r="S561" s="23"/>
      <c r="T561" s="23">
        <f t="shared" si="53"/>
        <v>0</v>
      </c>
      <c r="U561" s="28" t="str">
        <f t="shared" si="54"/>
        <v/>
      </c>
      <c r="V561" s="10" t="str">
        <f>IFERROR(N561*VLOOKUP(G561,FILAMENTI_DB!$A:$J,10,FALSE),"")</f>
        <v/>
      </c>
      <c r="W561" s="23" t="str">
        <f>IFERROR((VLOOKUP(F561,STAMPANTI_DB!$A:$C,3,FALSE)/1000)*O561*SETTINGS!$C$6,"")</f>
        <v/>
      </c>
      <c r="X561" s="23" t="str">
        <f>IFERROR(O561*VLOOKUP(F561,STAMPANTI_DB!$A:$I,9,FALSE),"")</f>
        <v/>
      </c>
      <c r="Y561" s="23">
        <f>IFERROR(P561*SETTINGS!$C$7,"")</f>
        <v>0</v>
      </c>
      <c r="Z561" s="23">
        <f>SETTINGS!$C$11</f>
        <v>0.5</v>
      </c>
      <c r="AA561" s="23">
        <f t="shared" si="55"/>
        <v>0.5</v>
      </c>
      <c r="AB561" s="23">
        <f>IFERROR(AA561*SETTINGS!$C$9,"")</f>
        <v>2.5000000000000001E-2</v>
      </c>
      <c r="AC561" s="23">
        <f>IFERROR((AA561+AB561)*SETTINGS!$C$10,"")</f>
        <v>2.6250000000000002E-2</v>
      </c>
    </row>
    <row r="562" spans="1:29" ht="16" x14ac:dyDescent="0.2">
      <c r="A562" s="25"/>
      <c r="H562" t="str">
        <f>IFERROR(VLOOKUP(G562,FILAMENTI_DB!$A:$C,3,FALSE),"")</f>
        <v/>
      </c>
      <c r="I562" t="str">
        <f>IFERROR(VLOOKUP(G562,FILAMENTI_DB!$A:$E,4,FALSE),"")</f>
        <v/>
      </c>
      <c r="J562" s="26"/>
      <c r="K562" s="27"/>
      <c r="L562" s="27"/>
      <c r="M562" s="27">
        <f t="shared" si="50"/>
        <v>0</v>
      </c>
      <c r="N562" s="26">
        <f t="shared" si="51"/>
        <v>0</v>
      </c>
      <c r="O562" s="26"/>
      <c r="P562" s="26"/>
      <c r="Q562" s="23"/>
      <c r="R562" s="23">
        <f t="shared" si="52"/>
        <v>0</v>
      </c>
      <c r="S562" s="23"/>
      <c r="T562" s="23">
        <f t="shared" si="53"/>
        <v>0</v>
      </c>
      <c r="U562" s="28" t="str">
        <f t="shared" si="54"/>
        <v/>
      </c>
      <c r="V562" s="10" t="str">
        <f>IFERROR(N562*VLOOKUP(G562,FILAMENTI_DB!$A:$J,10,FALSE),"")</f>
        <v/>
      </c>
      <c r="W562" s="23" t="str">
        <f>IFERROR((VLOOKUP(F562,STAMPANTI_DB!$A:$C,3,FALSE)/1000)*O562*SETTINGS!$C$6,"")</f>
        <v/>
      </c>
      <c r="X562" s="23" t="str">
        <f>IFERROR(O562*VLOOKUP(F562,STAMPANTI_DB!$A:$I,9,FALSE),"")</f>
        <v/>
      </c>
      <c r="Y562" s="23">
        <f>IFERROR(P562*SETTINGS!$C$7,"")</f>
        <v>0</v>
      </c>
      <c r="Z562" s="23">
        <f>SETTINGS!$C$11</f>
        <v>0.5</v>
      </c>
      <c r="AA562" s="23">
        <f t="shared" si="55"/>
        <v>0.5</v>
      </c>
      <c r="AB562" s="23">
        <f>IFERROR(AA562*SETTINGS!$C$9,"")</f>
        <v>2.5000000000000001E-2</v>
      </c>
      <c r="AC562" s="23">
        <f>IFERROR((AA562+AB562)*SETTINGS!$C$10,"")</f>
        <v>2.6250000000000002E-2</v>
      </c>
    </row>
    <row r="563" spans="1:29" ht="16" x14ac:dyDescent="0.2">
      <c r="A563" s="25"/>
      <c r="H563" t="str">
        <f>IFERROR(VLOOKUP(G563,FILAMENTI_DB!$A:$C,3,FALSE),"")</f>
        <v/>
      </c>
      <c r="I563" t="str">
        <f>IFERROR(VLOOKUP(G563,FILAMENTI_DB!$A:$E,4,FALSE),"")</f>
        <v/>
      </c>
      <c r="J563" s="26"/>
      <c r="K563" s="27"/>
      <c r="L563" s="27"/>
      <c r="M563" s="27">
        <f t="shared" si="50"/>
        <v>0</v>
      </c>
      <c r="N563" s="26">
        <f t="shared" si="51"/>
        <v>0</v>
      </c>
      <c r="O563" s="26"/>
      <c r="P563" s="26"/>
      <c r="Q563" s="23"/>
      <c r="R563" s="23">
        <f t="shared" si="52"/>
        <v>0</v>
      </c>
      <c r="S563" s="23"/>
      <c r="T563" s="23">
        <f t="shared" si="53"/>
        <v>0</v>
      </c>
      <c r="U563" s="28" t="str">
        <f t="shared" si="54"/>
        <v/>
      </c>
      <c r="V563" s="10" t="str">
        <f>IFERROR(N563*VLOOKUP(G563,FILAMENTI_DB!$A:$J,10,FALSE),"")</f>
        <v/>
      </c>
      <c r="W563" s="23" t="str">
        <f>IFERROR((VLOOKUP(F563,STAMPANTI_DB!$A:$C,3,FALSE)/1000)*O563*SETTINGS!$C$6,"")</f>
        <v/>
      </c>
      <c r="X563" s="23" t="str">
        <f>IFERROR(O563*VLOOKUP(F563,STAMPANTI_DB!$A:$I,9,FALSE),"")</f>
        <v/>
      </c>
      <c r="Y563" s="23">
        <f>IFERROR(P563*SETTINGS!$C$7,"")</f>
        <v>0</v>
      </c>
      <c r="Z563" s="23">
        <f>SETTINGS!$C$11</f>
        <v>0.5</v>
      </c>
      <c r="AA563" s="23">
        <f t="shared" si="55"/>
        <v>0.5</v>
      </c>
      <c r="AB563" s="23">
        <f>IFERROR(AA563*SETTINGS!$C$9,"")</f>
        <v>2.5000000000000001E-2</v>
      </c>
      <c r="AC563" s="23">
        <f>IFERROR((AA563+AB563)*SETTINGS!$C$10,"")</f>
        <v>2.6250000000000002E-2</v>
      </c>
    </row>
    <row r="564" spans="1:29" ht="16" x14ac:dyDescent="0.2">
      <c r="A564" s="25"/>
      <c r="H564" t="str">
        <f>IFERROR(VLOOKUP(G564,FILAMENTI_DB!$A:$C,3,FALSE),"")</f>
        <v/>
      </c>
      <c r="I564" t="str">
        <f>IFERROR(VLOOKUP(G564,FILAMENTI_DB!$A:$E,4,FALSE),"")</f>
        <v/>
      </c>
      <c r="J564" s="26"/>
      <c r="K564" s="27"/>
      <c r="L564" s="27"/>
      <c r="M564" s="27">
        <f t="shared" si="50"/>
        <v>0</v>
      </c>
      <c r="N564" s="26">
        <f t="shared" si="51"/>
        <v>0</v>
      </c>
      <c r="O564" s="26"/>
      <c r="P564" s="26"/>
      <c r="Q564" s="23"/>
      <c r="R564" s="23">
        <f t="shared" si="52"/>
        <v>0</v>
      </c>
      <c r="S564" s="23"/>
      <c r="T564" s="23">
        <f t="shared" si="53"/>
        <v>0</v>
      </c>
      <c r="U564" s="28" t="str">
        <f t="shared" si="54"/>
        <v/>
      </c>
      <c r="V564" s="10" t="str">
        <f>IFERROR(N564*VLOOKUP(G564,FILAMENTI_DB!$A:$J,10,FALSE),"")</f>
        <v/>
      </c>
      <c r="W564" s="23" t="str">
        <f>IFERROR((VLOOKUP(F564,STAMPANTI_DB!$A:$C,3,FALSE)/1000)*O564*SETTINGS!$C$6,"")</f>
        <v/>
      </c>
      <c r="X564" s="23" t="str">
        <f>IFERROR(O564*VLOOKUP(F564,STAMPANTI_DB!$A:$I,9,FALSE),"")</f>
        <v/>
      </c>
      <c r="Y564" s="23">
        <f>IFERROR(P564*SETTINGS!$C$7,"")</f>
        <v>0</v>
      </c>
      <c r="Z564" s="23">
        <f>SETTINGS!$C$11</f>
        <v>0.5</v>
      </c>
      <c r="AA564" s="23">
        <f t="shared" si="55"/>
        <v>0.5</v>
      </c>
      <c r="AB564" s="23">
        <f>IFERROR(AA564*SETTINGS!$C$9,"")</f>
        <v>2.5000000000000001E-2</v>
      </c>
      <c r="AC564" s="23">
        <f>IFERROR((AA564+AB564)*SETTINGS!$C$10,"")</f>
        <v>2.6250000000000002E-2</v>
      </c>
    </row>
    <row r="565" spans="1:29" ht="16" x14ac:dyDescent="0.2">
      <c r="A565" s="25"/>
      <c r="H565" t="str">
        <f>IFERROR(VLOOKUP(G565,FILAMENTI_DB!$A:$C,3,FALSE),"")</f>
        <v/>
      </c>
      <c r="I565" t="str">
        <f>IFERROR(VLOOKUP(G565,FILAMENTI_DB!$A:$E,4,FALSE),"")</f>
        <v/>
      </c>
      <c r="J565" s="26"/>
      <c r="K565" s="27"/>
      <c r="L565" s="27"/>
      <c r="M565" s="27">
        <f t="shared" si="50"/>
        <v>0</v>
      </c>
      <c r="N565" s="26">
        <f t="shared" si="51"/>
        <v>0</v>
      </c>
      <c r="O565" s="26"/>
      <c r="P565" s="26"/>
      <c r="Q565" s="23"/>
      <c r="R565" s="23">
        <f t="shared" si="52"/>
        <v>0</v>
      </c>
      <c r="S565" s="23"/>
      <c r="T565" s="23">
        <f t="shared" si="53"/>
        <v>0</v>
      </c>
      <c r="U565" s="28" t="str">
        <f t="shared" si="54"/>
        <v/>
      </c>
      <c r="V565" s="10" t="str">
        <f>IFERROR(N565*VLOOKUP(G565,FILAMENTI_DB!$A:$J,10,FALSE),"")</f>
        <v/>
      </c>
      <c r="W565" s="23" t="str">
        <f>IFERROR((VLOOKUP(F565,STAMPANTI_DB!$A:$C,3,FALSE)/1000)*O565*SETTINGS!$C$6,"")</f>
        <v/>
      </c>
      <c r="X565" s="23" t="str">
        <f>IFERROR(O565*VLOOKUP(F565,STAMPANTI_DB!$A:$I,9,FALSE),"")</f>
        <v/>
      </c>
      <c r="Y565" s="23">
        <f>IFERROR(P565*SETTINGS!$C$7,"")</f>
        <v>0</v>
      </c>
      <c r="Z565" s="23">
        <f>SETTINGS!$C$11</f>
        <v>0.5</v>
      </c>
      <c r="AA565" s="23">
        <f t="shared" si="55"/>
        <v>0.5</v>
      </c>
      <c r="AB565" s="23">
        <f>IFERROR(AA565*SETTINGS!$C$9,"")</f>
        <v>2.5000000000000001E-2</v>
      </c>
      <c r="AC565" s="23">
        <f>IFERROR((AA565+AB565)*SETTINGS!$C$10,"")</f>
        <v>2.6250000000000002E-2</v>
      </c>
    </row>
    <row r="566" spans="1:29" ht="16" x14ac:dyDescent="0.2">
      <c r="A566" s="25"/>
      <c r="H566" t="str">
        <f>IFERROR(VLOOKUP(G566,FILAMENTI_DB!$A:$C,3,FALSE),"")</f>
        <v/>
      </c>
      <c r="I566" t="str">
        <f>IFERROR(VLOOKUP(G566,FILAMENTI_DB!$A:$E,4,FALSE),"")</f>
        <v/>
      </c>
      <c r="J566" s="26"/>
      <c r="K566" s="27"/>
      <c r="L566" s="27"/>
      <c r="M566" s="27">
        <f t="shared" si="50"/>
        <v>0</v>
      </c>
      <c r="N566" s="26">
        <f t="shared" si="51"/>
        <v>0</v>
      </c>
      <c r="O566" s="26"/>
      <c r="P566" s="26"/>
      <c r="Q566" s="23"/>
      <c r="R566" s="23">
        <f t="shared" si="52"/>
        <v>0</v>
      </c>
      <c r="S566" s="23"/>
      <c r="T566" s="23">
        <f t="shared" si="53"/>
        <v>0</v>
      </c>
      <c r="U566" s="28" t="str">
        <f t="shared" si="54"/>
        <v/>
      </c>
      <c r="V566" s="10" t="str">
        <f>IFERROR(N566*VLOOKUP(G566,FILAMENTI_DB!$A:$J,10,FALSE),"")</f>
        <v/>
      </c>
      <c r="W566" s="23" t="str">
        <f>IFERROR((VLOOKUP(F566,STAMPANTI_DB!$A:$C,3,FALSE)/1000)*O566*SETTINGS!$C$6,"")</f>
        <v/>
      </c>
      <c r="X566" s="23" t="str">
        <f>IFERROR(O566*VLOOKUP(F566,STAMPANTI_DB!$A:$I,9,FALSE),"")</f>
        <v/>
      </c>
      <c r="Y566" s="23">
        <f>IFERROR(P566*SETTINGS!$C$7,"")</f>
        <v>0</v>
      </c>
      <c r="Z566" s="23">
        <f>SETTINGS!$C$11</f>
        <v>0.5</v>
      </c>
      <c r="AA566" s="23">
        <f t="shared" si="55"/>
        <v>0.5</v>
      </c>
      <c r="AB566" s="23">
        <f>IFERROR(AA566*SETTINGS!$C$9,"")</f>
        <v>2.5000000000000001E-2</v>
      </c>
      <c r="AC566" s="23">
        <f>IFERROR((AA566+AB566)*SETTINGS!$C$10,"")</f>
        <v>2.6250000000000002E-2</v>
      </c>
    </row>
    <row r="567" spans="1:29" ht="16" x14ac:dyDescent="0.2">
      <c r="A567" s="25"/>
      <c r="H567" t="str">
        <f>IFERROR(VLOOKUP(G567,FILAMENTI_DB!$A:$C,3,FALSE),"")</f>
        <v/>
      </c>
      <c r="I567" t="str">
        <f>IFERROR(VLOOKUP(G567,FILAMENTI_DB!$A:$E,4,FALSE),"")</f>
        <v/>
      </c>
      <c r="J567" s="26"/>
      <c r="K567" s="27"/>
      <c r="L567" s="27"/>
      <c r="M567" s="27">
        <f t="shared" si="50"/>
        <v>0</v>
      </c>
      <c r="N567" s="26">
        <f t="shared" si="51"/>
        <v>0</v>
      </c>
      <c r="O567" s="26"/>
      <c r="P567" s="26"/>
      <c r="Q567" s="23"/>
      <c r="R567" s="23">
        <f t="shared" si="52"/>
        <v>0</v>
      </c>
      <c r="S567" s="23"/>
      <c r="T567" s="23">
        <f t="shared" si="53"/>
        <v>0</v>
      </c>
      <c r="U567" s="28" t="str">
        <f t="shared" si="54"/>
        <v/>
      </c>
      <c r="V567" s="10" t="str">
        <f>IFERROR(N567*VLOOKUP(G567,FILAMENTI_DB!$A:$J,10,FALSE),"")</f>
        <v/>
      </c>
      <c r="W567" s="23" t="str">
        <f>IFERROR((VLOOKUP(F567,STAMPANTI_DB!$A:$C,3,FALSE)/1000)*O567*SETTINGS!$C$6,"")</f>
        <v/>
      </c>
      <c r="X567" s="23" t="str">
        <f>IFERROR(O567*VLOOKUP(F567,STAMPANTI_DB!$A:$I,9,FALSE),"")</f>
        <v/>
      </c>
      <c r="Y567" s="23">
        <f>IFERROR(P567*SETTINGS!$C$7,"")</f>
        <v>0</v>
      </c>
      <c r="Z567" s="23">
        <f>SETTINGS!$C$11</f>
        <v>0.5</v>
      </c>
      <c r="AA567" s="23">
        <f t="shared" si="55"/>
        <v>0.5</v>
      </c>
      <c r="AB567" s="23">
        <f>IFERROR(AA567*SETTINGS!$C$9,"")</f>
        <v>2.5000000000000001E-2</v>
      </c>
      <c r="AC567" s="23">
        <f>IFERROR((AA567+AB567)*SETTINGS!$C$10,"")</f>
        <v>2.6250000000000002E-2</v>
      </c>
    </row>
    <row r="568" spans="1:29" ht="16" x14ac:dyDescent="0.2">
      <c r="A568" s="25"/>
      <c r="H568" t="str">
        <f>IFERROR(VLOOKUP(G568,FILAMENTI_DB!$A:$C,3,FALSE),"")</f>
        <v/>
      </c>
      <c r="I568" t="str">
        <f>IFERROR(VLOOKUP(G568,FILAMENTI_DB!$A:$E,4,FALSE),"")</f>
        <v/>
      </c>
      <c r="J568" s="26"/>
      <c r="K568" s="27"/>
      <c r="L568" s="27"/>
      <c r="M568" s="27">
        <f t="shared" si="50"/>
        <v>0</v>
      </c>
      <c r="N568" s="26">
        <f t="shared" si="51"/>
        <v>0</v>
      </c>
      <c r="O568" s="26"/>
      <c r="P568" s="26"/>
      <c r="Q568" s="23"/>
      <c r="R568" s="23">
        <f t="shared" si="52"/>
        <v>0</v>
      </c>
      <c r="S568" s="23"/>
      <c r="T568" s="23">
        <f t="shared" si="53"/>
        <v>0</v>
      </c>
      <c r="U568" s="28" t="str">
        <f t="shared" si="54"/>
        <v/>
      </c>
      <c r="V568" s="10" t="str">
        <f>IFERROR(N568*VLOOKUP(G568,FILAMENTI_DB!$A:$J,10,FALSE),"")</f>
        <v/>
      </c>
      <c r="W568" s="23" t="str">
        <f>IFERROR((VLOOKUP(F568,STAMPANTI_DB!$A:$C,3,FALSE)/1000)*O568*SETTINGS!$C$6,"")</f>
        <v/>
      </c>
      <c r="X568" s="23" t="str">
        <f>IFERROR(O568*VLOOKUP(F568,STAMPANTI_DB!$A:$I,9,FALSE),"")</f>
        <v/>
      </c>
      <c r="Y568" s="23">
        <f>IFERROR(P568*SETTINGS!$C$7,"")</f>
        <v>0</v>
      </c>
      <c r="Z568" s="23">
        <f>SETTINGS!$C$11</f>
        <v>0.5</v>
      </c>
      <c r="AA568" s="23">
        <f t="shared" si="55"/>
        <v>0.5</v>
      </c>
      <c r="AB568" s="23">
        <f>IFERROR(AA568*SETTINGS!$C$9,"")</f>
        <v>2.5000000000000001E-2</v>
      </c>
      <c r="AC568" s="23">
        <f>IFERROR((AA568+AB568)*SETTINGS!$C$10,"")</f>
        <v>2.6250000000000002E-2</v>
      </c>
    </row>
    <row r="569" spans="1:29" ht="16" x14ac:dyDescent="0.2">
      <c r="A569" s="25"/>
      <c r="H569" t="str">
        <f>IFERROR(VLOOKUP(G569,FILAMENTI_DB!$A:$C,3,FALSE),"")</f>
        <v/>
      </c>
      <c r="I569" t="str">
        <f>IFERROR(VLOOKUP(G569,FILAMENTI_DB!$A:$E,4,FALSE),"")</f>
        <v/>
      </c>
      <c r="J569" s="26"/>
      <c r="K569" s="27"/>
      <c r="L569" s="27"/>
      <c r="M569" s="27">
        <f t="shared" si="50"/>
        <v>0</v>
      </c>
      <c r="N569" s="26">
        <f t="shared" si="51"/>
        <v>0</v>
      </c>
      <c r="O569" s="26"/>
      <c r="P569" s="26"/>
      <c r="Q569" s="23"/>
      <c r="R569" s="23">
        <f t="shared" si="52"/>
        <v>0</v>
      </c>
      <c r="S569" s="23"/>
      <c r="T569" s="23">
        <f t="shared" si="53"/>
        <v>0</v>
      </c>
      <c r="U569" s="28" t="str">
        <f t="shared" si="54"/>
        <v/>
      </c>
      <c r="V569" s="10" t="str">
        <f>IFERROR(N569*VLOOKUP(G569,FILAMENTI_DB!$A:$J,10,FALSE),"")</f>
        <v/>
      </c>
      <c r="W569" s="23" t="str">
        <f>IFERROR((VLOOKUP(F569,STAMPANTI_DB!$A:$C,3,FALSE)/1000)*O569*SETTINGS!$C$6,"")</f>
        <v/>
      </c>
      <c r="X569" s="23" t="str">
        <f>IFERROR(O569*VLOOKUP(F569,STAMPANTI_DB!$A:$I,9,FALSE),"")</f>
        <v/>
      </c>
      <c r="Y569" s="23">
        <f>IFERROR(P569*SETTINGS!$C$7,"")</f>
        <v>0</v>
      </c>
      <c r="Z569" s="23">
        <f>SETTINGS!$C$11</f>
        <v>0.5</v>
      </c>
      <c r="AA569" s="23">
        <f t="shared" si="55"/>
        <v>0.5</v>
      </c>
      <c r="AB569" s="23">
        <f>IFERROR(AA569*SETTINGS!$C$9,"")</f>
        <v>2.5000000000000001E-2</v>
      </c>
      <c r="AC569" s="23">
        <f>IFERROR((AA569+AB569)*SETTINGS!$C$10,"")</f>
        <v>2.6250000000000002E-2</v>
      </c>
    </row>
    <row r="570" spans="1:29" ht="16" x14ac:dyDescent="0.2">
      <c r="A570" s="25"/>
      <c r="H570" t="str">
        <f>IFERROR(VLOOKUP(G570,FILAMENTI_DB!$A:$C,3,FALSE),"")</f>
        <v/>
      </c>
      <c r="I570" t="str">
        <f>IFERROR(VLOOKUP(G570,FILAMENTI_DB!$A:$E,4,FALSE),"")</f>
        <v/>
      </c>
      <c r="J570" s="26"/>
      <c r="K570" s="27"/>
      <c r="L570" s="27"/>
      <c r="M570" s="27">
        <f t="shared" si="50"/>
        <v>0</v>
      </c>
      <c r="N570" s="26">
        <f t="shared" si="51"/>
        <v>0</v>
      </c>
      <c r="O570" s="26"/>
      <c r="P570" s="26"/>
      <c r="Q570" s="23"/>
      <c r="R570" s="23">
        <f t="shared" si="52"/>
        <v>0</v>
      </c>
      <c r="S570" s="23"/>
      <c r="T570" s="23">
        <f t="shared" si="53"/>
        <v>0</v>
      </c>
      <c r="U570" s="28" t="str">
        <f t="shared" si="54"/>
        <v/>
      </c>
      <c r="V570" s="10" t="str">
        <f>IFERROR(N570*VLOOKUP(G570,FILAMENTI_DB!$A:$J,10,FALSE),"")</f>
        <v/>
      </c>
      <c r="W570" s="23" t="str">
        <f>IFERROR((VLOOKUP(F570,STAMPANTI_DB!$A:$C,3,FALSE)/1000)*O570*SETTINGS!$C$6,"")</f>
        <v/>
      </c>
      <c r="X570" s="23" t="str">
        <f>IFERROR(O570*VLOOKUP(F570,STAMPANTI_DB!$A:$I,9,FALSE),"")</f>
        <v/>
      </c>
      <c r="Y570" s="23">
        <f>IFERROR(P570*SETTINGS!$C$7,"")</f>
        <v>0</v>
      </c>
      <c r="Z570" s="23">
        <f>SETTINGS!$C$11</f>
        <v>0.5</v>
      </c>
      <c r="AA570" s="23">
        <f t="shared" si="55"/>
        <v>0.5</v>
      </c>
      <c r="AB570" s="23">
        <f>IFERROR(AA570*SETTINGS!$C$9,"")</f>
        <v>2.5000000000000001E-2</v>
      </c>
      <c r="AC570" s="23">
        <f>IFERROR((AA570+AB570)*SETTINGS!$C$10,"")</f>
        <v>2.6250000000000002E-2</v>
      </c>
    </row>
    <row r="571" spans="1:29" ht="16" x14ac:dyDescent="0.2">
      <c r="A571" s="25"/>
      <c r="H571" t="str">
        <f>IFERROR(VLOOKUP(G571,FILAMENTI_DB!$A:$C,3,FALSE),"")</f>
        <v/>
      </c>
      <c r="I571" t="str">
        <f>IFERROR(VLOOKUP(G571,FILAMENTI_DB!$A:$E,4,FALSE),"")</f>
        <v/>
      </c>
      <c r="J571" s="26"/>
      <c r="K571" s="27"/>
      <c r="L571" s="27"/>
      <c r="M571" s="27">
        <f t="shared" si="50"/>
        <v>0</v>
      </c>
      <c r="N571" s="26">
        <f t="shared" si="51"/>
        <v>0</v>
      </c>
      <c r="O571" s="26"/>
      <c r="P571" s="26"/>
      <c r="Q571" s="23"/>
      <c r="R571" s="23">
        <f t="shared" si="52"/>
        <v>0</v>
      </c>
      <c r="S571" s="23"/>
      <c r="T571" s="23">
        <f t="shared" si="53"/>
        <v>0</v>
      </c>
      <c r="U571" s="28" t="str">
        <f t="shared" si="54"/>
        <v/>
      </c>
      <c r="V571" s="10" t="str">
        <f>IFERROR(N571*VLOOKUP(G571,FILAMENTI_DB!$A:$J,10,FALSE),"")</f>
        <v/>
      </c>
      <c r="W571" s="23" t="str">
        <f>IFERROR((VLOOKUP(F571,STAMPANTI_DB!$A:$C,3,FALSE)/1000)*O571*SETTINGS!$C$6,"")</f>
        <v/>
      </c>
      <c r="X571" s="23" t="str">
        <f>IFERROR(O571*VLOOKUP(F571,STAMPANTI_DB!$A:$I,9,FALSE),"")</f>
        <v/>
      </c>
      <c r="Y571" s="23">
        <f>IFERROR(P571*SETTINGS!$C$7,"")</f>
        <v>0</v>
      </c>
      <c r="Z571" s="23">
        <f>SETTINGS!$C$11</f>
        <v>0.5</v>
      </c>
      <c r="AA571" s="23">
        <f t="shared" si="55"/>
        <v>0.5</v>
      </c>
      <c r="AB571" s="23">
        <f>IFERROR(AA571*SETTINGS!$C$9,"")</f>
        <v>2.5000000000000001E-2</v>
      </c>
      <c r="AC571" s="23">
        <f>IFERROR((AA571+AB571)*SETTINGS!$C$10,"")</f>
        <v>2.6250000000000002E-2</v>
      </c>
    </row>
    <row r="572" spans="1:29" ht="16" x14ac:dyDescent="0.2">
      <c r="A572" s="25"/>
      <c r="H572" t="str">
        <f>IFERROR(VLOOKUP(G572,FILAMENTI_DB!$A:$C,3,FALSE),"")</f>
        <v/>
      </c>
      <c r="I572" t="str">
        <f>IFERROR(VLOOKUP(G572,FILAMENTI_DB!$A:$E,4,FALSE),"")</f>
        <v/>
      </c>
      <c r="J572" s="26"/>
      <c r="K572" s="27"/>
      <c r="L572" s="27"/>
      <c r="M572" s="27">
        <f t="shared" si="50"/>
        <v>0</v>
      </c>
      <c r="N572" s="26">
        <f t="shared" si="51"/>
        <v>0</v>
      </c>
      <c r="O572" s="26"/>
      <c r="P572" s="26"/>
      <c r="Q572" s="23"/>
      <c r="R572" s="23">
        <f t="shared" si="52"/>
        <v>0</v>
      </c>
      <c r="S572" s="23"/>
      <c r="T572" s="23">
        <f t="shared" si="53"/>
        <v>0</v>
      </c>
      <c r="U572" s="28" t="str">
        <f t="shared" si="54"/>
        <v/>
      </c>
      <c r="V572" s="10" t="str">
        <f>IFERROR(N572*VLOOKUP(G572,FILAMENTI_DB!$A:$J,10,FALSE),"")</f>
        <v/>
      </c>
      <c r="W572" s="23" t="str">
        <f>IFERROR((VLOOKUP(F572,STAMPANTI_DB!$A:$C,3,FALSE)/1000)*O572*SETTINGS!$C$6,"")</f>
        <v/>
      </c>
      <c r="X572" s="23" t="str">
        <f>IFERROR(O572*VLOOKUP(F572,STAMPANTI_DB!$A:$I,9,FALSE),"")</f>
        <v/>
      </c>
      <c r="Y572" s="23">
        <f>IFERROR(P572*SETTINGS!$C$7,"")</f>
        <v>0</v>
      </c>
      <c r="Z572" s="23">
        <f>SETTINGS!$C$11</f>
        <v>0.5</v>
      </c>
      <c r="AA572" s="23">
        <f t="shared" si="55"/>
        <v>0.5</v>
      </c>
      <c r="AB572" s="23">
        <f>IFERROR(AA572*SETTINGS!$C$9,"")</f>
        <v>2.5000000000000001E-2</v>
      </c>
      <c r="AC572" s="23">
        <f>IFERROR((AA572+AB572)*SETTINGS!$C$10,"")</f>
        <v>2.6250000000000002E-2</v>
      </c>
    </row>
    <row r="573" spans="1:29" ht="16" x14ac:dyDescent="0.2">
      <c r="A573" s="25"/>
      <c r="H573" t="str">
        <f>IFERROR(VLOOKUP(G573,FILAMENTI_DB!$A:$C,3,FALSE),"")</f>
        <v/>
      </c>
      <c r="I573" t="str">
        <f>IFERROR(VLOOKUP(G573,FILAMENTI_DB!$A:$E,4,FALSE),"")</f>
        <v/>
      </c>
      <c r="J573" s="26"/>
      <c r="K573" s="27"/>
      <c r="L573" s="27"/>
      <c r="M573" s="27">
        <f t="shared" si="50"/>
        <v>0</v>
      </c>
      <c r="N573" s="26">
        <f t="shared" si="51"/>
        <v>0</v>
      </c>
      <c r="O573" s="26"/>
      <c r="P573" s="26"/>
      <c r="Q573" s="23"/>
      <c r="R573" s="23">
        <f t="shared" si="52"/>
        <v>0</v>
      </c>
      <c r="S573" s="23"/>
      <c r="T573" s="23">
        <f t="shared" si="53"/>
        <v>0</v>
      </c>
      <c r="U573" s="28" t="str">
        <f t="shared" si="54"/>
        <v/>
      </c>
      <c r="V573" s="10" t="str">
        <f>IFERROR(N573*VLOOKUP(G573,FILAMENTI_DB!$A:$J,10,FALSE),"")</f>
        <v/>
      </c>
      <c r="W573" s="23" t="str">
        <f>IFERROR((VLOOKUP(F573,STAMPANTI_DB!$A:$C,3,FALSE)/1000)*O573*SETTINGS!$C$6,"")</f>
        <v/>
      </c>
      <c r="X573" s="23" t="str">
        <f>IFERROR(O573*VLOOKUP(F573,STAMPANTI_DB!$A:$I,9,FALSE),"")</f>
        <v/>
      </c>
      <c r="Y573" s="23">
        <f>IFERROR(P573*SETTINGS!$C$7,"")</f>
        <v>0</v>
      </c>
      <c r="Z573" s="23">
        <f>SETTINGS!$C$11</f>
        <v>0.5</v>
      </c>
      <c r="AA573" s="23">
        <f t="shared" si="55"/>
        <v>0.5</v>
      </c>
      <c r="AB573" s="23">
        <f>IFERROR(AA573*SETTINGS!$C$9,"")</f>
        <v>2.5000000000000001E-2</v>
      </c>
      <c r="AC573" s="23">
        <f>IFERROR((AA573+AB573)*SETTINGS!$C$10,"")</f>
        <v>2.6250000000000002E-2</v>
      </c>
    </row>
    <row r="574" spans="1:29" ht="16" x14ac:dyDescent="0.2">
      <c r="A574" s="25"/>
      <c r="H574" t="str">
        <f>IFERROR(VLOOKUP(G574,FILAMENTI_DB!$A:$C,3,FALSE),"")</f>
        <v/>
      </c>
      <c r="I574" t="str">
        <f>IFERROR(VLOOKUP(G574,FILAMENTI_DB!$A:$E,4,FALSE),"")</f>
        <v/>
      </c>
      <c r="J574" s="26"/>
      <c r="K574" s="27"/>
      <c r="L574" s="27"/>
      <c r="M574" s="27">
        <f t="shared" si="50"/>
        <v>0</v>
      </c>
      <c r="N574" s="26">
        <f t="shared" si="51"/>
        <v>0</v>
      </c>
      <c r="O574" s="26"/>
      <c r="P574" s="26"/>
      <c r="Q574" s="23"/>
      <c r="R574" s="23">
        <f t="shared" si="52"/>
        <v>0</v>
      </c>
      <c r="S574" s="23"/>
      <c r="T574" s="23">
        <f t="shared" si="53"/>
        <v>0</v>
      </c>
      <c r="U574" s="28" t="str">
        <f t="shared" si="54"/>
        <v/>
      </c>
      <c r="V574" s="10" t="str">
        <f>IFERROR(N574*VLOOKUP(G574,FILAMENTI_DB!$A:$J,10,FALSE),"")</f>
        <v/>
      </c>
      <c r="W574" s="23" t="str">
        <f>IFERROR((VLOOKUP(F574,STAMPANTI_DB!$A:$C,3,FALSE)/1000)*O574*SETTINGS!$C$6,"")</f>
        <v/>
      </c>
      <c r="X574" s="23" t="str">
        <f>IFERROR(O574*VLOOKUP(F574,STAMPANTI_DB!$A:$I,9,FALSE),"")</f>
        <v/>
      </c>
      <c r="Y574" s="23">
        <f>IFERROR(P574*SETTINGS!$C$7,"")</f>
        <v>0</v>
      </c>
      <c r="Z574" s="23">
        <f>SETTINGS!$C$11</f>
        <v>0.5</v>
      </c>
      <c r="AA574" s="23">
        <f t="shared" si="55"/>
        <v>0.5</v>
      </c>
      <c r="AB574" s="23">
        <f>IFERROR(AA574*SETTINGS!$C$9,"")</f>
        <v>2.5000000000000001E-2</v>
      </c>
      <c r="AC574" s="23">
        <f>IFERROR((AA574+AB574)*SETTINGS!$C$10,"")</f>
        <v>2.6250000000000002E-2</v>
      </c>
    </row>
    <row r="575" spans="1:29" ht="16" x14ac:dyDescent="0.2">
      <c r="A575" s="25"/>
      <c r="H575" t="str">
        <f>IFERROR(VLOOKUP(G575,FILAMENTI_DB!$A:$C,3,FALSE),"")</f>
        <v/>
      </c>
      <c r="I575" t="str">
        <f>IFERROR(VLOOKUP(G575,FILAMENTI_DB!$A:$E,4,FALSE),"")</f>
        <v/>
      </c>
      <c r="J575" s="26"/>
      <c r="K575" s="27"/>
      <c r="L575" s="27"/>
      <c r="M575" s="27">
        <f t="shared" si="50"/>
        <v>0</v>
      </c>
      <c r="N575" s="26">
        <f t="shared" si="51"/>
        <v>0</v>
      </c>
      <c r="O575" s="26"/>
      <c r="P575" s="26"/>
      <c r="Q575" s="23"/>
      <c r="R575" s="23">
        <f t="shared" si="52"/>
        <v>0</v>
      </c>
      <c r="S575" s="23"/>
      <c r="T575" s="23">
        <f t="shared" si="53"/>
        <v>0</v>
      </c>
      <c r="U575" s="28" t="str">
        <f t="shared" si="54"/>
        <v/>
      </c>
      <c r="V575" s="10" t="str">
        <f>IFERROR(N575*VLOOKUP(G575,FILAMENTI_DB!$A:$J,10,FALSE),"")</f>
        <v/>
      </c>
      <c r="W575" s="23" t="str">
        <f>IFERROR((VLOOKUP(F575,STAMPANTI_DB!$A:$C,3,FALSE)/1000)*O575*SETTINGS!$C$6,"")</f>
        <v/>
      </c>
      <c r="X575" s="23" t="str">
        <f>IFERROR(O575*VLOOKUP(F575,STAMPANTI_DB!$A:$I,9,FALSE),"")</f>
        <v/>
      </c>
      <c r="Y575" s="23">
        <f>IFERROR(P575*SETTINGS!$C$7,"")</f>
        <v>0</v>
      </c>
      <c r="Z575" s="23">
        <f>SETTINGS!$C$11</f>
        <v>0.5</v>
      </c>
      <c r="AA575" s="23">
        <f t="shared" si="55"/>
        <v>0.5</v>
      </c>
      <c r="AB575" s="23">
        <f>IFERROR(AA575*SETTINGS!$C$9,"")</f>
        <v>2.5000000000000001E-2</v>
      </c>
      <c r="AC575" s="23">
        <f>IFERROR((AA575+AB575)*SETTINGS!$C$10,"")</f>
        <v>2.6250000000000002E-2</v>
      </c>
    </row>
    <row r="576" spans="1:29" ht="16" x14ac:dyDescent="0.2">
      <c r="A576" s="25"/>
      <c r="H576" t="str">
        <f>IFERROR(VLOOKUP(G576,FILAMENTI_DB!$A:$C,3,FALSE),"")</f>
        <v/>
      </c>
      <c r="I576" t="str">
        <f>IFERROR(VLOOKUP(G576,FILAMENTI_DB!$A:$E,4,FALSE),"")</f>
        <v/>
      </c>
      <c r="J576" s="26"/>
      <c r="K576" s="27"/>
      <c r="L576" s="27"/>
      <c r="M576" s="27">
        <f t="shared" si="50"/>
        <v>0</v>
      </c>
      <c r="N576" s="26">
        <f t="shared" si="51"/>
        <v>0</v>
      </c>
      <c r="O576" s="26"/>
      <c r="P576" s="26"/>
      <c r="Q576" s="23"/>
      <c r="R576" s="23">
        <f t="shared" si="52"/>
        <v>0</v>
      </c>
      <c r="S576" s="23"/>
      <c r="T576" s="23">
        <f t="shared" si="53"/>
        <v>0</v>
      </c>
      <c r="U576" s="28" t="str">
        <f t="shared" si="54"/>
        <v/>
      </c>
      <c r="V576" s="10" t="str">
        <f>IFERROR(N576*VLOOKUP(G576,FILAMENTI_DB!$A:$J,10,FALSE),"")</f>
        <v/>
      </c>
      <c r="W576" s="23" t="str">
        <f>IFERROR((VLOOKUP(F576,STAMPANTI_DB!$A:$C,3,FALSE)/1000)*O576*SETTINGS!$C$6,"")</f>
        <v/>
      </c>
      <c r="X576" s="23" t="str">
        <f>IFERROR(O576*VLOOKUP(F576,STAMPANTI_DB!$A:$I,9,FALSE),"")</f>
        <v/>
      </c>
      <c r="Y576" s="23">
        <f>IFERROR(P576*SETTINGS!$C$7,"")</f>
        <v>0</v>
      </c>
      <c r="Z576" s="23">
        <f>SETTINGS!$C$11</f>
        <v>0.5</v>
      </c>
      <c r="AA576" s="23">
        <f t="shared" si="55"/>
        <v>0.5</v>
      </c>
      <c r="AB576" s="23">
        <f>IFERROR(AA576*SETTINGS!$C$9,"")</f>
        <v>2.5000000000000001E-2</v>
      </c>
      <c r="AC576" s="23">
        <f>IFERROR((AA576+AB576)*SETTINGS!$C$10,"")</f>
        <v>2.6250000000000002E-2</v>
      </c>
    </row>
    <row r="577" spans="1:29" ht="16" x14ac:dyDescent="0.2">
      <c r="A577" s="25"/>
      <c r="H577" t="str">
        <f>IFERROR(VLOOKUP(G577,FILAMENTI_DB!$A:$C,3,FALSE),"")</f>
        <v/>
      </c>
      <c r="I577" t="str">
        <f>IFERROR(VLOOKUP(G577,FILAMENTI_DB!$A:$E,4,FALSE),"")</f>
        <v/>
      </c>
      <c r="J577" s="26"/>
      <c r="K577" s="27"/>
      <c r="L577" s="27"/>
      <c r="M577" s="27">
        <f t="shared" si="50"/>
        <v>0</v>
      </c>
      <c r="N577" s="26">
        <f t="shared" si="51"/>
        <v>0</v>
      </c>
      <c r="O577" s="26"/>
      <c r="P577" s="26"/>
      <c r="Q577" s="23"/>
      <c r="R577" s="23">
        <f t="shared" si="52"/>
        <v>0</v>
      </c>
      <c r="S577" s="23"/>
      <c r="T577" s="23">
        <f t="shared" si="53"/>
        <v>0</v>
      </c>
      <c r="U577" s="28" t="str">
        <f t="shared" si="54"/>
        <v/>
      </c>
      <c r="V577" s="10" t="str">
        <f>IFERROR(N577*VLOOKUP(G577,FILAMENTI_DB!$A:$J,10,FALSE),"")</f>
        <v/>
      </c>
      <c r="W577" s="23" t="str">
        <f>IFERROR((VLOOKUP(F577,STAMPANTI_DB!$A:$C,3,FALSE)/1000)*O577*SETTINGS!$C$6,"")</f>
        <v/>
      </c>
      <c r="X577" s="23" t="str">
        <f>IFERROR(O577*VLOOKUP(F577,STAMPANTI_DB!$A:$I,9,FALSE),"")</f>
        <v/>
      </c>
      <c r="Y577" s="23">
        <f>IFERROR(P577*SETTINGS!$C$7,"")</f>
        <v>0</v>
      </c>
      <c r="Z577" s="23">
        <f>SETTINGS!$C$11</f>
        <v>0.5</v>
      </c>
      <c r="AA577" s="23">
        <f t="shared" si="55"/>
        <v>0.5</v>
      </c>
      <c r="AB577" s="23">
        <f>IFERROR(AA577*SETTINGS!$C$9,"")</f>
        <v>2.5000000000000001E-2</v>
      </c>
      <c r="AC577" s="23">
        <f>IFERROR((AA577+AB577)*SETTINGS!$C$10,"")</f>
        <v>2.6250000000000002E-2</v>
      </c>
    </row>
    <row r="578" spans="1:29" ht="16" x14ac:dyDescent="0.2">
      <c r="A578" s="25"/>
      <c r="H578" t="str">
        <f>IFERROR(VLOOKUP(G578,FILAMENTI_DB!$A:$C,3,FALSE),"")</f>
        <v/>
      </c>
      <c r="I578" t="str">
        <f>IFERROR(VLOOKUP(G578,FILAMENTI_DB!$A:$E,4,FALSE),"")</f>
        <v/>
      </c>
      <c r="J578" s="26"/>
      <c r="K578" s="27"/>
      <c r="L578" s="27"/>
      <c r="M578" s="27">
        <f t="shared" si="50"/>
        <v>0</v>
      </c>
      <c r="N578" s="26">
        <f t="shared" si="51"/>
        <v>0</v>
      </c>
      <c r="O578" s="26"/>
      <c r="P578" s="26"/>
      <c r="Q578" s="23"/>
      <c r="R578" s="23">
        <f t="shared" si="52"/>
        <v>0</v>
      </c>
      <c r="S578" s="23"/>
      <c r="T578" s="23">
        <f t="shared" si="53"/>
        <v>0</v>
      </c>
      <c r="U578" s="28" t="str">
        <f t="shared" si="54"/>
        <v/>
      </c>
      <c r="V578" s="10" t="str">
        <f>IFERROR(N578*VLOOKUP(G578,FILAMENTI_DB!$A:$J,10,FALSE),"")</f>
        <v/>
      </c>
      <c r="W578" s="23" t="str">
        <f>IFERROR((VLOOKUP(F578,STAMPANTI_DB!$A:$C,3,FALSE)/1000)*O578*SETTINGS!$C$6,"")</f>
        <v/>
      </c>
      <c r="X578" s="23" t="str">
        <f>IFERROR(O578*VLOOKUP(F578,STAMPANTI_DB!$A:$I,9,FALSE),"")</f>
        <v/>
      </c>
      <c r="Y578" s="23">
        <f>IFERROR(P578*SETTINGS!$C$7,"")</f>
        <v>0</v>
      </c>
      <c r="Z578" s="23">
        <f>SETTINGS!$C$11</f>
        <v>0.5</v>
      </c>
      <c r="AA578" s="23">
        <f t="shared" si="55"/>
        <v>0.5</v>
      </c>
      <c r="AB578" s="23">
        <f>IFERROR(AA578*SETTINGS!$C$9,"")</f>
        <v>2.5000000000000001E-2</v>
      </c>
      <c r="AC578" s="23">
        <f>IFERROR((AA578+AB578)*SETTINGS!$C$10,"")</f>
        <v>2.6250000000000002E-2</v>
      </c>
    </row>
    <row r="579" spans="1:29" ht="16" x14ac:dyDescent="0.2">
      <c r="A579" s="25"/>
      <c r="H579" t="str">
        <f>IFERROR(VLOOKUP(G579,FILAMENTI_DB!$A:$C,3,FALSE),"")</f>
        <v/>
      </c>
      <c r="I579" t="str">
        <f>IFERROR(VLOOKUP(G579,FILAMENTI_DB!$A:$E,4,FALSE),"")</f>
        <v/>
      </c>
      <c r="J579" s="26"/>
      <c r="K579" s="27"/>
      <c r="L579" s="27"/>
      <c r="M579" s="27">
        <f t="shared" si="50"/>
        <v>0</v>
      </c>
      <c r="N579" s="26">
        <f t="shared" si="51"/>
        <v>0</v>
      </c>
      <c r="O579" s="26"/>
      <c r="P579" s="26"/>
      <c r="Q579" s="23"/>
      <c r="R579" s="23">
        <f t="shared" si="52"/>
        <v>0</v>
      </c>
      <c r="S579" s="23"/>
      <c r="T579" s="23">
        <f t="shared" si="53"/>
        <v>0</v>
      </c>
      <c r="U579" s="28" t="str">
        <f t="shared" si="54"/>
        <v/>
      </c>
      <c r="V579" s="10" t="str">
        <f>IFERROR(N579*VLOOKUP(G579,FILAMENTI_DB!$A:$J,10,FALSE),"")</f>
        <v/>
      </c>
      <c r="W579" s="23" t="str">
        <f>IFERROR((VLOOKUP(F579,STAMPANTI_DB!$A:$C,3,FALSE)/1000)*O579*SETTINGS!$C$6,"")</f>
        <v/>
      </c>
      <c r="X579" s="23" t="str">
        <f>IFERROR(O579*VLOOKUP(F579,STAMPANTI_DB!$A:$I,9,FALSE),"")</f>
        <v/>
      </c>
      <c r="Y579" s="23">
        <f>IFERROR(P579*SETTINGS!$C$7,"")</f>
        <v>0</v>
      </c>
      <c r="Z579" s="23">
        <f>SETTINGS!$C$11</f>
        <v>0.5</v>
      </c>
      <c r="AA579" s="23">
        <f t="shared" si="55"/>
        <v>0.5</v>
      </c>
      <c r="AB579" s="23">
        <f>IFERROR(AA579*SETTINGS!$C$9,"")</f>
        <v>2.5000000000000001E-2</v>
      </c>
      <c r="AC579" s="23">
        <f>IFERROR((AA579+AB579)*SETTINGS!$C$10,"")</f>
        <v>2.6250000000000002E-2</v>
      </c>
    </row>
    <row r="580" spans="1:29" ht="16" x14ac:dyDescent="0.2">
      <c r="A580" s="25"/>
      <c r="H580" t="str">
        <f>IFERROR(VLOOKUP(G580,FILAMENTI_DB!$A:$C,3,FALSE),"")</f>
        <v/>
      </c>
      <c r="I580" t="str">
        <f>IFERROR(VLOOKUP(G580,FILAMENTI_DB!$A:$E,4,FALSE),"")</f>
        <v/>
      </c>
      <c r="J580" s="26"/>
      <c r="K580" s="27"/>
      <c r="L580" s="27"/>
      <c r="M580" s="27">
        <f t="shared" si="50"/>
        <v>0</v>
      </c>
      <c r="N580" s="26">
        <f t="shared" si="51"/>
        <v>0</v>
      </c>
      <c r="O580" s="26"/>
      <c r="P580" s="26"/>
      <c r="Q580" s="23"/>
      <c r="R580" s="23">
        <f t="shared" si="52"/>
        <v>0</v>
      </c>
      <c r="S580" s="23"/>
      <c r="T580" s="23">
        <f t="shared" si="53"/>
        <v>0</v>
      </c>
      <c r="U580" s="28" t="str">
        <f t="shared" si="54"/>
        <v/>
      </c>
      <c r="V580" s="10" t="str">
        <f>IFERROR(N580*VLOOKUP(G580,FILAMENTI_DB!$A:$J,10,FALSE),"")</f>
        <v/>
      </c>
      <c r="W580" s="23" t="str">
        <f>IFERROR((VLOOKUP(F580,STAMPANTI_DB!$A:$C,3,FALSE)/1000)*O580*SETTINGS!$C$6,"")</f>
        <v/>
      </c>
      <c r="X580" s="23" t="str">
        <f>IFERROR(O580*VLOOKUP(F580,STAMPANTI_DB!$A:$I,9,FALSE),"")</f>
        <v/>
      </c>
      <c r="Y580" s="23">
        <f>IFERROR(P580*SETTINGS!$C$7,"")</f>
        <v>0</v>
      </c>
      <c r="Z580" s="23">
        <f>SETTINGS!$C$11</f>
        <v>0.5</v>
      </c>
      <c r="AA580" s="23">
        <f t="shared" si="55"/>
        <v>0.5</v>
      </c>
      <c r="AB580" s="23">
        <f>IFERROR(AA580*SETTINGS!$C$9,"")</f>
        <v>2.5000000000000001E-2</v>
      </c>
      <c r="AC580" s="23">
        <f>IFERROR((AA580+AB580)*SETTINGS!$C$10,"")</f>
        <v>2.6250000000000002E-2</v>
      </c>
    </row>
    <row r="581" spans="1:29" ht="16" x14ac:dyDescent="0.2">
      <c r="A581" s="25"/>
      <c r="H581" t="str">
        <f>IFERROR(VLOOKUP(G581,FILAMENTI_DB!$A:$C,3,FALSE),"")</f>
        <v/>
      </c>
      <c r="I581" t="str">
        <f>IFERROR(VLOOKUP(G581,FILAMENTI_DB!$A:$E,4,FALSE),"")</f>
        <v/>
      </c>
      <c r="J581" s="26"/>
      <c r="K581" s="27"/>
      <c r="L581" s="27"/>
      <c r="M581" s="27">
        <f t="shared" ref="M581:M644" si="56">IFERROR(K581+L581,"")</f>
        <v>0</v>
      </c>
      <c r="N581" s="26">
        <f t="shared" ref="N581:N644" si="57">IFERROR(J581*M581,"")</f>
        <v>0</v>
      </c>
      <c r="O581" s="26"/>
      <c r="P581" s="26"/>
      <c r="Q581" s="23"/>
      <c r="R581" s="23">
        <f t="shared" ref="R581:R644" si="58">IFERROR(Q581*K581,"")</f>
        <v>0</v>
      </c>
      <c r="S581" s="23"/>
      <c r="T581" s="23">
        <f t="shared" ref="T581:T644" si="59">IFERROR(R581-S581,"")</f>
        <v>0</v>
      </c>
      <c r="U581" s="28" t="str">
        <f t="shared" ref="U581:U644" si="60">IFERROR(T581/R581,"")</f>
        <v/>
      </c>
      <c r="V581" s="10" t="str">
        <f>IFERROR(N581*VLOOKUP(G581,FILAMENTI_DB!$A:$J,10,FALSE),"")</f>
        <v/>
      </c>
      <c r="W581" s="23" t="str">
        <f>IFERROR((VLOOKUP(F581,STAMPANTI_DB!$A:$C,3,FALSE)/1000)*O581*SETTINGS!$C$6,"")</f>
        <v/>
      </c>
      <c r="X581" s="23" t="str">
        <f>IFERROR(O581*VLOOKUP(F581,STAMPANTI_DB!$A:$I,9,FALSE),"")</f>
        <v/>
      </c>
      <c r="Y581" s="23">
        <f>IFERROR(P581*SETTINGS!$C$7,"")</f>
        <v>0</v>
      </c>
      <c r="Z581" s="23">
        <f>SETTINGS!$C$11</f>
        <v>0.5</v>
      </c>
      <c r="AA581" s="23">
        <f t="shared" ref="AA581:AA644" si="61">IFERROR(SUM(V581:Z581),"")</f>
        <v>0.5</v>
      </c>
      <c r="AB581" s="23">
        <f>IFERROR(AA581*SETTINGS!$C$9,"")</f>
        <v>2.5000000000000001E-2</v>
      </c>
      <c r="AC581" s="23">
        <f>IFERROR((AA581+AB581)*SETTINGS!$C$10,"")</f>
        <v>2.6250000000000002E-2</v>
      </c>
    </row>
    <row r="582" spans="1:29" ht="16" x14ac:dyDescent="0.2">
      <c r="A582" s="25"/>
      <c r="H582" t="str">
        <f>IFERROR(VLOOKUP(G582,FILAMENTI_DB!$A:$C,3,FALSE),"")</f>
        <v/>
      </c>
      <c r="I582" t="str">
        <f>IFERROR(VLOOKUP(G582,FILAMENTI_DB!$A:$E,4,FALSE),"")</f>
        <v/>
      </c>
      <c r="J582" s="26"/>
      <c r="K582" s="27"/>
      <c r="L582" s="27"/>
      <c r="M582" s="27">
        <f t="shared" si="56"/>
        <v>0</v>
      </c>
      <c r="N582" s="26">
        <f t="shared" si="57"/>
        <v>0</v>
      </c>
      <c r="O582" s="26"/>
      <c r="P582" s="26"/>
      <c r="Q582" s="23"/>
      <c r="R582" s="23">
        <f t="shared" si="58"/>
        <v>0</v>
      </c>
      <c r="S582" s="23"/>
      <c r="T582" s="23">
        <f t="shared" si="59"/>
        <v>0</v>
      </c>
      <c r="U582" s="28" t="str">
        <f t="shared" si="60"/>
        <v/>
      </c>
      <c r="V582" s="10" t="str">
        <f>IFERROR(N582*VLOOKUP(G582,FILAMENTI_DB!$A:$J,10,FALSE),"")</f>
        <v/>
      </c>
      <c r="W582" s="23" t="str">
        <f>IFERROR((VLOOKUP(F582,STAMPANTI_DB!$A:$C,3,FALSE)/1000)*O582*SETTINGS!$C$6,"")</f>
        <v/>
      </c>
      <c r="X582" s="23" t="str">
        <f>IFERROR(O582*VLOOKUP(F582,STAMPANTI_DB!$A:$I,9,FALSE),"")</f>
        <v/>
      </c>
      <c r="Y582" s="23">
        <f>IFERROR(P582*SETTINGS!$C$7,"")</f>
        <v>0</v>
      </c>
      <c r="Z582" s="23">
        <f>SETTINGS!$C$11</f>
        <v>0.5</v>
      </c>
      <c r="AA582" s="23">
        <f t="shared" si="61"/>
        <v>0.5</v>
      </c>
      <c r="AB582" s="23">
        <f>IFERROR(AA582*SETTINGS!$C$9,"")</f>
        <v>2.5000000000000001E-2</v>
      </c>
      <c r="AC582" s="23">
        <f>IFERROR((AA582+AB582)*SETTINGS!$C$10,"")</f>
        <v>2.6250000000000002E-2</v>
      </c>
    </row>
    <row r="583" spans="1:29" ht="16" x14ac:dyDescent="0.2">
      <c r="A583" s="25"/>
      <c r="H583" t="str">
        <f>IFERROR(VLOOKUP(G583,FILAMENTI_DB!$A:$C,3,FALSE),"")</f>
        <v/>
      </c>
      <c r="I583" t="str">
        <f>IFERROR(VLOOKUP(G583,FILAMENTI_DB!$A:$E,4,FALSE),"")</f>
        <v/>
      </c>
      <c r="J583" s="26"/>
      <c r="K583" s="27"/>
      <c r="L583" s="27"/>
      <c r="M583" s="27">
        <f t="shared" si="56"/>
        <v>0</v>
      </c>
      <c r="N583" s="26">
        <f t="shared" si="57"/>
        <v>0</v>
      </c>
      <c r="O583" s="26"/>
      <c r="P583" s="26"/>
      <c r="Q583" s="23"/>
      <c r="R583" s="23">
        <f t="shared" si="58"/>
        <v>0</v>
      </c>
      <c r="S583" s="23"/>
      <c r="T583" s="23">
        <f t="shared" si="59"/>
        <v>0</v>
      </c>
      <c r="U583" s="28" t="str">
        <f t="shared" si="60"/>
        <v/>
      </c>
      <c r="V583" s="10" t="str">
        <f>IFERROR(N583*VLOOKUP(G583,FILAMENTI_DB!$A:$J,10,FALSE),"")</f>
        <v/>
      </c>
      <c r="W583" s="23" t="str">
        <f>IFERROR((VLOOKUP(F583,STAMPANTI_DB!$A:$C,3,FALSE)/1000)*O583*SETTINGS!$C$6,"")</f>
        <v/>
      </c>
      <c r="X583" s="23" t="str">
        <f>IFERROR(O583*VLOOKUP(F583,STAMPANTI_DB!$A:$I,9,FALSE),"")</f>
        <v/>
      </c>
      <c r="Y583" s="23">
        <f>IFERROR(P583*SETTINGS!$C$7,"")</f>
        <v>0</v>
      </c>
      <c r="Z583" s="23">
        <f>SETTINGS!$C$11</f>
        <v>0.5</v>
      </c>
      <c r="AA583" s="23">
        <f t="shared" si="61"/>
        <v>0.5</v>
      </c>
      <c r="AB583" s="23">
        <f>IFERROR(AA583*SETTINGS!$C$9,"")</f>
        <v>2.5000000000000001E-2</v>
      </c>
      <c r="AC583" s="23">
        <f>IFERROR((AA583+AB583)*SETTINGS!$C$10,"")</f>
        <v>2.6250000000000002E-2</v>
      </c>
    </row>
    <row r="584" spans="1:29" ht="16" x14ac:dyDescent="0.2">
      <c r="A584" s="25"/>
      <c r="H584" t="str">
        <f>IFERROR(VLOOKUP(G584,FILAMENTI_DB!$A:$C,3,FALSE),"")</f>
        <v/>
      </c>
      <c r="I584" t="str">
        <f>IFERROR(VLOOKUP(G584,FILAMENTI_DB!$A:$E,4,FALSE),"")</f>
        <v/>
      </c>
      <c r="J584" s="26"/>
      <c r="K584" s="27"/>
      <c r="L584" s="27"/>
      <c r="M584" s="27">
        <f t="shared" si="56"/>
        <v>0</v>
      </c>
      <c r="N584" s="26">
        <f t="shared" si="57"/>
        <v>0</v>
      </c>
      <c r="O584" s="26"/>
      <c r="P584" s="26"/>
      <c r="Q584" s="23"/>
      <c r="R584" s="23">
        <f t="shared" si="58"/>
        <v>0</v>
      </c>
      <c r="S584" s="23"/>
      <c r="T584" s="23">
        <f t="shared" si="59"/>
        <v>0</v>
      </c>
      <c r="U584" s="28" t="str">
        <f t="shared" si="60"/>
        <v/>
      </c>
      <c r="V584" s="10" t="str">
        <f>IFERROR(N584*VLOOKUP(G584,FILAMENTI_DB!$A:$J,10,FALSE),"")</f>
        <v/>
      </c>
      <c r="W584" s="23" t="str">
        <f>IFERROR((VLOOKUP(F584,STAMPANTI_DB!$A:$C,3,FALSE)/1000)*O584*SETTINGS!$C$6,"")</f>
        <v/>
      </c>
      <c r="X584" s="23" t="str">
        <f>IFERROR(O584*VLOOKUP(F584,STAMPANTI_DB!$A:$I,9,FALSE),"")</f>
        <v/>
      </c>
      <c r="Y584" s="23">
        <f>IFERROR(P584*SETTINGS!$C$7,"")</f>
        <v>0</v>
      </c>
      <c r="Z584" s="23">
        <f>SETTINGS!$C$11</f>
        <v>0.5</v>
      </c>
      <c r="AA584" s="23">
        <f t="shared" si="61"/>
        <v>0.5</v>
      </c>
      <c r="AB584" s="23">
        <f>IFERROR(AA584*SETTINGS!$C$9,"")</f>
        <v>2.5000000000000001E-2</v>
      </c>
      <c r="AC584" s="23">
        <f>IFERROR((AA584+AB584)*SETTINGS!$C$10,"")</f>
        <v>2.6250000000000002E-2</v>
      </c>
    </row>
    <row r="585" spans="1:29" ht="16" x14ac:dyDescent="0.2">
      <c r="A585" s="25"/>
      <c r="H585" t="str">
        <f>IFERROR(VLOOKUP(G585,FILAMENTI_DB!$A:$C,3,FALSE),"")</f>
        <v/>
      </c>
      <c r="I585" t="str">
        <f>IFERROR(VLOOKUP(G585,FILAMENTI_DB!$A:$E,4,FALSE),"")</f>
        <v/>
      </c>
      <c r="J585" s="26"/>
      <c r="K585" s="27"/>
      <c r="L585" s="27"/>
      <c r="M585" s="27">
        <f t="shared" si="56"/>
        <v>0</v>
      </c>
      <c r="N585" s="26">
        <f t="shared" si="57"/>
        <v>0</v>
      </c>
      <c r="O585" s="26"/>
      <c r="P585" s="26"/>
      <c r="Q585" s="23"/>
      <c r="R585" s="23">
        <f t="shared" si="58"/>
        <v>0</v>
      </c>
      <c r="S585" s="23"/>
      <c r="T585" s="23">
        <f t="shared" si="59"/>
        <v>0</v>
      </c>
      <c r="U585" s="28" t="str">
        <f t="shared" si="60"/>
        <v/>
      </c>
      <c r="V585" s="10" t="str">
        <f>IFERROR(N585*VLOOKUP(G585,FILAMENTI_DB!$A:$J,10,FALSE),"")</f>
        <v/>
      </c>
      <c r="W585" s="23" t="str">
        <f>IFERROR((VLOOKUP(F585,STAMPANTI_DB!$A:$C,3,FALSE)/1000)*O585*SETTINGS!$C$6,"")</f>
        <v/>
      </c>
      <c r="X585" s="23" t="str">
        <f>IFERROR(O585*VLOOKUP(F585,STAMPANTI_DB!$A:$I,9,FALSE),"")</f>
        <v/>
      </c>
      <c r="Y585" s="23">
        <f>IFERROR(P585*SETTINGS!$C$7,"")</f>
        <v>0</v>
      </c>
      <c r="Z585" s="23">
        <f>SETTINGS!$C$11</f>
        <v>0.5</v>
      </c>
      <c r="AA585" s="23">
        <f t="shared" si="61"/>
        <v>0.5</v>
      </c>
      <c r="AB585" s="23">
        <f>IFERROR(AA585*SETTINGS!$C$9,"")</f>
        <v>2.5000000000000001E-2</v>
      </c>
      <c r="AC585" s="23">
        <f>IFERROR((AA585+AB585)*SETTINGS!$C$10,"")</f>
        <v>2.6250000000000002E-2</v>
      </c>
    </row>
    <row r="586" spans="1:29" ht="16" x14ac:dyDescent="0.2">
      <c r="A586" s="25"/>
      <c r="H586" t="str">
        <f>IFERROR(VLOOKUP(G586,FILAMENTI_DB!$A:$C,3,FALSE),"")</f>
        <v/>
      </c>
      <c r="I586" t="str">
        <f>IFERROR(VLOOKUP(G586,FILAMENTI_DB!$A:$E,4,FALSE),"")</f>
        <v/>
      </c>
      <c r="J586" s="26"/>
      <c r="K586" s="27"/>
      <c r="L586" s="27"/>
      <c r="M586" s="27">
        <f t="shared" si="56"/>
        <v>0</v>
      </c>
      <c r="N586" s="26">
        <f t="shared" si="57"/>
        <v>0</v>
      </c>
      <c r="O586" s="26"/>
      <c r="P586" s="26"/>
      <c r="Q586" s="23"/>
      <c r="R586" s="23">
        <f t="shared" si="58"/>
        <v>0</v>
      </c>
      <c r="S586" s="23"/>
      <c r="T586" s="23">
        <f t="shared" si="59"/>
        <v>0</v>
      </c>
      <c r="U586" s="28" t="str">
        <f t="shared" si="60"/>
        <v/>
      </c>
      <c r="V586" s="10" t="str">
        <f>IFERROR(N586*VLOOKUP(G586,FILAMENTI_DB!$A:$J,10,FALSE),"")</f>
        <v/>
      </c>
      <c r="W586" s="23" t="str">
        <f>IFERROR((VLOOKUP(F586,STAMPANTI_DB!$A:$C,3,FALSE)/1000)*O586*SETTINGS!$C$6,"")</f>
        <v/>
      </c>
      <c r="X586" s="23" t="str">
        <f>IFERROR(O586*VLOOKUP(F586,STAMPANTI_DB!$A:$I,9,FALSE),"")</f>
        <v/>
      </c>
      <c r="Y586" s="23">
        <f>IFERROR(P586*SETTINGS!$C$7,"")</f>
        <v>0</v>
      </c>
      <c r="Z586" s="23">
        <f>SETTINGS!$C$11</f>
        <v>0.5</v>
      </c>
      <c r="AA586" s="23">
        <f t="shared" si="61"/>
        <v>0.5</v>
      </c>
      <c r="AB586" s="23">
        <f>IFERROR(AA586*SETTINGS!$C$9,"")</f>
        <v>2.5000000000000001E-2</v>
      </c>
      <c r="AC586" s="23">
        <f>IFERROR((AA586+AB586)*SETTINGS!$C$10,"")</f>
        <v>2.6250000000000002E-2</v>
      </c>
    </row>
    <row r="587" spans="1:29" ht="16" x14ac:dyDescent="0.2">
      <c r="A587" s="25"/>
      <c r="H587" t="str">
        <f>IFERROR(VLOOKUP(G587,FILAMENTI_DB!$A:$C,3,FALSE),"")</f>
        <v/>
      </c>
      <c r="I587" t="str">
        <f>IFERROR(VLOOKUP(G587,FILAMENTI_DB!$A:$E,4,FALSE),"")</f>
        <v/>
      </c>
      <c r="J587" s="26"/>
      <c r="K587" s="27"/>
      <c r="L587" s="27"/>
      <c r="M587" s="27">
        <f t="shared" si="56"/>
        <v>0</v>
      </c>
      <c r="N587" s="26">
        <f t="shared" si="57"/>
        <v>0</v>
      </c>
      <c r="O587" s="26"/>
      <c r="P587" s="26"/>
      <c r="Q587" s="23"/>
      <c r="R587" s="23">
        <f t="shared" si="58"/>
        <v>0</v>
      </c>
      <c r="S587" s="23"/>
      <c r="T587" s="23">
        <f t="shared" si="59"/>
        <v>0</v>
      </c>
      <c r="U587" s="28" t="str">
        <f t="shared" si="60"/>
        <v/>
      </c>
      <c r="V587" s="10" t="str">
        <f>IFERROR(N587*VLOOKUP(G587,FILAMENTI_DB!$A:$J,10,FALSE),"")</f>
        <v/>
      </c>
      <c r="W587" s="23" t="str">
        <f>IFERROR((VLOOKUP(F587,STAMPANTI_DB!$A:$C,3,FALSE)/1000)*O587*SETTINGS!$C$6,"")</f>
        <v/>
      </c>
      <c r="X587" s="23" t="str">
        <f>IFERROR(O587*VLOOKUP(F587,STAMPANTI_DB!$A:$I,9,FALSE),"")</f>
        <v/>
      </c>
      <c r="Y587" s="23">
        <f>IFERROR(P587*SETTINGS!$C$7,"")</f>
        <v>0</v>
      </c>
      <c r="Z587" s="23">
        <f>SETTINGS!$C$11</f>
        <v>0.5</v>
      </c>
      <c r="AA587" s="23">
        <f t="shared" si="61"/>
        <v>0.5</v>
      </c>
      <c r="AB587" s="23">
        <f>IFERROR(AA587*SETTINGS!$C$9,"")</f>
        <v>2.5000000000000001E-2</v>
      </c>
      <c r="AC587" s="23">
        <f>IFERROR((AA587+AB587)*SETTINGS!$C$10,"")</f>
        <v>2.6250000000000002E-2</v>
      </c>
    </row>
    <row r="588" spans="1:29" ht="16" x14ac:dyDescent="0.2">
      <c r="A588" s="25"/>
      <c r="H588" t="str">
        <f>IFERROR(VLOOKUP(G588,FILAMENTI_DB!$A:$C,3,FALSE),"")</f>
        <v/>
      </c>
      <c r="I588" t="str">
        <f>IFERROR(VLOOKUP(G588,FILAMENTI_DB!$A:$E,4,FALSE),"")</f>
        <v/>
      </c>
      <c r="J588" s="26"/>
      <c r="K588" s="27"/>
      <c r="L588" s="27"/>
      <c r="M588" s="27">
        <f t="shared" si="56"/>
        <v>0</v>
      </c>
      <c r="N588" s="26">
        <f t="shared" si="57"/>
        <v>0</v>
      </c>
      <c r="O588" s="26"/>
      <c r="P588" s="26"/>
      <c r="Q588" s="23"/>
      <c r="R588" s="23">
        <f t="shared" si="58"/>
        <v>0</v>
      </c>
      <c r="S588" s="23"/>
      <c r="T588" s="23">
        <f t="shared" si="59"/>
        <v>0</v>
      </c>
      <c r="U588" s="28" t="str">
        <f t="shared" si="60"/>
        <v/>
      </c>
      <c r="V588" s="10" t="str">
        <f>IFERROR(N588*VLOOKUP(G588,FILAMENTI_DB!$A:$J,10,FALSE),"")</f>
        <v/>
      </c>
      <c r="W588" s="23" t="str">
        <f>IFERROR((VLOOKUP(F588,STAMPANTI_DB!$A:$C,3,FALSE)/1000)*O588*SETTINGS!$C$6,"")</f>
        <v/>
      </c>
      <c r="X588" s="23" t="str">
        <f>IFERROR(O588*VLOOKUP(F588,STAMPANTI_DB!$A:$I,9,FALSE),"")</f>
        <v/>
      </c>
      <c r="Y588" s="23">
        <f>IFERROR(P588*SETTINGS!$C$7,"")</f>
        <v>0</v>
      </c>
      <c r="Z588" s="23">
        <f>SETTINGS!$C$11</f>
        <v>0.5</v>
      </c>
      <c r="AA588" s="23">
        <f t="shared" si="61"/>
        <v>0.5</v>
      </c>
      <c r="AB588" s="23">
        <f>IFERROR(AA588*SETTINGS!$C$9,"")</f>
        <v>2.5000000000000001E-2</v>
      </c>
      <c r="AC588" s="23">
        <f>IFERROR((AA588+AB588)*SETTINGS!$C$10,"")</f>
        <v>2.6250000000000002E-2</v>
      </c>
    </row>
    <row r="589" spans="1:29" ht="16" x14ac:dyDescent="0.2">
      <c r="A589" s="25"/>
      <c r="H589" t="str">
        <f>IFERROR(VLOOKUP(G589,FILAMENTI_DB!$A:$C,3,FALSE),"")</f>
        <v/>
      </c>
      <c r="I589" t="str">
        <f>IFERROR(VLOOKUP(G589,FILAMENTI_DB!$A:$E,4,FALSE),"")</f>
        <v/>
      </c>
      <c r="J589" s="26"/>
      <c r="K589" s="27"/>
      <c r="L589" s="27"/>
      <c r="M589" s="27">
        <f t="shared" si="56"/>
        <v>0</v>
      </c>
      <c r="N589" s="26">
        <f t="shared" si="57"/>
        <v>0</v>
      </c>
      <c r="O589" s="26"/>
      <c r="P589" s="26"/>
      <c r="Q589" s="23"/>
      <c r="R589" s="23">
        <f t="shared" si="58"/>
        <v>0</v>
      </c>
      <c r="S589" s="23"/>
      <c r="T589" s="23">
        <f t="shared" si="59"/>
        <v>0</v>
      </c>
      <c r="U589" s="28" t="str">
        <f t="shared" si="60"/>
        <v/>
      </c>
      <c r="V589" s="10" t="str">
        <f>IFERROR(N589*VLOOKUP(G589,FILAMENTI_DB!$A:$J,10,FALSE),"")</f>
        <v/>
      </c>
      <c r="W589" s="23" t="str">
        <f>IFERROR((VLOOKUP(F589,STAMPANTI_DB!$A:$C,3,FALSE)/1000)*O589*SETTINGS!$C$6,"")</f>
        <v/>
      </c>
      <c r="X589" s="23" t="str">
        <f>IFERROR(O589*VLOOKUP(F589,STAMPANTI_DB!$A:$I,9,FALSE),"")</f>
        <v/>
      </c>
      <c r="Y589" s="23">
        <f>IFERROR(P589*SETTINGS!$C$7,"")</f>
        <v>0</v>
      </c>
      <c r="Z589" s="23">
        <f>SETTINGS!$C$11</f>
        <v>0.5</v>
      </c>
      <c r="AA589" s="23">
        <f t="shared" si="61"/>
        <v>0.5</v>
      </c>
      <c r="AB589" s="23">
        <f>IFERROR(AA589*SETTINGS!$C$9,"")</f>
        <v>2.5000000000000001E-2</v>
      </c>
      <c r="AC589" s="23">
        <f>IFERROR((AA589+AB589)*SETTINGS!$C$10,"")</f>
        <v>2.6250000000000002E-2</v>
      </c>
    </row>
    <row r="590" spans="1:29" ht="16" x14ac:dyDescent="0.2">
      <c r="A590" s="25"/>
      <c r="H590" t="str">
        <f>IFERROR(VLOOKUP(G590,FILAMENTI_DB!$A:$C,3,FALSE),"")</f>
        <v/>
      </c>
      <c r="I590" t="str">
        <f>IFERROR(VLOOKUP(G590,FILAMENTI_DB!$A:$E,4,FALSE),"")</f>
        <v/>
      </c>
      <c r="J590" s="26"/>
      <c r="K590" s="27"/>
      <c r="L590" s="27"/>
      <c r="M590" s="27">
        <f t="shared" si="56"/>
        <v>0</v>
      </c>
      <c r="N590" s="26">
        <f t="shared" si="57"/>
        <v>0</v>
      </c>
      <c r="O590" s="26"/>
      <c r="P590" s="26"/>
      <c r="Q590" s="23"/>
      <c r="R590" s="23">
        <f t="shared" si="58"/>
        <v>0</v>
      </c>
      <c r="S590" s="23"/>
      <c r="T590" s="23">
        <f t="shared" si="59"/>
        <v>0</v>
      </c>
      <c r="U590" s="28" t="str">
        <f t="shared" si="60"/>
        <v/>
      </c>
      <c r="V590" s="10" t="str">
        <f>IFERROR(N590*VLOOKUP(G590,FILAMENTI_DB!$A:$J,10,FALSE),"")</f>
        <v/>
      </c>
      <c r="W590" s="23" t="str">
        <f>IFERROR((VLOOKUP(F590,STAMPANTI_DB!$A:$C,3,FALSE)/1000)*O590*SETTINGS!$C$6,"")</f>
        <v/>
      </c>
      <c r="X590" s="23" t="str">
        <f>IFERROR(O590*VLOOKUP(F590,STAMPANTI_DB!$A:$I,9,FALSE),"")</f>
        <v/>
      </c>
      <c r="Y590" s="23">
        <f>IFERROR(P590*SETTINGS!$C$7,"")</f>
        <v>0</v>
      </c>
      <c r="Z590" s="23">
        <f>SETTINGS!$C$11</f>
        <v>0.5</v>
      </c>
      <c r="AA590" s="23">
        <f t="shared" si="61"/>
        <v>0.5</v>
      </c>
      <c r="AB590" s="23">
        <f>IFERROR(AA590*SETTINGS!$C$9,"")</f>
        <v>2.5000000000000001E-2</v>
      </c>
      <c r="AC590" s="23">
        <f>IFERROR((AA590+AB590)*SETTINGS!$C$10,"")</f>
        <v>2.6250000000000002E-2</v>
      </c>
    </row>
    <row r="591" spans="1:29" ht="16" x14ac:dyDescent="0.2">
      <c r="A591" s="25"/>
      <c r="H591" t="str">
        <f>IFERROR(VLOOKUP(G591,FILAMENTI_DB!$A:$C,3,FALSE),"")</f>
        <v/>
      </c>
      <c r="I591" t="str">
        <f>IFERROR(VLOOKUP(G591,FILAMENTI_DB!$A:$E,4,FALSE),"")</f>
        <v/>
      </c>
      <c r="J591" s="26"/>
      <c r="K591" s="27"/>
      <c r="L591" s="27"/>
      <c r="M591" s="27">
        <f t="shared" si="56"/>
        <v>0</v>
      </c>
      <c r="N591" s="26">
        <f t="shared" si="57"/>
        <v>0</v>
      </c>
      <c r="O591" s="26"/>
      <c r="P591" s="26"/>
      <c r="Q591" s="23"/>
      <c r="R591" s="23">
        <f t="shared" si="58"/>
        <v>0</v>
      </c>
      <c r="S591" s="23"/>
      <c r="T591" s="23">
        <f t="shared" si="59"/>
        <v>0</v>
      </c>
      <c r="U591" s="28" t="str">
        <f t="shared" si="60"/>
        <v/>
      </c>
      <c r="V591" s="10" t="str">
        <f>IFERROR(N591*VLOOKUP(G591,FILAMENTI_DB!$A:$J,10,FALSE),"")</f>
        <v/>
      </c>
      <c r="W591" s="23" t="str">
        <f>IFERROR((VLOOKUP(F591,STAMPANTI_DB!$A:$C,3,FALSE)/1000)*O591*SETTINGS!$C$6,"")</f>
        <v/>
      </c>
      <c r="X591" s="23" t="str">
        <f>IFERROR(O591*VLOOKUP(F591,STAMPANTI_DB!$A:$I,9,FALSE),"")</f>
        <v/>
      </c>
      <c r="Y591" s="23">
        <f>IFERROR(P591*SETTINGS!$C$7,"")</f>
        <v>0</v>
      </c>
      <c r="Z591" s="23">
        <f>SETTINGS!$C$11</f>
        <v>0.5</v>
      </c>
      <c r="AA591" s="23">
        <f t="shared" si="61"/>
        <v>0.5</v>
      </c>
      <c r="AB591" s="23">
        <f>IFERROR(AA591*SETTINGS!$C$9,"")</f>
        <v>2.5000000000000001E-2</v>
      </c>
      <c r="AC591" s="23">
        <f>IFERROR((AA591+AB591)*SETTINGS!$C$10,"")</f>
        <v>2.6250000000000002E-2</v>
      </c>
    </row>
    <row r="592" spans="1:29" ht="16" x14ac:dyDescent="0.2">
      <c r="A592" s="25"/>
      <c r="H592" t="str">
        <f>IFERROR(VLOOKUP(G592,FILAMENTI_DB!$A:$C,3,FALSE),"")</f>
        <v/>
      </c>
      <c r="I592" t="str">
        <f>IFERROR(VLOOKUP(G592,FILAMENTI_DB!$A:$E,4,FALSE),"")</f>
        <v/>
      </c>
      <c r="J592" s="26"/>
      <c r="K592" s="27"/>
      <c r="L592" s="27"/>
      <c r="M592" s="27">
        <f t="shared" si="56"/>
        <v>0</v>
      </c>
      <c r="N592" s="26">
        <f t="shared" si="57"/>
        <v>0</v>
      </c>
      <c r="O592" s="26"/>
      <c r="P592" s="26"/>
      <c r="Q592" s="23"/>
      <c r="R592" s="23">
        <f t="shared" si="58"/>
        <v>0</v>
      </c>
      <c r="S592" s="23"/>
      <c r="T592" s="23">
        <f t="shared" si="59"/>
        <v>0</v>
      </c>
      <c r="U592" s="28" t="str">
        <f t="shared" si="60"/>
        <v/>
      </c>
      <c r="V592" s="10" t="str">
        <f>IFERROR(N592*VLOOKUP(G592,FILAMENTI_DB!$A:$J,10,FALSE),"")</f>
        <v/>
      </c>
      <c r="W592" s="23" t="str">
        <f>IFERROR((VLOOKUP(F592,STAMPANTI_DB!$A:$C,3,FALSE)/1000)*O592*SETTINGS!$C$6,"")</f>
        <v/>
      </c>
      <c r="X592" s="23" t="str">
        <f>IFERROR(O592*VLOOKUP(F592,STAMPANTI_DB!$A:$I,9,FALSE),"")</f>
        <v/>
      </c>
      <c r="Y592" s="23">
        <f>IFERROR(P592*SETTINGS!$C$7,"")</f>
        <v>0</v>
      </c>
      <c r="Z592" s="23">
        <f>SETTINGS!$C$11</f>
        <v>0.5</v>
      </c>
      <c r="AA592" s="23">
        <f t="shared" si="61"/>
        <v>0.5</v>
      </c>
      <c r="AB592" s="23">
        <f>IFERROR(AA592*SETTINGS!$C$9,"")</f>
        <v>2.5000000000000001E-2</v>
      </c>
      <c r="AC592" s="23">
        <f>IFERROR((AA592+AB592)*SETTINGS!$C$10,"")</f>
        <v>2.6250000000000002E-2</v>
      </c>
    </row>
    <row r="593" spans="1:29" ht="16" x14ac:dyDescent="0.2">
      <c r="A593" s="25"/>
      <c r="H593" t="str">
        <f>IFERROR(VLOOKUP(G593,FILAMENTI_DB!$A:$C,3,FALSE),"")</f>
        <v/>
      </c>
      <c r="I593" t="str">
        <f>IFERROR(VLOOKUP(G593,FILAMENTI_DB!$A:$E,4,FALSE),"")</f>
        <v/>
      </c>
      <c r="J593" s="26"/>
      <c r="K593" s="27"/>
      <c r="L593" s="27"/>
      <c r="M593" s="27">
        <f t="shared" si="56"/>
        <v>0</v>
      </c>
      <c r="N593" s="26">
        <f t="shared" si="57"/>
        <v>0</v>
      </c>
      <c r="O593" s="26"/>
      <c r="P593" s="26"/>
      <c r="Q593" s="23"/>
      <c r="R593" s="23">
        <f t="shared" si="58"/>
        <v>0</v>
      </c>
      <c r="S593" s="23"/>
      <c r="T593" s="23">
        <f t="shared" si="59"/>
        <v>0</v>
      </c>
      <c r="U593" s="28" t="str">
        <f t="shared" si="60"/>
        <v/>
      </c>
      <c r="V593" s="10" t="str">
        <f>IFERROR(N593*VLOOKUP(G593,FILAMENTI_DB!$A:$J,10,FALSE),"")</f>
        <v/>
      </c>
      <c r="W593" s="23" t="str">
        <f>IFERROR((VLOOKUP(F593,STAMPANTI_DB!$A:$C,3,FALSE)/1000)*O593*SETTINGS!$C$6,"")</f>
        <v/>
      </c>
      <c r="X593" s="23" t="str">
        <f>IFERROR(O593*VLOOKUP(F593,STAMPANTI_DB!$A:$I,9,FALSE),"")</f>
        <v/>
      </c>
      <c r="Y593" s="23">
        <f>IFERROR(P593*SETTINGS!$C$7,"")</f>
        <v>0</v>
      </c>
      <c r="Z593" s="23">
        <f>SETTINGS!$C$11</f>
        <v>0.5</v>
      </c>
      <c r="AA593" s="23">
        <f t="shared" si="61"/>
        <v>0.5</v>
      </c>
      <c r="AB593" s="23">
        <f>IFERROR(AA593*SETTINGS!$C$9,"")</f>
        <v>2.5000000000000001E-2</v>
      </c>
      <c r="AC593" s="23">
        <f>IFERROR((AA593+AB593)*SETTINGS!$C$10,"")</f>
        <v>2.6250000000000002E-2</v>
      </c>
    </row>
    <row r="594" spans="1:29" ht="16" x14ac:dyDescent="0.2">
      <c r="A594" s="25"/>
      <c r="H594" t="str">
        <f>IFERROR(VLOOKUP(G594,FILAMENTI_DB!$A:$C,3,FALSE),"")</f>
        <v/>
      </c>
      <c r="I594" t="str">
        <f>IFERROR(VLOOKUP(G594,FILAMENTI_DB!$A:$E,4,FALSE),"")</f>
        <v/>
      </c>
      <c r="J594" s="26"/>
      <c r="K594" s="27"/>
      <c r="L594" s="27"/>
      <c r="M594" s="27">
        <f t="shared" si="56"/>
        <v>0</v>
      </c>
      <c r="N594" s="26">
        <f t="shared" si="57"/>
        <v>0</v>
      </c>
      <c r="O594" s="26"/>
      <c r="P594" s="26"/>
      <c r="Q594" s="23"/>
      <c r="R594" s="23">
        <f t="shared" si="58"/>
        <v>0</v>
      </c>
      <c r="S594" s="23"/>
      <c r="T594" s="23">
        <f t="shared" si="59"/>
        <v>0</v>
      </c>
      <c r="U594" s="28" t="str">
        <f t="shared" si="60"/>
        <v/>
      </c>
      <c r="V594" s="10" t="str">
        <f>IFERROR(N594*VLOOKUP(G594,FILAMENTI_DB!$A:$J,10,FALSE),"")</f>
        <v/>
      </c>
      <c r="W594" s="23" t="str">
        <f>IFERROR((VLOOKUP(F594,STAMPANTI_DB!$A:$C,3,FALSE)/1000)*O594*SETTINGS!$C$6,"")</f>
        <v/>
      </c>
      <c r="X594" s="23" t="str">
        <f>IFERROR(O594*VLOOKUP(F594,STAMPANTI_DB!$A:$I,9,FALSE),"")</f>
        <v/>
      </c>
      <c r="Y594" s="23">
        <f>IFERROR(P594*SETTINGS!$C$7,"")</f>
        <v>0</v>
      </c>
      <c r="Z594" s="23">
        <f>SETTINGS!$C$11</f>
        <v>0.5</v>
      </c>
      <c r="AA594" s="23">
        <f t="shared" si="61"/>
        <v>0.5</v>
      </c>
      <c r="AB594" s="23">
        <f>IFERROR(AA594*SETTINGS!$C$9,"")</f>
        <v>2.5000000000000001E-2</v>
      </c>
      <c r="AC594" s="23">
        <f>IFERROR((AA594+AB594)*SETTINGS!$C$10,"")</f>
        <v>2.6250000000000002E-2</v>
      </c>
    </row>
    <row r="595" spans="1:29" ht="16" x14ac:dyDescent="0.2">
      <c r="A595" s="25"/>
      <c r="H595" t="str">
        <f>IFERROR(VLOOKUP(G595,FILAMENTI_DB!$A:$C,3,FALSE),"")</f>
        <v/>
      </c>
      <c r="I595" t="str">
        <f>IFERROR(VLOOKUP(G595,FILAMENTI_DB!$A:$E,4,FALSE),"")</f>
        <v/>
      </c>
      <c r="J595" s="26"/>
      <c r="K595" s="27"/>
      <c r="L595" s="27"/>
      <c r="M595" s="27">
        <f t="shared" si="56"/>
        <v>0</v>
      </c>
      <c r="N595" s="26">
        <f t="shared" si="57"/>
        <v>0</v>
      </c>
      <c r="O595" s="26"/>
      <c r="P595" s="26"/>
      <c r="Q595" s="23"/>
      <c r="R595" s="23">
        <f t="shared" si="58"/>
        <v>0</v>
      </c>
      <c r="S595" s="23"/>
      <c r="T595" s="23">
        <f t="shared" si="59"/>
        <v>0</v>
      </c>
      <c r="U595" s="28" t="str">
        <f t="shared" si="60"/>
        <v/>
      </c>
      <c r="V595" s="10" t="str">
        <f>IFERROR(N595*VLOOKUP(G595,FILAMENTI_DB!$A:$J,10,FALSE),"")</f>
        <v/>
      </c>
      <c r="W595" s="23" t="str">
        <f>IFERROR((VLOOKUP(F595,STAMPANTI_DB!$A:$C,3,FALSE)/1000)*O595*SETTINGS!$C$6,"")</f>
        <v/>
      </c>
      <c r="X595" s="23" t="str">
        <f>IFERROR(O595*VLOOKUP(F595,STAMPANTI_DB!$A:$I,9,FALSE),"")</f>
        <v/>
      </c>
      <c r="Y595" s="23">
        <f>IFERROR(P595*SETTINGS!$C$7,"")</f>
        <v>0</v>
      </c>
      <c r="Z595" s="23">
        <f>SETTINGS!$C$11</f>
        <v>0.5</v>
      </c>
      <c r="AA595" s="23">
        <f t="shared" si="61"/>
        <v>0.5</v>
      </c>
      <c r="AB595" s="23">
        <f>IFERROR(AA595*SETTINGS!$C$9,"")</f>
        <v>2.5000000000000001E-2</v>
      </c>
      <c r="AC595" s="23">
        <f>IFERROR((AA595+AB595)*SETTINGS!$C$10,"")</f>
        <v>2.6250000000000002E-2</v>
      </c>
    </row>
    <row r="596" spans="1:29" ht="16" x14ac:dyDescent="0.2">
      <c r="A596" s="25"/>
      <c r="H596" t="str">
        <f>IFERROR(VLOOKUP(G596,FILAMENTI_DB!$A:$C,3,FALSE),"")</f>
        <v/>
      </c>
      <c r="I596" t="str">
        <f>IFERROR(VLOOKUP(G596,FILAMENTI_DB!$A:$E,4,FALSE),"")</f>
        <v/>
      </c>
      <c r="J596" s="26"/>
      <c r="K596" s="27"/>
      <c r="L596" s="27"/>
      <c r="M596" s="27">
        <f t="shared" si="56"/>
        <v>0</v>
      </c>
      <c r="N596" s="26">
        <f t="shared" si="57"/>
        <v>0</v>
      </c>
      <c r="O596" s="26"/>
      <c r="P596" s="26"/>
      <c r="Q596" s="23"/>
      <c r="R596" s="23">
        <f t="shared" si="58"/>
        <v>0</v>
      </c>
      <c r="S596" s="23"/>
      <c r="T596" s="23">
        <f t="shared" si="59"/>
        <v>0</v>
      </c>
      <c r="U596" s="28" t="str">
        <f t="shared" si="60"/>
        <v/>
      </c>
      <c r="V596" s="10" t="str">
        <f>IFERROR(N596*VLOOKUP(G596,FILAMENTI_DB!$A:$J,10,FALSE),"")</f>
        <v/>
      </c>
      <c r="W596" s="23" t="str">
        <f>IFERROR((VLOOKUP(F596,STAMPANTI_DB!$A:$C,3,FALSE)/1000)*O596*SETTINGS!$C$6,"")</f>
        <v/>
      </c>
      <c r="X596" s="23" t="str">
        <f>IFERROR(O596*VLOOKUP(F596,STAMPANTI_DB!$A:$I,9,FALSE),"")</f>
        <v/>
      </c>
      <c r="Y596" s="23">
        <f>IFERROR(P596*SETTINGS!$C$7,"")</f>
        <v>0</v>
      </c>
      <c r="Z596" s="23">
        <f>SETTINGS!$C$11</f>
        <v>0.5</v>
      </c>
      <c r="AA596" s="23">
        <f t="shared" si="61"/>
        <v>0.5</v>
      </c>
      <c r="AB596" s="23">
        <f>IFERROR(AA596*SETTINGS!$C$9,"")</f>
        <v>2.5000000000000001E-2</v>
      </c>
      <c r="AC596" s="23">
        <f>IFERROR((AA596+AB596)*SETTINGS!$C$10,"")</f>
        <v>2.6250000000000002E-2</v>
      </c>
    </row>
    <row r="597" spans="1:29" ht="16" x14ac:dyDescent="0.2">
      <c r="A597" s="25"/>
      <c r="H597" t="str">
        <f>IFERROR(VLOOKUP(G597,FILAMENTI_DB!$A:$C,3,FALSE),"")</f>
        <v/>
      </c>
      <c r="I597" t="str">
        <f>IFERROR(VLOOKUP(G597,FILAMENTI_DB!$A:$E,4,FALSE),"")</f>
        <v/>
      </c>
      <c r="J597" s="26"/>
      <c r="K597" s="27"/>
      <c r="L597" s="27"/>
      <c r="M597" s="27">
        <f t="shared" si="56"/>
        <v>0</v>
      </c>
      <c r="N597" s="26">
        <f t="shared" si="57"/>
        <v>0</v>
      </c>
      <c r="O597" s="26"/>
      <c r="P597" s="26"/>
      <c r="Q597" s="23"/>
      <c r="R597" s="23">
        <f t="shared" si="58"/>
        <v>0</v>
      </c>
      <c r="S597" s="23"/>
      <c r="T597" s="23">
        <f t="shared" si="59"/>
        <v>0</v>
      </c>
      <c r="U597" s="28" t="str">
        <f t="shared" si="60"/>
        <v/>
      </c>
      <c r="V597" s="10" t="str">
        <f>IFERROR(N597*VLOOKUP(G597,FILAMENTI_DB!$A:$J,10,FALSE),"")</f>
        <v/>
      </c>
      <c r="W597" s="23" t="str">
        <f>IFERROR((VLOOKUP(F597,STAMPANTI_DB!$A:$C,3,FALSE)/1000)*O597*SETTINGS!$C$6,"")</f>
        <v/>
      </c>
      <c r="X597" s="23" t="str">
        <f>IFERROR(O597*VLOOKUP(F597,STAMPANTI_DB!$A:$I,9,FALSE),"")</f>
        <v/>
      </c>
      <c r="Y597" s="23">
        <f>IFERROR(P597*SETTINGS!$C$7,"")</f>
        <v>0</v>
      </c>
      <c r="Z597" s="23">
        <f>SETTINGS!$C$11</f>
        <v>0.5</v>
      </c>
      <c r="AA597" s="23">
        <f t="shared" si="61"/>
        <v>0.5</v>
      </c>
      <c r="AB597" s="23">
        <f>IFERROR(AA597*SETTINGS!$C$9,"")</f>
        <v>2.5000000000000001E-2</v>
      </c>
      <c r="AC597" s="23">
        <f>IFERROR((AA597+AB597)*SETTINGS!$C$10,"")</f>
        <v>2.6250000000000002E-2</v>
      </c>
    </row>
    <row r="598" spans="1:29" ht="16" x14ac:dyDescent="0.2">
      <c r="A598" s="25"/>
      <c r="H598" t="str">
        <f>IFERROR(VLOOKUP(G598,FILAMENTI_DB!$A:$C,3,FALSE),"")</f>
        <v/>
      </c>
      <c r="I598" t="str">
        <f>IFERROR(VLOOKUP(G598,FILAMENTI_DB!$A:$E,4,FALSE),"")</f>
        <v/>
      </c>
      <c r="J598" s="26"/>
      <c r="K598" s="27"/>
      <c r="L598" s="27"/>
      <c r="M598" s="27">
        <f t="shared" si="56"/>
        <v>0</v>
      </c>
      <c r="N598" s="26">
        <f t="shared" si="57"/>
        <v>0</v>
      </c>
      <c r="O598" s="26"/>
      <c r="P598" s="26"/>
      <c r="Q598" s="23"/>
      <c r="R598" s="23">
        <f t="shared" si="58"/>
        <v>0</v>
      </c>
      <c r="S598" s="23"/>
      <c r="T598" s="23">
        <f t="shared" si="59"/>
        <v>0</v>
      </c>
      <c r="U598" s="28" t="str">
        <f t="shared" si="60"/>
        <v/>
      </c>
      <c r="V598" s="10" t="str">
        <f>IFERROR(N598*VLOOKUP(G598,FILAMENTI_DB!$A:$J,10,FALSE),"")</f>
        <v/>
      </c>
      <c r="W598" s="23" t="str">
        <f>IFERROR((VLOOKUP(F598,STAMPANTI_DB!$A:$C,3,FALSE)/1000)*O598*SETTINGS!$C$6,"")</f>
        <v/>
      </c>
      <c r="X598" s="23" t="str">
        <f>IFERROR(O598*VLOOKUP(F598,STAMPANTI_DB!$A:$I,9,FALSE),"")</f>
        <v/>
      </c>
      <c r="Y598" s="23">
        <f>IFERROR(P598*SETTINGS!$C$7,"")</f>
        <v>0</v>
      </c>
      <c r="Z598" s="23">
        <f>SETTINGS!$C$11</f>
        <v>0.5</v>
      </c>
      <c r="AA598" s="23">
        <f t="shared" si="61"/>
        <v>0.5</v>
      </c>
      <c r="AB598" s="23">
        <f>IFERROR(AA598*SETTINGS!$C$9,"")</f>
        <v>2.5000000000000001E-2</v>
      </c>
      <c r="AC598" s="23">
        <f>IFERROR((AA598+AB598)*SETTINGS!$C$10,"")</f>
        <v>2.6250000000000002E-2</v>
      </c>
    </row>
    <row r="599" spans="1:29" ht="16" x14ac:dyDescent="0.2">
      <c r="A599" s="25"/>
      <c r="H599" t="str">
        <f>IFERROR(VLOOKUP(G599,FILAMENTI_DB!$A:$C,3,FALSE),"")</f>
        <v/>
      </c>
      <c r="I599" t="str">
        <f>IFERROR(VLOOKUP(G599,FILAMENTI_DB!$A:$E,4,FALSE),"")</f>
        <v/>
      </c>
      <c r="J599" s="26"/>
      <c r="K599" s="27"/>
      <c r="L599" s="27"/>
      <c r="M599" s="27">
        <f t="shared" si="56"/>
        <v>0</v>
      </c>
      <c r="N599" s="26">
        <f t="shared" si="57"/>
        <v>0</v>
      </c>
      <c r="O599" s="26"/>
      <c r="P599" s="26"/>
      <c r="Q599" s="23"/>
      <c r="R599" s="23">
        <f t="shared" si="58"/>
        <v>0</v>
      </c>
      <c r="S599" s="23"/>
      <c r="T599" s="23">
        <f t="shared" si="59"/>
        <v>0</v>
      </c>
      <c r="U599" s="28" t="str">
        <f t="shared" si="60"/>
        <v/>
      </c>
      <c r="V599" s="10" t="str">
        <f>IFERROR(N599*VLOOKUP(G599,FILAMENTI_DB!$A:$J,10,FALSE),"")</f>
        <v/>
      </c>
      <c r="W599" s="23" t="str">
        <f>IFERROR((VLOOKUP(F599,STAMPANTI_DB!$A:$C,3,FALSE)/1000)*O599*SETTINGS!$C$6,"")</f>
        <v/>
      </c>
      <c r="X599" s="23" t="str">
        <f>IFERROR(O599*VLOOKUP(F599,STAMPANTI_DB!$A:$I,9,FALSE),"")</f>
        <v/>
      </c>
      <c r="Y599" s="23">
        <f>IFERROR(P599*SETTINGS!$C$7,"")</f>
        <v>0</v>
      </c>
      <c r="Z599" s="23">
        <f>SETTINGS!$C$11</f>
        <v>0.5</v>
      </c>
      <c r="AA599" s="23">
        <f t="shared" si="61"/>
        <v>0.5</v>
      </c>
      <c r="AB599" s="23">
        <f>IFERROR(AA599*SETTINGS!$C$9,"")</f>
        <v>2.5000000000000001E-2</v>
      </c>
      <c r="AC599" s="23">
        <f>IFERROR((AA599+AB599)*SETTINGS!$C$10,"")</f>
        <v>2.6250000000000002E-2</v>
      </c>
    </row>
    <row r="600" spans="1:29" ht="16" x14ac:dyDescent="0.2">
      <c r="A600" s="25"/>
      <c r="H600" t="str">
        <f>IFERROR(VLOOKUP(G600,FILAMENTI_DB!$A:$C,3,FALSE),"")</f>
        <v/>
      </c>
      <c r="I600" t="str">
        <f>IFERROR(VLOOKUP(G600,FILAMENTI_DB!$A:$E,4,FALSE),"")</f>
        <v/>
      </c>
      <c r="J600" s="26"/>
      <c r="K600" s="27"/>
      <c r="L600" s="27"/>
      <c r="M600" s="27">
        <f t="shared" si="56"/>
        <v>0</v>
      </c>
      <c r="N600" s="26">
        <f t="shared" si="57"/>
        <v>0</v>
      </c>
      <c r="O600" s="26"/>
      <c r="P600" s="26"/>
      <c r="Q600" s="23"/>
      <c r="R600" s="23">
        <f t="shared" si="58"/>
        <v>0</v>
      </c>
      <c r="S600" s="23"/>
      <c r="T600" s="23">
        <f t="shared" si="59"/>
        <v>0</v>
      </c>
      <c r="U600" s="28" t="str">
        <f t="shared" si="60"/>
        <v/>
      </c>
      <c r="V600" s="10" t="str">
        <f>IFERROR(N600*VLOOKUP(G600,FILAMENTI_DB!$A:$J,10,FALSE),"")</f>
        <v/>
      </c>
      <c r="W600" s="23" t="str">
        <f>IFERROR((VLOOKUP(F600,STAMPANTI_DB!$A:$C,3,FALSE)/1000)*O600*SETTINGS!$C$6,"")</f>
        <v/>
      </c>
      <c r="X600" s="23" t="str">
        <f>IFERROR(O600*VLOOKUP(F600,STAMPANTI_DB!$A:$I,9,FALSE),"")</f>
        <v/>
      </c>
      <c r="Y600" s="23">
        <f>IFERROR(P600*SETTINGS!$C$7,"")</f>
        <v>0</v>
      </c>
      <c r="Z600" s="23">
        <f>SETTINGS!$C$11</f>
        <v>0.5</v>
      </c>
      <c r="AA600" s="23">
        <f t="shared" si="61"/>
        <v>0.5</v>
      </c>
      <c r="AB600" s="23">
        <f>IFERROR(AA600*SETTINGS!$C$9,"")</f>
        <v>2.5000000000000001E-2</v>
      </c>
      <c r="AC600" s="23">
        <f>IFERROR((AA600+AB600)*SETTINGS!$C$10,"")</f>
        <v>2.6250000000000002E-2</v>
      </c>
    </row>
    <row r="601" spans="1:29" ht="16" x14ac:dyDescent="0.2">
      <c r="A601" s="25"/>
      <c r="H601" t="str">
        <f>IFERROR(VLOOKUP(G601,FILAMENTI_DB!$A:$C,3,FALSE),"")</f>
        <v/>
      </c>
      <c r="I601" t="str">
        <f>IFERROR(VLOOKUP(G601,FILAMENTI_DB!$A:$E,4,FALSE),"")</f>
        <v/>
      </c>
      <c r="J601" s="26"/>
      <c r="K601" s="27"/>
      <c r="L601" s="27"/>
      <c r="M601" s="27">
        <f t="shared" si="56"/>
        <v>0</v>
      </c>
      <c r="N601" s="26">
        <f t="shared" si="57"/>
        <v>0</v>
      </c>
      <c r="O601" s="26"/>
      <c r="P601" s="26"/>
      <c r="Q601" s="23"/>
      <c r="R601" s="23">
        <f t="shared" si="58"/>
        <v>0</v>
      </c>
      <c r="S601" s="23"/>
      <c r="T601" s="23">
        <f t="shared" si="59"/>
        <v>0</v>
      </c>
      <c r="U601" s="28" t="str">
        <f t="shared" si="60"/>
        <v/>
      </c>
      <c r="V601" s="10" t="str">
        <f>IFERROR(N601*VLOOKUP(G601,FILAMENTI_DB!$A:$J,10,FALSE),"")</f>
        <v/>
      </c>
      <c r="W601" s="23" t="str">
        <f>IFERROR((VLOOKUP(F601,STAMPANTI_DB!$A:$C,3,FALSE)/1000)*O601*SETTINGS!$C$6,"")</f>
        <v/>
      </c>
      <c r="X601" s="23" t="str">
        <f>IFERROR(O601*VLOOKUP(F601,STAMPANTI_DB!$A:$I,9,FALSE),"")</f>
        <v/>
      </c>
      <c r="Y601" s="23">
        <f>IFERROR(P601*SETTINGS!$C$7,"")</f>
        <v>0</v>
      </c>
      <c r="Z601" s="23">
        <f>SETTINGS!$C$11</f>
        <v>0.5</v>
      </c>
      <c r="AA601" s="23">
        <f t="shared" si="61"/>
        <v>0.5</v>
      </c>
      <c r="AB601" s="23">
        <f>IFERROR(AA601*SETTINGS!$C$9,"")</f>
        <v>2.5000000000000001E-2</v>
      </c>
      <c r="AC601" s="23">
        <f>IFERROR((AA601+AB601)*SETTINGS!$C$10,"")</f>
        <v>2.6250000000000002E-2</v>
      </c>
    </row>
    <row r="602" spans="1:29" ht="16" x14ac:dyDescent="0.2">
      <c r="A602" s="25"/>
      <c r="H602" t="str">
        <f>IFERROR(VLOOKUP(G602,FILAMENTI_DB!$A:$C,3,FALSE),"")</f>
        <v/>
      </c>
      <c r="I602" t="str">
        <f>IFERROR(VLOOKUP(G602,FILAMENTI_DB!$A:$E,4,FALSE),"")</f>
        <v/>
      </c>
      <c r="J602" s="26"/>
      <c r="K602" s="27"/>
      <c r="L602" s="27"/>
      <c r="M602" s="27">
        <f t="shared" si="56"/>
        <v>0</v>
      </c>
      <c r="N602" s="26">
        <f t="shared" si="57"/>
        <v>0</v>
      </c>
      <c r="O602" s="26"/>
      <c r="P602" s="26"/>
      <c r="Q602" s="23"/>
      <c r="R602" s="23">
        <f t="shared" si="58"/>
        <v>0</v>
      </c>
      <c r="S602" s="23"/>
      <c r="T602" s="23">
        <f t="shared" si="59"/>
        <v>0</v>
      </c>
      <c r="U602" s="28" t="str">
        <f t="shared" si="60"/>
        <v/>
      </c>
      <c r="V602" s="10" t="str">
        <f>IFERROR(N602*VLOOKUP(G602,FILAMENTI_DB!$A:$J,10,FALSE),"")</f>
        <v/>
      </c>
      <c r="W602" s="23" t="str">
        <f>IFERROR((VLOOKUP(F602,STAMPANTI_DB!$A:$C,3,FALSE)/1000)*O602*SETTINGS!$C$6,"")</f>
        <v/>
      </c>
      <c r="X602" s="23" t="str">
        <f>IFERROR(O602*VLOOKUP(F602,STAMPANTI_DB!$A:$I,9,FALSE),"")</f>
        <v/>
      </c>
      <c r="Y602" s="23">
        <f>IFERROR(P602*SETTINGS!$C$7,"")</f>
        <v>0</v>
      </c>
      <c r="Z602" s="23">
        <f>SETTINGS!$C$11</f>
        <v>0.5</v>
      </c>
      <c r="AA602" s="23">
        <f t="shared" si="61"/>
        <v>0.5</v>
      </c>
      <c r="AB602" s="23">
        <f>IFERROR(AA602*SETTINGS!$C$9,"")</f>
        <v>2.5000000000000001E-2</v>
      </c>
      <c r="AC602" s="23">
        <f>IFERROR((AA602+AB602)*SETTINGS!$C$10,"")</f>
        <v>2.6250000000000002E-2</v>
      </c>
    </row>
    <row r="603" spans="1:29" ht="16" x14ac:dyDescent="0.2">
      <c r="A603" s="25"/>
      <c r="H603" t="str">
        <f>IFERROR(VLOOKUP(G603,FILAMENTI_DB!$A:$C,3,FALSE),"")</f>
        <v/>
      </c>
      <c r="I603" t="str">
        <f>IFERROR(VLOOKUP(G603,FILAMENTI_DB!$A:$E,4,FALSE),"")</f>
        <v/>
      </c>
      <c r="J603" s="26"/>
      <c r="K603" s="27"/>
      <c r="L603" s="27"/>
      <c r="M603" s="27">
        <f t="shared" si="56"/>
        <v>0</v>
      </c>
      <c r="N603" s="26">
        <f t="shared" si="57"/>
        <v>0</v>
      </c>
      <c r="O603" s="26"/>
      <c r="P603" s="26"/>
      <c r="Q603" s="23"/>
      <c r="R603" s="23">
        <f t="shared" si="58"/>
        <v>0</v>
      </c>
      <c r="S603" s="23"/>
      <c r="T603" s="23">
        <f t="shared" si="59"/>
        <v>0</v>
      </c>
      <c r="U603" s="28" t="str">
        <f t="shared" si="60"/>
        <v/>
      </c>
      <c r="V603" s="10" t="str">
        <f>IFERROR(N603*VLOOKUP(G603,FILAMENTI_DB!$A:$J,10,FALSE),"")</f>
        <v/>
      </c>
      <c r="W603" s="23" t="str">
        <f>IFERROR((VLOOKUP(F603,STAMPANTI_DB!$A:$C,3,FALSE)/1000)*O603*SETTINGS!$C$6,"")</f>
        <v/>
      </c>
      <c r="X603" s="23" t="str">
        <f>IFERROR(O603*VLOOKUP(F603,STAMPANTI_DB!$A:$I,9,FALSE),"")</f>
        <v/>
      </c>
      <c r="Y603" s="23">
        <f>IFERROR(P603*SETTINGS!$C$7,"")</f>
        <v>0</v>
      </c>
      <c r="Z603" s="23">
        <f>SETTINGS!$C$11</f>
        <v>0.5</v>
      </c>
      <c r="AA603" s="23">
        <f t="shared" si="61"/>
        <v>0.5</v>
      </c>
      <c r="AB603" s="23">
        <f>IFERROR(AA603*SETTINGS!$C$9,"")</f>
        <v>2.5000000000000001E-2</v>
      </c>
      <c r="AC603" s="23">
        <f>IFERROR((AA603+AB603)*SETTINGS!$C$10,"")</f>
        <v>2.6250000000000002E-2</v>
      </c>
    </row>
    <row r="604" spans="1:29" ht="16" x14ac:dyDescent="0.2">
      <c r="A604" s="25"/>
      <c r="H604" t="str">
        <f>IFERROR(VLOOKUP(G604,FILAMENTI_DB!$A:$C,3,FALSE),"")</f>
        <v/>
      </c>
      <c r="I604" t="str">
        <f>IFERROR(VLOOKUP(G604,FILAMENTI_DB!$A:$E,4,FALSE),"")</f>
        <v/>
      </c>
      <c r="J604" s="26"/>
      <c r="K604" s="27"/>
      <c r="L604" s="27"/>
      <c r="M604" s="27">
        <f t="shared" si="56"/>
        <v>0</v>
      </c>
      <c r="N604" s="26">
        <f t="shared" si="57"/>
        <v>0</v>
      </c>
      <c r="O604" s="26"/>
      <c r="P604" s="26"/>
      <c r="Q604" s="23"/>
      <c r="R604" s="23">
        <f t="shared" si="58"/>
        <v>0</v>
      </c>
      <c r="S604" s="23"/>
      <c r="T604" s="23">
        <f t="shared" si="59"/>
        <v>0</v>
      </c>
      <c r="U604" s="28" t="str">
        <f t="shared" si="60"/>
        <v/>
      </c>
      <c r="V604" s="10" t="str">
        <f>IFERROR(N604*VLOOKUP(G604,FILAMENTI_DB!$A:$J,10,FALSE),"")</f>
        <v/>
      </c>
      <c r="W604" s="23" t="str">
        <f>IFERROR((VLOOKUP(F604,STAMPANTI_DB!$A:$C,3,FALSE)/1000)*O604*SETTINGS!$C$6,"")</f>
        <v/>
      </c>
      <c r="X604" s="23" t="str">
        <f>IFERROR(O604*VLOOKUP(F604,STAMPANTI_DB!$A:$I,9,FALSE),"")</f>
        <v/>
      </c>
      <c r="Y604" s="23">
        <f>IFERROR(P604*SETTINGS!$C$7,"")</f>
        <v>0</v>
      </c>
      <c r="Z604" s="23">
        <f>SETTINGS!$C$11</f>
        <v>0.5</v>
      </c>
      <c r="AA604" s="23">
        <f t="shared" si="61"/>
        <v>0.5</v>
      </c>
      <c r="AB604" s="23">
        <f>IFERROR(AA604*SETTINGS!$C$9,"")</f>
        <v>2.5000000000000001E-2</v>
      </c>
      <c r="AC604" s="23">
        <f>IFERROR((AA604+AB604)*SETTINGS!$C$10,"")</f>
        <v>2.6250000000000002E-2</v>
      </c>
    </row>
    <row r="605" spans="1:29" ht="16" x14ac:dyDescent="0.2">
      <c r="A605" s="25"/>
      <c r="H605" t="str">
        <f>IFERROR(VLOOKUP(G605,FILAMENTI_DB!$A:$C,3,FALSE),"")</f>
        <v/>
      </c>
      <c r="I605" t="str">
        <f>IFERROR(VLOOKUP(G605,FILAMENTI_DB!$A:$E,4,FALSE),"")</f>
        <v/>
      </c>
      <c r="J605" s="26"/>
      <c r="K605" s="27"/>
      <c r="L605" s="27"/>
      <c r="M605" s="27">
        <f t="shared" si="56"/>
        <v>0</v>
      </c>
      <c r="N605" s="26">
        <f t="shared" si="57"/>
        <v>0</v>
      </c>
      <c r="O605" s="26"/>
      <c r="P605" s="26"/>
      <c r="Q605" s="23"/>
      <c r="R605" s="23">
        <f t="shared" si="58"/>
        <v>0</v>
      </c>
      <c r="S605" s="23"/>
      <c r="T605" s="23">
        <f t="shared" si="59"/>
        <v>0</v>
      </c>
      <c r="U605" s="28" t="str">
        <f t="shared" si="60"/>
        <v/>
      </c>
      <c r="V605" s="10" t="str">
        <f>IFERROR(N605*VLOOKUP(G605,FILAMENTI_DB!$A:$J,10,FALSE),"")</f>
        <v/>
      </c>
      <c r="W605" s="23" t="str">
        <f>IFERROR((VLOOKUP(F605,STAMPANTI_DB!$A:$C,3,FALSE)/1000)*O605*SETTINGS!$C$6,"")</f>
        <v/>
      </c>
      <c r="X605" s="23" t="str">
        <f>IFERROR(O605*VLOOKUP(F605,STAMPANTI_DB!$A:$I,9,FALSE),"")</f>
        <v/>
      </c>
      <c r="Y605" s="23">
        <f>IFERROR(P605*SETTINGS!$C$7,"")</f>
        <v>0</v>
      </c>
      <c r="Z605" s="23">
        <f>SETTINGS!$C$11</f>
        <v>0.5</v>
      </c>
      <c r="AA605" s="23">
        <f t="shared" si="61"/>
        <v>0.5</v>
      </c>
      <c r="AB605" s="23">
        <f>IFERROR(AA605*SETTINGS!$C$9,"")</f>
        <v>2.5000000000000001E-2</v>
      </c>
      <c r="AC605" s="23">
        <f>IFERROR((AA605+AB605)*SETTINGS!$C$10,"")</f>
        <v>2.6250000000000002E-2</v>
      </c>
    </row>
    <row r="606" spans="1:29" ht="16" x14ac:dyDescent="0.2">
      <c r="A606" s="25"/>
      <c r="H606" t="str">
        <f>IFERROR(VLOOKUP(G606,FILAMENTI_DB!$A:$C,3,FALSE),"")</f>
        <v/>
      </c>
      <c r="I606" t="str">
        <f>IFERROR(VLOOKUP(G606,FILAMENTI_DB!$A:$E,4,FALSE),"")</f>
        <v/>
      </c>
      <c r="J606" s="26"/>
      <c r="K606" s="27"/>
      <c r="L606" s="27"/>
      <c r="M606" s="27">
        <f t="shared" si="56"/>
        <v>0</v>
      </c>
      <c r="N606" s="26">
        <f t="shared" si="57"/>
        <v>0</v>
      </c>
      <c r="O606" s="26"/>
      <c r="P606" s="26"/>
      <c r="Q606" s="23"/>
      <c r="R606" s="23">
        <f t="shared" si="58"/>
        <v>0</v>
      </c>
      <c r="S606" s="23"/>
      <c r="T606" s="23">
        <f t="shared" si="59"/>
        <v>0</v>
      </c>
      <c r="U606" s="28" t="str">
        <f t="shared" si="60"/>
        <v/>
      </c>
      <c r="V606" s="10" t="str">
        <f>IFERROR(N606*VLOOKUP(G606,FILAMENTI_DB!$A:$J,10,FALSE),"")</f>
        <v/>
      </c>
      <c r="W606" s="23" t="str">
        <f>IFERROR((VLOOKUP(F606,STAMPANTI_DB!$A:$C,3,FALSE)/1000)*O606*SETTINGS!$C$6,"")</f>
        <v/>
      </c>
      <c r="X606" s="23" t="str">
        <f>IFERROR(O606*VLOOKUP(F606,STAMPANTI_DB!$A:$I,9,FALSE),"")</f>
        <v/>
      </c>
      <c r="Y606" s="23">
        <f>IFERROR(P606*SETTINGS!$C$7,"")</f>
        <v>0</v>
      </c>
      <c r="Z606" s="23">
        <f>SETTINGS!$C$11</f>
        <v>0.5</v>
      </c>
      <c r="AA606" s="23">
        <f t="shared" si="61"/>
        <v>0.5</v>
      </c>
      <c r="AB606" s="23">
        <f>IFERROR(AA606*SETTINGS!$C$9,"")</f>
        <v>2.5000000000000001E-2</v>
      </c>
      <c r="AC606" s="23">
        <f>IFERROR((AA606+AB606)*SETTINGS!$C$10,"")</f>
        <v>2.6250000000000002E-2</v>
      </c>
    </row>
    <row r="607" spans="1:29" ht="16" x14ac:dyDescent="0.2">
      <c r="A607" s="25"/>
      <c r="H607" t="str">
        <f>IFERROR(VLOOKUP(G607,FILAMENTI_DB!$A:$C,3,FALSE),"")</f>
        <v/>
      </c>
      <c r="I607" t="str">
        <f>IFERROR(VLOOKUP(G607,FILAMENTI_DB!$A:$E,4,FALSE),"")</f>
        <v/>
      </c>
      <c r="J607" s="26"/>
      <c r="K607" s="27"/>
      <c r="L607" s="27"/>
      <c r="M607" s="27">
        <f t="shared" si="56"/>
        <v>0</v>
      </c>
      <c r="N607" s="26">
        <f t="shared" si="57"/>
        <v>0</v>
      </c>
      <c r="O607" s="26"/>
      <c r="P607" s="26"/>
      <c r="Q607" s="23"/>
      <c r="R607" s="23">
        <f t="shared" si="58"/>
        <v>0</v>
      </c>
      <c r="S607" s="23"/>
      <c r="T607" s="23">
        <f t="shared" si="59"/>
        <v>0</v>
      </c>
      <c r="U607" s="28" t="str">
        <f t="shared" si="60"/>
        <v/>
      </c>
      <c r="V607" s="10" t="str">
        <f>IFERROR(N607*VLOOKUP(G607,FILAMENTI_DB!$A:$J,10,FALSE),"")</f>
        <v/>
      </c>
      <c r="W607" s="23" t="str">
        <f>IFERROR((VLOOKUP(F607,STAMPANTI_DB!$A:$C,3,FALSE)/1000)*O607*SETTINGS!$C$6,"")</f>
        <v/>
      </c>
      <c r="X607" s="23" t="str">
        <f>IFERROR(O607*VLOOKUP(F607,STAMPANTI_DB!$A:$I,9,FALSE),"")</f>
        <v/>
      </c>
      <c r="Y607" s="23">
        <f>IFERROR(P607*SETTINGS!$C$7,"")</f>
        <v>0</v>
      </c>
      <c r="Z607" s="23">
        <f>SETTINGS!$C$11</f>
        <v>0.5</v>
      </c>
      <c r="AA607" s="23">
        <f t="shared" si="61"/>
        <v>0.5</v>
      </c>
      <c r="AB607" s="23">
        <f>IFERROR(AA607*SETTINGS!$C$9,"")</f>
        <v>2.5000000000000001E-2</v>
      </c>
      <c r="AC607" s="23">
        <f>IFERROR((AA607+AB607)*SETTINGS!$C$10,"")</f>
        <v>2.6250000000000002E-2</v>
      </c>
    </row>
    <row r="608" spans="1:29" ht="16" x14ac:dyDescent="0.2">
      <c r="A608" s="25"/>
      <c r="H608" t="str">
        <f>IFERROR(VLOOKUP(G608,FILAMENTI_DB!$A:$C,3,FALSE),"")</f>
        <v/>
      </c>
      <c r="I608" t="str">
        <f>IFERROR(VLOOKUP(G608,FILAMENTI_DB!$A:$E,4,FALSE),"")</f>
        <v/>
      </c>
      <c r="J608" s="26"/>
      <c r="K608" s="27"/>
      <c r="L608" s="27"/>
      <c r="M608" s="27">
        <f t="shared" si="56"/>
        <v>0</v>
      </c>
      <c r="N608" s="26">
        <f t="shared" si="57"/>
        <v>0</v>
      </c>
      <c r="O608" s="26"/>
      <c r="P608" s="26"/>
      <c r="Q608" s="23"/>
      <c r="R608" s="23">
        <f t="shared" si="58"/>
        <v>0</v>
      </c>
      <c r="S608" s="23"/>
      <c r="T608" s="23">
        <f t="shared" si="59"/>
        <v>0</v>
      </c>
      <c r="U608" s="28" t="str">
        <f t="shared" si="60"/>
        <v/>
      </c>
      <c r="V608" s="10" t="str">
        <f>IFERROR(N608*VLOOKUP(G608,FILAMENTI_DB!$A:$J,10,FALSE),"")</f>
        <v/>
      </c>
      <c r="W608" s="23" t="str">
        <f>IFERROR((VLOOKUP(F608,STAMPANTI_DB!$A:$C,3,FALSE)/1000)*O608*SETTINGS!$C$6,"")</f>
        <v/>
      </c>
      <c r="X608" s="23" t="str">
        <f>IFERROR(O608*VLOOKUP(F608,STAMPANTI_DB!$A:$I,9,FALSE),"")</f>
        <v/>
      </c>
      <c r="Y608" s="23">
        <f>IFERROR(P608*SETTINGS!$C$7,"")</f>
        <v>0</v>
      </c>
      <c r="Z608" s="23">
        <f>SETTINGS!$C$11</f>
        <v>0.5</v>
      </c>
      <c r="AA608" s="23">
        <f t="shared" si="61"/>
        <v>0.5</v>
      </c>
      <c r="AB608" s="23">
        <f>IFERROR(AA608*SETTINGS!$C$9,"")</f>
        <v>2.5000000000000001E-2</v>
      </c>
      <c r="AC608" s="23">
        <f>IFERROR((AA608+AB608)*SETTINGS!$C$10,"")</f>
        <v>2.6250000000000002E-2</v>
      </c>
    </row>
    <row r="609" spans="1:29" ht="16" x14ac:dyDescent="0.2">
      <c r="A609" s="25"/>
      <c r="H609" t="str">
        <f>IFERROR(VLOOKUP(G609,FILAMENTI_DB!$A:$C,3,FALSE),"")</f>
        <v/>
      </c>
      <c r="I609" t="str">
        <f>IFERROR(VLOOKUP(G609,FILAMENTI_DB!$A:$E,4,FALSE),"")</f>
        <v/>
      </c>
      <c r="J609" s="26"/>
      <c r="K609" s="27"/>
      <c r="L609" s="27"/>
      <c r="M609" s="27">
        <f t="shared" si="56"/>
        <v>0</v>
      </c>
      <c r="N609" s="26">
        <f t="shared" si="57"/>
        <v>0</v>
      </c>
      <c r="O609" s="26"/>
      <c r="P609" s="26"/>
      <c r="Q609" s="23"/>
      <c r="R609" s="23">
        <f t="shared" si="58"/>
        <v>0</v>
      </c>
      <c r="S609" s="23"/>
      <c r="T609" s="23">
        <f t="shared" si="59"/>
        <v>0</v>
      </c>
      <c r="U609" s="28" t="str">
        <f t="shared" si="60"/>
        <v/>
      </c>
      <c r="V609" s="10" t="str">
        <f>IFERROR(N609*VLOOKUP(G609,FILAMENTI_DB!$A:$J,10,FALSE),"")</f>
        <v/>
      </c>
      <c r="W609" s="23" t="str">
        <f>IFERROR((VLOOKUP(F609,STAMPANTI_DB!$A:$C,3,FALSE)/1000)*O609*SETTINGS!$C$6,"")</f>
        <v/>
      </c>
      <c r="X609" s="23" t="str">
        <f>IFERROR(O609*VLOOKUP(F609,STAMPANTI_DB!$A:$I,9,FALSE),"")</f>
        <v/>
      </c>
      <c r="Y609" s="23">
        <f>IFERROR(P609*SETTINGS!$C$7,"")</f>
        <v>0</v>
      </c>
      <c r="Z609" s="23">
        <f>SETTINGS!$C$11</f>
        <v>0.5</v>
      </c>
      <c r="AA609" s="23">
        <f t="shared" si="61"/>
        <v>0.5</v>
      </c>
      <c r="AB609" s="23">
        <f>IFERROR(AA609*SETTINGS!$C$9,"")</f>
        <v>2.5000000000000001E-2</v>
      </c>
      <c r="AC609" s="23">
        <f>IFERROR((AA609+AB609)*SETTINGS!$C$10,"")</f>
        <v>2.6250000000000002E-2</v>
      </c>
    </row>
    <row r="610" spans="1:29" ht="16" x14ac:dyDescent="0.2">
      <c r="A610" s="25"/>
      <c r="H610" t="str">
        <f>IFERROR(VLOOKUP(G610,FILAMENTI_DB!$A:$C,3,FALSE),"")</f>
        <v/>
      </c>
      <c r="I610" t="str">
        <f>IFERROR(VLOOKUP(G610,FILAMENTI_DB!$A:$E,4,FALSE),"")</f>
        <v/>
      </c>
      <c r="J610" s="26"/>
      <c r="K610" s="27"/>
      <c r="L610" s="27"/>
      <c r="M610" s="27">
        <f t="shared" si="56"/>
        <v>0</v>
      </c>
      <c r="N610" s="26">
        <f t="shared" si="57"/>
        <v>0</v>
      </c>
      <c r="O610" s="26"/>
      <c r="P610" s="26"/>
      <c r="Q610" s="23"/>
      <c r="R610" s="23">
        <f t="shared" si="58"/>
        <v>0</v>
      </c>
      <c r="S610" s="23"/>
      <c r="T610" s="23">
        <f t="shared" si="59"/>
        <v>0</v>
      </c>
      <c r="U610" s="28" t="str">
        <f t="shared" si="60"/>
        <v/>
      </c>
      <c r="V610" s="10" t="str">
        <f>IFERROR(N610*VLOOKUP(G610,FILAMENTI_DB!$A:$J,10,FALSE),"")</f>
        <v/>
      </c>
      <c r="W610" s="23" t="str">
        <f>IFERROR((VLOOKUP(F610,STAMPANTI_DB!$A:$C,3,FALSE)/1000)*O610*SETTINGS!$C$6,"")</f>
        <v/>
      </c>
      <c r="X610" s="23" t="str">
        <f>IFERROR(O610*VLOOKUP(F610,STAMPANTI_DB!$A:$I,9,FALSE),"")</f>
        <v/>
      </c>
      <c r="Y610" s="23">
        <f>IFERROR(P610*SETTINGS!$C$7,"")</f>
        <v>0</v>
      </c>
      <c r="Z610" s="23">
        <f>SETTINGS!$C$11</f>
        <v>0.5</v>
      </c>
      <c r="AA610" s="23">
        <f t="shared" si="61"/>
        <v>0.5</v>
      </c>
      <c r="AB610" s="23">
        <f>IFERROR(AA610*SETTINGS!$C$9,"")</f>
        <v>2.5000000000000001E-2</v>
      </c>
      <c r="AC610" s="23">
        <f>IFERROR((AA610+AB610)*SETTINGS!$C$10,"")</f>
        <v>2.6250000000000002E-2</v>
      </c>
    </row>
    <row r="611" spans="1:29" ht="16" x14ac:dyDescent="0.2">
      <c r="A611" s="25"/>
      <c r="H611" t="str">
        <f>IFERROR(VLOOKUP(G611,FILAMENTI_DB!$A:$C,3,FALSE),"")</f>
        <v/>
      </c>
      <c r="I611" t="str">
        <f>IFERROR(VLOOKUP(G611,FILAMENTI_DB!$A:$E,4,FALSE),"")</f>
        <v/>
      </c>
      <c r="J611" s="26"/>
      <c r="K611" s="27"/>
      <c r="L611" s="27"/>
      <c r="M611" s="27">
        <f t="shared" si="56"/>
        <v>0</v>
      </c>
      <c r="N611" s="26">
        <f t="shared" si="57"/>
        <v>0</v>
      </c>
      <c r="O611" s="26"/>
      <c r="P611" s="26"/>
      <c r="Q611" s="23"/>
      <c r="R611" s="23">
        <f t="shared" si="58"/>
        <v>0</v>
      </c>
      <c r="S611" s="23"/>
      <c r="T611" s="23">
        <f t="shared" si="59"/>
        <v>0</v>
      </c>
      <c r="U611" s="28" t="str">
        <f t="shared" si="60"/>
        <v/>
      </c>
      <c r="V611" s="10" t="str">
        <f>IFERROR(N611*VLOOKUP(G611,FILAMENTI_DB!$A:$J,10,FALSE),"")</f>
        <v/>
      </c>
      <c r="W611" s="23" t="str">
        <f>IFERROR((VLOOKUP(F611,STAMPANTI_DB!$A:$C,3,FALSE)/1000)*O611*SETTINGS!$C$6,"")</f>
        <v/>
      </c>
      <c r="X611" s="23" t="str">
        <f>IFERROR(O611*VLOOKUP(F611,STAMPANTI_DB!$A:$I,9,FALSE),"")</f>
        <v/>
      </c>
      <c r="Y611" s="23">
        <f>IFERROR(P611*SETTINGS!$C$7,"")</f>
        <v>0</v>
      </c>
      <c r="Z611" s="23">
        <f>SETTINGS!$C$11</f>
        <v>0.5</v>
      </c>
      <c r="AA611" s="23">
        <f t="shared" si="61"/>
        <v>0.5</v>
      </c>
      <c r="AB611" s="23">
        <f>IFERROR(AA611*SETTINGS!$C$9,"")</f>
        <v>2.5000000000000001E-2</v>
      </c>
      <c r="AC611" s="23">
        <f>IFERROR((AA611+AB611)*SETTINGS!$C$10,"")</f>
        <v>2.6250000000000002E-2</v>
      </c>
    </row>
    <row r="612" spans="1:29" ht="16" x14ac:dyDescent="0.2">
      <c r="A612" s="25"/>
      <c r="H612" t="str">
        <f>IFERROR(VLOOKUP(G612,FILAMENTI_DB!$A:$C,3,FALSE),"")</f>
        <v/>
      </c>
      <c r="I612" t="str">
        <f>IFERROR(VLOOKUP(G612,FILAMENTI_DB!$A:$E,4,FALSE),"")</f>
        <v/>
      </c>
      <c r="J612" s="26"/>
      <c r="K612" s="27"/>
      <c r="L612" s="27"/>
      <c r="M612" s="27">
        <f t="shared" si="56"/>
        <v>0</v>
      </c>
      <c r="N612" s="26">
        <f t="shared" si="57"/>
        <v>0</v>
      </c>
      <c r="O612" s="26"/>
      <c r="P612" s="26"/>
      <c r="Q612" s="23"/>
      <c r="R612" s="23">
        <f t="shared" si="58"/>
        <v>0</v>
      </c>
      <c r="S612" s="23"/>
      <c r="T612" s="23">
        <f t="shared" si="59"/>
        <v>0</v>
      </c>
      <c r="U612" s="28" t="str">
        <f t="shared" si="60"/>
        <v/>
      </c>
      <c r="V612" s="10" t="str">
        <f>IFERROR(N612*VLOOKUP(G612,FILAMENTI_DB!$A:$J,10,FALSE),"")</f>
        <v/>
      </c>
      <c r="W612" s="23" t="str">
        <f>IFERROR((VLOOKUP(F612,STAMPANTI_DB!$A:$C,3,FALSE)/1000)*O612*SETTINGS!$C$6,"")</f>
        <v/>
      </c>
      <c r="X612" s="23" t="str">
        <f>IFERROR(O612*VLOOKUP(F612,STAMPANTI_DB!$A:$I,9,FALSE),"")</f>
        <v/>
      </c>
      <c r="Y612" s="23">
        <f>IFERROR(P612*SETTINGS!$C$7,"")</f>
        <v>0</v>
      </c>
      <c r="Z612" s="23">
        <f>SETTINGS!$C$11</f>
        <v>0.5</v>
      </c>
      <c r="AA612" s="23">
        <f t="shared" si="61"/>
        <v>0.5</v>
      </c>
      <c r="AB612" s="23">
        <f>IFERROR(AA612*SETTINGS!$C$9,"")</f>
        <v>2.5000000000000001E-2</v>
      </c>
      <c r="AC612" s="23">
        <f>IFERROR((AA612+AB612)*SETTINGS!$C$10,"")</f>
        <v>2.6250000000000002E-2</v>
      </c>
    </row>
    <row r="613" spans="1:29" ht="16" x14ac:dyDescent="0.2">
      <c r="A613" s="25"/>
      <c r="H613" t="str">
        <f>IFERROR(VLOOKUP(G613,FILAMENTI_DB!$A:$C,3,FALSE),"")</f>
        <v/>
      </c>
      <c r="I613" t="str">
        <f>IFERROR(VLOOKUP(G613,FILAMENTI_DB!$A:$E,4,FALSE),"")</f>
        <v/>
      </c>
      <c r="J613" s="26"/>
      <c r="K613" s="27"/>
      <c r="L613" s="27"/>
      <c r="M613" s="27">
        <f t="shared" si="56"/>
        <v>0</v>
      </c>
      <c r="N613" s="26">
        <f t="shared" si="57"/>
        <v>0</v>
      </c>
      <c r="O613" s="26"/>
      <c r="P613" s="26"/>
      <c r="Q613" s="23"/>
      <c r="R613" s="23">
        <f t="shared" si="58"/>
        <v>0</v>
      </c>
      <c r="S613" s="23"/>
      <c r="T613" s="23">
        <f t="shared" si="59"/>
        <v>0</v>
      </c>
      <c r="U613" s="28" t="str">
        <f t="shared" si="60"/>
        <v/>
      </c>
      <c r="V613" s="10" t="str">
        <f>IFERROR(N613*VLOOKUP(G613,FILAMENTI_DB!$A:$J,10,FALSE),"")</f>
        <v/>
      </c>
      <c r="W613" s="23" t="str">
        <f>IFERROR((VLOOKUP(F613,STAMPANTI_DB!$A:$C,3,FALSE)/1000)*O613*SETTINGS!$C$6,"")</f>
        <v/>
      </c>
      <c r="X613" s="23" t="str">
        <f>IFERROR(O613*VLOOKUP(F613,STAMPANTI_DB!$A:$I,9,FALSE),"")</f>
        <v/>
      </c>
      <c r="Y613" s="23">
        <f>IFERROR(P613*SETTINGS!$C$7,"")</f>
        <v>0</v>
      </c>
      <c r="Z613" s="23">
        <f>SETTINGS!$C$11</f>
        <v>0.5</v>
      </c>
      <c r="AA613" s="23">
        <f t="shared" si="61"/>
        <v>0.5</v>
      </c>
      <c r="AB613" s="23">
        <f>IFERROR(AA613*SETTINGS!$C$9,"")</f>
        <v>2.5000000000000001E-2</v>
      </c>
      <c r="AC613" s="23">
        <f>IFERROR((AA613+AB613)*SETTINGS!$C$10,"")</f>
        <v>2.6250000000000002E-2</v>
      </c>
    </row>
    <row r="614" spans="1:29" ht="16" x14ac:dyDescent="0.2">
      <c r="A614" s="25"/>
      <c r="H614" t="str">
        <f>IFERROR(VLOOKUP(G614,FILAMENTI_DB!$A:$C,3,FALSE),"")</f>
        <v/>
      </c>
      <c r="I614" t="str">
        <f>IFERROR(VLOOKUP(G614,FILAMENTI_DB!$A:$E,4,FALSE),"")</f>
        <v/>
      </c>
      <c r="J614" s="26"/>
      <c r="K614" s="27"/>
      <c r="L614" s="27"/>
      <c r="M614" s="27">
        <f t="shared" si="56"/>
        <v>0</v>
      </c>
      <c r="N614" s="26">
        <f t="shared" si="57"/>
        <v>0</v>
      </c>
      <c r="O614" s="26"/>
      <c r="P614" s="26"/>
      <c r="Q614" s="23"/>
      <c r="R614" s="23">
        <f t="shared" si="58"/>
        <v>0</v>
      </c>
      <c r="S614" s="23"/>
      <c r="T614" s="23">
        <f t="shared" si="59"/>
        <v>0</v>
      </c>
      <c r="U614" s="28" t="str">
        <f t="shared" si="60"/>
        <v/>
      </c>
      <c r="V614" s="10" t="str">
        <f>IFERROR(N614*VLOOKUP(G614,FILAMENTI_DB!$A:$J,10,FALSE),"")</f>
        <v/>
      </c>
      <c r="W614" s="23" t="str">
        <f>IFERROR((VLOOKUP(F614,STAMPANTI_DB!$A:$C,3,FALSE)/1000)*O614*SETTINGS!$C$6,"")</f>
        <v/>
      </c>
      <c r="X614" s="23" t="str">
        <f>IFERROR(O614*VLOOKUP(F614,STAMPANTI_DB!$A:$I,9,FALSE),"")</f>
        <v/>
      </c>
      <c r="Y614" s="23">
        <f>IFERROR(P614*SETTINGS!$C$7,"")</f>
        <v>0</v>
      </c>
      <c r="Z614" s="23">
        <f>SETTINGS!$C$11</f>
        <v>0.5</v>
      </c>
      <c r="AA614" s="23">
        <f t="shared" si="61"/>
        <v>0.5</v>
      </c>
      <c r="AB614" s="23">
        <f>IFERROR(AA614*SETTINGS!$C$9,"")</f>
        <v>2.5000000000000001E-2</v>
      </c>
      <c r="AC614" s="23">
        <f>IFERROR((AA614+AB614)*SETTINGS!$C$10,"")</f>
        <v>2.6250000000000002E-2</v>
      </c>
    </row>
    <row r="615" spans="1:29" ht="16" x14ac:dyDescent="0.2">
      <c r="A615" s="25"/>
      <c r="H615" t="str">
        <f>IFERROR(VLOOKUP(G615,FILAMENTI_DB!$A:$C,3,FALSE),"")</f>
        <v/>
      </c>
      <c r="I615" t="str">
        <f>IFERROR(VLOOKUP(G615,FILAMENTI_DB!$A:$E,4,FALSE),"")</f>
        <v/>
      </c>
      <c r="J615" s="26"/>
      <c r="K615" s="27"/>
      <c r="L615" s="27"/>
      <c r="M615" s="27">
        <f t="shared" si="56"/>
        <v>0</v>
      </c>
      <c r="N615" s="26">
        <f t="shared" si="57"/>
        <v>0</v>
      </c>
      <c r="O615" s="26"/>
      <c r="P615" s="26"/>
      <c r="Q615" s="23"/>
      <c r="R615" s="23">
        <f t="shared" si="58"/>
        <v>0</v>
      </c>
      <c r="S615" s="23"/>
      <c r="T615" s="23">
        <f t="shared" si="59"/>
        <v>0</v>
      </c>
      <c r="U615" s="28" t="str">
        <f t="shared" si="60"/>
        <v/>
      </c>
      <c r="V615" s="10" t="str">
        <f>IFERROR(N615*VLOOKUP(G615,FILAMENTI_DB!$A:$J,10,FALSE),"")</f>
        <v/>
      </c>
      <c r="W615" s="23" t="str">
        <f>IFERROR((VLOOKUP(F615,STAMPANTI_DB!$A:$C,3,FALSE)/1000)*O615*SETTINGS!$C$6,"")</f>
        <v/>
      </c>
      <c r="X615" s="23" t="str">
        <f>IFERROR(O615*VLOOKUP(F615,STAMPANTI_DB!$A:$I,9,FALSE),"")</f>
        <v/>
      </c>
      <c r="Y615" s="23">
        <f>IFERROR(P615*SETTINGS!$C$7,"")</f>
        <v>0</v>
      </c>
      <c r="Z615" s="23">
        <f>SETTINGS!$C$11</f>
        <v>0.5</v>
      </c>
      <c r="AA615" s="23">
        <f t="shared" si="61"/>
        <v>0.5</v>
      </c>
      <c r="AB615" s="23">
        <f>IFERROR(AA615*SETTINGS!$C$9,"")</f>
        <v>2.5000000000000001E-2</v>
      </c>
      <c r="AC615" s="23">
        <f>IFERROR((AA615+AB615)*SETTINGS!$C$10,"")</f>
        <v>2.6250000000000002E-2</v>
      </c>
    </row>
    <row r="616" spans="1:29" ht="16" x14ac:dyDescent="0.2">
      <c r="A616" s="25"/>
      <c r="H616" t="str">
        <f>IFERROR(VLOOKUP(G616,FILAMENTI_DB!$A:$C,3,FALSE),"")</f>
        <v/>
      </c>
      <c r="I616" t="str">
        <f>IFERROR(VLOOKUP(G616,FILAMENTI_DB!$A:$E,4,FALSE),"")</f>
        <v/>
      </c>
      <c r="J616" s="26"/>
      <c r="K616" s="27"/>
      <c r="L616" s="27"/>
      <c r="M616" s="27">
        <f t="shared" si="56"/>
        <v>0</v>
      </c>
      <c r="N616" s="26">
        <f t="shared" si="57"/>
        <v>0</v>
      </c>
      <c r="O616" s="26"/>
      <c r="P616" s="26"/>
      <c r="Q616" s="23"/>
      <c r="R616" s="23">
        <f t="shared" si="58"/>
        <v>0</v>
      </c>
      <c r="S616" s="23"/>
      <c r="T616" s="23">
        <f t="shared" si="59"/>
        <v>0</v>
      </c>
      <c r="U616" s="28" t="str">
        <f t="shared" si="60"/>
        <v/>
      </c>
      <c r="V616" s="10" t="str">
        <f>IFERROR(N616*VLOOKUP(G616,FILAMENTI_DB!$A:$J,10,FALSE),"")</f>
        <v/>
      </c>
      <c r="W616" s="23" t="str">
        <f>IFERROR((VLOOKUP(F616,STAMPANTI_DB!$A:$C,3,FALSE)/1000)*O616*SETTINGS!$C$6,"")</f>
        <v/>
      </c>
      <c r="X616" s="23" t="str">
        <f>IFERROR(O616*VLOOKUP(F616,STAMPANTI_DB!$A:$I,9,FALSE),"")</f>
        <v/>
      </c>
      <c r="Y616" s="23">
        <f>IFERROR(P616*SETTINGS!$C$7,"")</f>
        <v>0</v>
      </c>
      <c r="Z616" s="23">
        <f>SETTINGS!$C$11</f>
        <v>0.5</v>
      </c>
      <c r="AA616" s="23">
        <f t="shared" si="61"/>
        <v>0.5</v>
      </c>
      <c r="AB616" s="23">
        <f>IFERROR(AA616*SETTINGS!$C$9,"")</f>
        <v>2.5000000000000001E-2</v>
      </c>
      <c r="AC616" s="23">
        <f>IFERROR((AA616+AB616)*SETTINGS!$C$10,"")</f>
        <v>2.6250000000000002E-2</v>
      </c>
    </row>
    <row r="617" spans="1:29" ht="16" x14ac:dyDescent="0.2">
      <c r="A617" s="25"/>
      <c r="H617" t="str">
        <f>IFERROR(VLOOKUP(G617,FILAMENTI_DB!$A:$C,3,FALSE),"")</f>
        <v/>
      </c>
      <c r="I617" t="str">
        <f>IFERROR(VLOOKUP(G617,FILAMENTI_DB!$A:$E,4,FALSE),"")</f>
        <v/>
      </c>
      <c r="J617" s="26"/>
      <c r="K617" s="27"/>
      <c r="L617" s="27"/>
      <c r="M617" s="27">
        <f t="shared" si="56"/>
        <v>0</v>
      </c>
      <c r="N617" s="26">
        <f t="shared" si="57"/>
        <v>0</v>
      </c>
      <c r="O617" s="26"/>
      <c r="P617" s="26"/>
      <c r="Q617" s="23"/>
      <c r="R617" s="23">
        <f t="shared" si="58"/>
        <v>0</v>
      </c>
      <c r="S617" s="23"/>
      <c r="T617" s="23">
        <f t="shared" si="59"/>
        <v>0</v>
      </c>
      <c r="U617" s="28" t="str">
        <f t="shared" si="60"/>
        <v/>
      </c>
      <c r="V617" s="10" t="str">
        <f>IFERROR(N617*VLOOKUP(G617,FILAMENTI_DB!$A:$J,10,FALSE),"")</f>
        <v/>
      </c>
      <c r="W617" s="23" t="str">
        <f>IFERROR((VLOOKUP(F617,STAMPANTI_DB!$A:$C,3,FALSE)/1000)*O617*SETTINGS!$C$6,"")</f>
        <v/>
      </c>
      <c r="X617" s="23" t="str">
        <f>IFERROR(O617*VLOOKUP(F617,STAMPANTI_DB!$A:$I,9,FALSE),"")</f>
        <v/>
      </c>
      <c r="Y617" s="23">
        <f>IFERROR(P617*SETTINGS!$C$7,"")</f>
        <v>0</v>
      </c>
      <c r="Z617" s="23">
        <f>SETTINGS!$C$11</f>
        <v>0.5</v>
      </c>
      <c r="AA617" s="23">
        <f t="shared" si="61"/>
        <v>0.5</v>
      </c>
      <c r="AB617" s="23">
        <f>IFERROR(AA617*SETTINGS!$C$9,"")</f>
        <v>2.5000000000000001E-2</v>
      </c>
      <c r="AC617" s="23">
        <f>IFERROR((AA617+AB617)*SETTINGS!$C$10,"")</f>
        <v>2.6250000000000002E-2</v>
      </c>
    </row>
    <row r="618" spans="1:29" ht="16" x14ac:dyDescent="0.2">
      <c r="A618" s="25"/>
      <c r="H618" t="str">
        <f>IFERROR(VLOOKUP(G618,FILAMENTI_DB!$A:$C,3,FALSE),"")</f>
        <v/>
      </c>
      <c r="I618" t="str">
        <f>IFERROR(VLOOKUP(G618,FILAMENTI_DB!$A:$E,4,FALSE),"")</f>
        <v/>
      </c>
      <c r="J618" s="26"/>
      <c r="K618" s="27"/>
      <c r="L618" s="27"/>
      <c r="M618" s="27">
        <f t="shared" si="56"/>
        <v>0</v>
      </c>
      <c r="N618" s="26">
        <f t="shared" si="57"/>
        <v>0</v>
      </c>
      <c r="O618" s="26"/>
      <c r="P618" s="26"/>
      <c r="Q618" s="23"/>
      <c r="R618" s="23">
        <f t="shared" si="58"/>
        <v>0</v>
      </c>
      <c r="S618" s="23"/>
      <c r="T618" s="23">
        <f t="shared" si="59"/>
        <v>0</v>
      </c>
      <c r="U618" s="28" t="str">
        <f t="shared" si="60"/>
        <v/>
      </c>
      <c r="V618" s="10" t="str">
        <f>IFERROR(N618*VLOOKUP(G618,FILAMENTI_DB!$A:$J,10,FALSE),"")</f>
        <v/>
      </c>
      <c r="W618" s="23" t="str">
        <f>IFERROR((VLOOKUP(F618,STAMPANTI_DB!$A:$C,3,FALSE)/1000)*O618*SETTINGS!$C$6,"")</f>
        <v/>
      </c>
      <c r="X618" s="23" t="str">
        <f>IFERROR(O618*VLOOKUP(F618,STAMPANTI_DB!$A:$I,9,FALSE),"")</f>
        <v/>
      </c>
      <c r="Y618" s="23">
        <f>IFERROR(P618*SETTINGS!$C$7,"")</f>
        <v>0</v>
      </c>
      <c r="Z618" s="23">
        <f>SETTINGS!$C$11</f>
        <v>0.5</v>
      </c>
      <c r="AA618" s="23">
        <f t="shared" si="61"/>
        <v>0.5</v>
      </c>
      <c r="AB618" s="23">
        <f>IFERROR(AA618*SETTINGS!$C$9,"")</f>
        <v>2.5000000000000001E-2</v>
      </c>
      <c r="AC618" s="23">
        <f>IFERROR((AA618+AB618)*SETTINGS!$C$10,"")</f>
        <v>2.6250000000000002E-2</v>
      </c>
    </row>
    <row r="619" spans="1:29" ht="16" x14ac:dyDescent="0.2">
      <c r="A619" s="25"/>
      <c r="H619" t="str">
        <f>IFERROR(VLOOKUP(G619,FILAMENTI_DB!$A:$C,3,FALSE),"")</f>
        <v/>
      </c>
      <c r="I619" t="str">
        <f>IFERROR(VLOOKUP(G619,FILAMENTI_DB!$A:$E,4,FALSE),"")</f>
        <v/>
      </c>
      <c r="J619" s="26"/>
      <c r="K619" s="27"/>
      <c r="L619" s="27"/>
      <c r="M619" s="27">
        <f t="shared" si="56"/>
        <v>0</v>
      </c>
      <c r="N619" s="26">
        <f t="shared" si="57"/>
        <v>0</v>
      </c>
      <c r="O619" s="26"/>
      <c r="P619" s="26"/>
      <c r="Q619" s="23"/>
      <c r="R619" s="23">
        <f t="shared" si="58"/>
        <v>0</v>
      </c>
      <c r="S619" s="23"/>
      <c r="T619" s="23">
        <f t="shared" si="59"/>
        <v>0</v>
      </c>
      <c r="U619" s="28" t="str">
        <f t="shared" si="60"/>
        <v/>
      </c>
      <c r="V619" s="10" t="str">
        <f>IFERROR(N619*VLOOKUP(G619,FILAMENTI_DB!$A:$J,10,FALSE),"")</f>
        <v/>
      </c>
      <c r="W619" s="23" t="str">
        <f>IFERROR((VLOOKUP(F619,STAMPANTI_DB!$A:$C,3,FALSE)/1000)*O619*SETTINGS!$C$6,"")</f>
        <v/>
      </c>
      <c r="X619" s="23" t="str">
        <f>IFERROR(O619*VLOOKUP(F619,STAMPANTI_DB!$A:$I,9,FALSE),"")</f>
        <v/>
      </c>
      <c r="Y619" s="23">
        <f>IFERROR(P619*SETTINGS!$C$7,"")</f>
        <v>0</v>
      </c>
      <c r="Z619" s="23">
        <f>SETTINGS!$C$11</f>
        <v>0.5</v>
      </c>
      <c r="AA619" s="23">
        <f t="shared" si="61"/>
        <v>0.5</v>
      </c>
      <c r="AB619" s="23">
        <f>IFERROR(AA619*SETTINGS!$C$9,"")</f>
        <v>2.5000000000000001E-2</v>
      </c>
      <c r="AC619" s="23">
        <f>IFERROR((AA619+AB619)*SETTINGS!$C$10,"")</f>
        <v>2.6250000000000002E-2</v>
      </c>
    </row>
    <row r="620" spans="1:29" ht="16" x14ac:dyDescent="0.2">
      <c r="A620" s="25"/>
      <c r="H620" t="str">
        <f>IFERROR(VLOOKUP(G620,FILAMENTI_DB!$A:$C,3,FALSE),"")</f>
        <v/>
      </c>
      <c r="I620" t="str">
        <f>IFERROR(VLOOKUP(G620,FILAMENTI_DB!$A:$E,4,FALSE),"")</f>
        <v/>
      </c>
      <c r="J620" s="26"/>
      <c r="K620" s="27"/>
      <c r="L620" s="27"/>
      <c r="M620" s="27">
        <f t="shared" si="56"/>
        <v>0</v>
      </c>
      <c r="N620" s="26">
        <f t="shared" si="57"/>
        <v>0</v>
      </c>
      <c r="O620" s="26"/>
      <c r="P620" s="26"/>
      <c r="Q620" s="23"/>
      <c r="R620" s="23">
        <f t="shared" si="58"/>
        <v>0</v>
      </c>
      <c r="S620" s="23"/>
      <c r="T620" s="23">
        <f t="shared" si="59"/>
        <v>0</v>
      </c>
      <c r="U620" s="28" t="str">
        <f t="shared" si="60"/>
        <v/>
      </c>
      <c r="V620" s="10" t="str">
        <f>IFERROR(N620*VLOOKUP(G620,FILAMENTI_DB!$A:$J,10,FALSE),"")</f>
        <v/>
      </c>
      <c r="W620" s="23" t="str">
        <f>IFERROR((VLOOKUP(F620,STAMPANTI_DB!$A:$C,3,FALSE)/1000)*O620*SETTINGS!$C$6,"")</f>
        <v/>
      </c>
      <c r="X620" s="23" t="str">
        <f>IFERROR(O620*VLOOKUP(F620,STAMPANTI_DB!$A:$I,9,FALSE),"")</f>
        <v/>
      </c>
      <c r="Y620" s="23">
        <f>IFERROR(P620*SETTINGS!$C$7,"")</f>
        <v>0</v>
      </c>
      <c r="Z620" s="23">
        <f>SETTINGS!$C$11</f>
        <v>0.5</v>
      </c>
      <c r="AA620" s="23">
        <f t="shared" si="61"/>
        <v>0.5</v>
      </c>
      <c r="AB620" s="23">
        <f>IFERROR(AA620*SETTINGS!$C$9,"")</f>
        <v>2.5000000000000001E-2</v>
      </c>
      <c r="AC620" s="23">
        <f>IFERROR((AA620+AB620)*SETTINGS!$C$10,"")</f>
        <v>2.6250000000000002E-2</v>
      </c>
    </row>
    <row r="621" spans="1:29" ht="16" x14ac:dyDescent="0.2">
      <c r="A621" s="25"/>
      <c r="H621" t="str">
        <f>IFERROR(VLOOKUP(G621,FILAMENTI_DB!$A:$C,3,FALSE),"")</f>
        <v/>
      </c>
      <c r="I621" t="str">
        <f>IFERROR(VLOOKUP(G621,FILAMENTI_DB!$A:$E,4,FALSE),"")</f>
        <v/>
      </c>
      <c r="J621" s="26"/>
      <c r="K621" s="27"/>
      <c r="L621" s="27"/>
      <c r="M621" s="27">
        <f t="shared" si="56"/>
        <v>0</v>
      </c>
      <c r="N621" s="26">
        <f t="shared" si="57"/>
        <v>0</v>
      </c>
      <c r="O621" s="26"/>
      <c r="P621" s="26"/>
      <c r="Q621" s="23"/>
      <c r="R621" s="23">
        <f t="shared" si="58"/>
        <v>0</v>
      </c>
      <c r="S621" s="23"/>
      <c r="T621" s="23">
        <f t="shared" si="59"/>
        <v>0</v>
      </c>
      <c r="U621" s="28" t="str">
        <f t="shared" si="60"/>
        <v/>
      </c>
      <c r="V621" s="10" t="str">
        <f>IFERROR(N621*VLOOKUP(G621,FILAMENTI_DB!$A:$J,10,FALSE),"")</f>
        <v/>
      </c>
      <c r="W621" s="23" t="str">
        <f>IFERROR((VLOOKUP(F621,STAMPANTI_DB!$A:$C,3,FALSE)/1000)*O621*SETTINGS!$C$6,"")</f>
        <v/>
      </c>
      <c r="X621" s="23" t="str">
        <f>IFERROR(O621*VLOOKUP(F621,STAMPANTI_DB!$A:$I,9,FALSE),"")</f>
        <v/>
      </c>
      <c r="Y621" s="23">
        <f>IFERROR(P621*SETTINGS!$C$7,"")</f>
        <v>0</v>
      </c>
      <c r="Z621" s="23">
        <f>SETTINGS!$C$11</f>
        <v>0.5</v>
      </c>
      <c r="AA621" s="23">
        <f t="shared" si="61"/>
        <v>0.5</v>
      </c>
      <c r="AB621" s="23">
        <f>IFERROR(AA621*SETTINGS!$C$9,"")</f>
        <v>2.5000000000000001E-2</v>
      </c>
      <c r="AC621" s="23">
        <f>IFERROR((AA621+AB621)*SETTINGS!$C$10,"")</f>
        <v>2.6250000000000002E-2</v>
      </c>
    </row>
    <row r="622" spans="1:29" ht="16" x14ac:dyDescent="0.2">
      <c r="A622" s="25"/>
      <c r="H622" t="str">
        <f>IFERROR(VLOOKUP(G622,FILAMENTI_DB!$A:$C,3,FALSE),"")</f>
        <v/>
      </c>
      <c r="I622" t="str">
        <f>IFERROR(VLOOKUP(G622,FILAMENTI_DB!$A:$E,4,FALSE),"")</f>
        <v/>
      </c>
      <c r="J622" s="26"/>
      <c r="K622" s="27"/>
      <c r="L622" s="27"/>
      <c r="M622" s="27">
        <f t="shared" si="56"/>
        <v>0</v>
      </c>
      <c r="N622" s="26">
        <f t="shared" si="57"/>
        <v>0</v>
      </c>
      <c r="O622" s="26"/>
      <c r="P622" s="26"/>
      <c r="Q622" s="23"/>
      <c r="R622" s="23">
        <f t="shared" si="58"/>
        <v>0</v>
      </c>
      <c r="S622" s="23"/>
      <c r="T622" s="23">
        <f t="shared" si="59"/>
        <v>0</v>
      </c>
      <c r="U622" s="28" t="str">
        <f t="shared" si="60"/>
        <v/>
      </c>
      <c r="V622" s="10" t="str">
        <f>IFERROR(N622*VLOOKUP(G622,FILAMENTI_DB!$A:$J,10,FALSE),"")</f>
        <v/>
      </c>
      <c r="W622" s="23" t="str">
        <f>IFERROR((VLOOKUP(F622,STAMPANTI_DB!$A:$C,3,FALSE)/1000)*O622*SETTINGS!$C$6,"")</f>
        <v/>
      </c>
      <c r="X622" s="23" t="str">
        <f>IFERROR(O622*VLOOKUP(F622,STAMPANTI_DB!$A:$I,9,FALSE),"")</f>
        <v/>
      </c>
      <c r="Y622" s="23">
        <f>IFERROR(P622*SETTINGS!$C$7,"")</f>
        <v>0</v>
      </c>
      <c r="Z622" s="23">
        <f>SETTINGS!$C$11</f>
        <v>0.5</v>
      </c>
      <c r="AA622" s="23">
        <f t="shared" si="61"/>
        <v>0.5</v>
      </c>
      <c r="AB622" s="23">
        <f>IFERROR(AA622*SETTINGS!$C$9,"")</f>
        <v>2.5000000000000001E-2</v>
      </c>
      <c r="AC622" s="23">
        <f>IFERROR((AA622+AB622)*SETTINGS!$C$10,"")</f>
        <v>2.6250000000000002E-2</v>
      </c>
    </row>
    <row r="623" spans="1:29" ht="16" x14ac:dyDescent="0.2">
      <c r="A623" s="25"/>
      <c r="H623" t="str">
        <f>IFERROR(VLOOKUP(G623,FILAMENTI_DB!$A:$C,3,FALSE),"")</f>
        <v/>
      </c>
      <c r="I623" t="str">
        <f>IFERROR(VLOOKUP(G623,FILAMENTI_DB!$A:$E,4,FALSE),"")</f>
        <v/>
      </c>
      <c r="J623" s="26"/>
      <c r="K623" s="27"/>
      <c r="L623" s="27"/>
      <c r="M623" s="27">
        <f t="shared" si="56"/>
        <v>0</v>
      </c>
      <c r="N623" s="26">
        <f t="shared" si="57"/>
        <v>0</v>
      </c>
      <c r="O623" s="26"/>
      <c r="P623" s="26"/>
      <c r="Q623" s="23"/>
      <c r="R623" s="23">
        <f t="shared" si="58"/>
        <v>0</v>
      </c>
      <c r="S623" s="23"/>
      <c r="T623" s="23">
        <f t="shared" si="59"/>
        <v>0</v>
      </c>
      <c r="U623" s="28" t="str">
        <f t="shared" si="60"/>
        <v/>
      </c>
      <c r="V623" s="10" t="str">
        <f>IFERROR(N623*VLOOKUP(G623,FILAMENTI_DB!$A:$J,10,FALSE),"")</f>
        <v/>
      </c>
      <c r="W623" s="23" t="str">
        <f>IFERROR((VLOOKUP(F623,STAMPANTI_DB!$A:$C,3,FALSE)/1000)*O623*SETTINGS!$C$6,"")</f>
        <v/>
      </c>
      <c r="X623" s="23" t="str">
        <f>IFERROR(O623*VLOOKUP(F623,STAMPANTI_DB!$A:$I,9,FALSE),"")</f>
        <v/>
      </c>
      <c r="Y623" s="23">
        <f>IFERROR(P623*SETTINGS!$C$7,"")</f>
        <v>0</v>
      </c>
      <c r="Z623" s="23">
        <f>SETTINGS!$C$11</f>
        <v>0.5</v>
      </c>
      <c r="AA623" s="23">
        <f t="shared" si="61"/>
        <v>0.5</v>
      </c>
      <c r="AB623" s="23">
        <f>IFERROR(AA623*SETTINGS!$C$9,"")</f>
        <v>2.5000000000000001E-2</v>
      </c>
      <c r="AC623" s="23">
        <f>IFERROR((AA623+AB623)*SETTINGS!$C$10,"")</f>
        <v>2.6250000000000002E-2</v>
      </c>
    </row>
    <row r="624" spans="1:29" ht="16" x14ac:dyDescent="0.2">
      <c r="A624" s="25"/>
      <c r="H624" t="str">
        <f>IFERROR(VLOOKUP(G624,FILAMENTI_DB!$A:$C,3,FALSE),"")</f>
        <v/>
      </c>
      <c r="I624" t="str">
        <f>IFERROR(VLOOKUP(G624,FILAMENTI_DB!$A:$E,4,FALSE),"")</f>
        <v/>
      </c>
      <c r="J624" s="26"/>
      <c r="K624" s="27"/>
      <c r="L624" s="27"/>
      <c r="M624" s="27">
        <f t="shared" si="56"/>
        <v>0</v>
      </c>
      <c r="N624" s="26">
        <f t="shared" si="57"/>
        <v>0</v>
      </c>
      <c r="O624" s="26"/>
      <c r="P624" s="26"/>
      <c r="Q624" s="23"/>
      <c r="R624" s="23">
        <f t="shared" si="58"/>
        <v>0</v>
      </c>
      <c r="S624" s="23"/>
      <c r="T624" s="23">
        <f t="shared" si="59"/>
        <v>0</v>
      </c>
      <c r="U624" s="28" t="str">
        <f t="shared" si="60"/>
        <v/>
      </c>
      <c r="V624" s="10" t="str">
        <f>IFERROR(N624*VLOOKUP(G624,FILAMENTI_DB!$A:$J,10,FALSE),"")</f>
        <v/>
      </c>
      <c r="W624" s="23" t="str">
        <f>IFERROR((VLOOKUP(F624,STAMPANTI_DB!$A:$C,3,FALSE)/1000)*O624*SETTINGS!$C$6,"")</f>
        <v/>
      </c>
      <c r="X624" s="23" t="str">
        <f>IFERROR(O624*VLOOKUP(F624,STAMPANTI_DB!$A:$I,9,FALSE),"")</f>
        <v/>
      </c>
      <c r="Y624" s="23">
        <f>IFERROR(P624*SETTINGS!$C$7,"")</f>
        <v>0</v>
      </c>
      <c r="Z624" s="23">
        <f>SETTINGS!$C$11</f>
        <v>0.5</v>
      </c>
      <c r="AA624" s="23">
        <f t="shared" si="61"/>
        <v>0.5</v>
      </c>
      <c r="AB624" s="23">
        <f>IFERROR(AA624*SETTINGS!$C$9,"")</f>
        <v>2.5000000000000001E-2</v>
      </c>
      <c r="AC624" s="23">
        <f>IFERROR((AA624+AB624)*SETTINGS!$C$10,"")</f>
        <v>2.6250000000000002E-2</v>
      </c>
    </row>
    <row r="625" spans="1:29" ht="16" x14ac:dyDescent="0.2">
      <c r="A625" s="25"/>
      <c r="H625" t="str">
        <f>IFERROR(VLOOKUP(G625,FILAMENTI_DB!$A:$C,3,FALSE),"")</f>
        <v/>
      </c>
      <c r="I625" t="str">
        <f>IFERROR(VLOOKUP(G625,FILAMENTI_DB!$A:$E,4,FALSE),"")</f>
        <v/>
      </c>
      <c r="J625" s="26"/>
      <c r="K625" s="27"/>
      <c r="L625" s="27"/>
      <c r="M625" s="27">
        <f t="shared" si="56"/>
        <v>0</v>
      </c>
      <c r="N625" s="26">
        <f t="shared" si="57"/>
        <v>0</v>
      </c>
      <c r="O625" s="26"/>
      <c r="P625" s="26"/>
      <c r="Q625" s="23"/>
      <c r="R625" s="23">
        <f t="shared" si="58"/>
        <v>0</v>
      </c>
      <c r="S625" s="23"/>
      <c r="T625" s="23">
        <f t="shared" si="59"/>
        <v>0</v>
      </c>
      <c r="U625" s="28" t="str">
        <f t="shared" si="60"/>
        <v/>
      </c>
      <c r="V625" s="10" t="str">
        <f>IFERROR(N625*VLOOKUP(G625,FILAMENTI_DB!$A:$J,10,FALSE),"")</f>
        <v/>
      </c>
      <c r="W625" s="23" t="str">
        <f>IFERROR((VLOOKUP(F625,STAMPANTI_DB!$A:$C,3,FALSE)/1000)*O625*SETTINGS!$C$6,"")</f>
        <v/>
      </c>
      <c r="X625" s="23" t="str">
        <f>IFERROR(O625*VLOOKUP(F625,STAMPANTI_DB!$A:$I,9,FALSE),"")</f>
        <v/>
      </c>
      <c r="Y625" s="23">
        <f>IFERROR(P625*SETTINGS!$C$7,"")</f>
        <v>0</v>
      </c>
      <c r="Z625" s="23">
        <f>SETTINGS!$C$11</f>
        <v>0.5</v>
      </c>
      <c r="AA625" s="23">
        <f t="shared" si="61"/>
        <v>0.5</v>
      </c>
      <c r="AB625" s="23">
        <f>IFERROR(AA625*SETTINGS!$C$9,"")</f>
        <v>2.5000000000000001E-2</v>
      </c>
      <c r="AC625" s="23">
        <f>IFERROR((AA625+AB625)*SETTINGS!$C$10,"")</f>
        <v>2.6250000000000002E-2</v>
      </c>
    </row>
    <row r="626" spans="1:29" ht="16" x14ac:dyDescent="0.2">
      <c r="A626" s="25"/>
      <c r="H626" t="str">
        <f>IFERROR(VLOOKUP(G626,FILAMENTI_DB!$A:$C,3,FALSE),"")</f>
        <v/>
      </c>
      <c r="I626" t="str">
        <f>IFERROR(VLOOKUP(G626,FILAMENTI_DB!$A:$E,4,FALSE),"")</f>
        <v/>
      </c>
      <c r="J626" s="26"/>
      <c r="K626" s="27"/>
      <c r="L626" s="27"/>
      <c r="M626" s="27">
        <f t="shared" si="56"/>
        <v>0</v>
      </c>
      <c r="N626" s="26">
        <f t="shared" si="57"/>
        <v>0</v>
      </c>
      <c r="O626" s="26"/>
      <c r="P626" s="26"/>
      <c r="Q626" s="23"/>
      <c r="R626" s="23">
        <f t="shared" si="58"/>
        <v>0</v>
      </c>
      <c r="S626" s="23"/>
      <c r="T626" s="23">
        <f t="shared" si="59"/>
        <v>0</v>
      </c>
      <c r="U626" s="28" t="str">
        <f t="shared" si="60"/>
        <v/>
      </c>
      <c r="V626" s="10" t="str">
        <f>IFERROR(N626*VLOOKUP(G626,FILAMENTI_DB!$A:$J,10,FALSE),"")</f>
        <v/>
      </c>
      <c r="W626" s="23" t="str">
        <f>IFERROR((VLOOKUP(F626,STAMPANTI_DB!$A:$C,3,FALSE)/1000)*O626*SETTINGS!$C$6,"")</f>
        <v/>
      </c>
      <c r="X626" s="23" t="str">
        <f>IFERROR(O626*VLOOKUP(F626,STAMPANTI_DB!$A:$I,9,FALSE),"")</f>
        <v/>
      </c>
      <c r="Y626" s="23">
        <f>IFERROR(P626*SETTINGS!$C$7,"")</f>
        <v>0</v>
      </c>
      <c r="Z626" s="23">
        <f>SETTINGS!$C$11</f>
        <v>0.5</v>
      </c>
      <c r="AA626" s="23">
        <f t="shared" si="61"/>
        <v>0.5</v>
      </c>
      <c r="AB626" s="23">
        <f>IFERROR(AA626*SETTINGS!$C$9,"")</f>
        <v>2.5000000000000001E-2</v>
      </c>
      <c r="AC626" s="23">
        <f>IFERROR((AA626+AB626)*SETTINGS!$C$10,"")</f>
        <v>2.6250000000000002E-2</v>
      </c>
    </row>
    <row r="627" spans="1:29" ht="16" x14ac:dyDescent="0.2">
      <c r="A627" s="25"/>
      <c r="H627" t="str">
        <f>IFERROR(VLOOKUP(G627,FILAMENTI_DB!$A:$C,3,FALSE),"")</f>
        <v/>
      </c>
      <c r="I627" t="str">
        <f>IFERROR(VLOOKUP(G627,FILAMENTI_DB!$A:$E,4,FALSE),"")</f>
        <v/>
      </c>
      <c r="J627" s="26"/>
      <c r="K627" s="27"/>
      <c r="L627" s="27"/>
      <c r="M627" s="27">
        <f t="shared" si="56"/>
        <v>0</v>
      </c>
      <c r="N627" s="26">
        <f t="shared" si="57"/>
        <v>0</v>
      </c>
      <c r="O627" s="26"/>
      <c r="P627" s="26"/>
      <c r="Q627" s="23"/>
      <c r="R627" s="23">
        <f t="shared" si="58"/>
        <v>0</v>
      </c>
      <c r="S627" s="23"/>
      <c r="T627" s="23">
        <f t="shared" si="59"/>
        <v>0</v>
      </c>
      <c r="U627" s="28" t="str">
        <f t="shared" si="60"/>
        <v/>
      </c>
      <c r="V627" s="10" t="str">
        <f>IFERROR(N627*VLOOKUP(G627,FILAMENTI_DB!$A:$J,10,FALSE),"")</f>
        <v/>
      </c>
      <c r="W627" s="23" t="str">
        <f>IFERROR((VLOOKUP(F627,STAMPANTI_DB!$A:$C,3,FALSE)/1000)*O627*SETTINGS!$C$6,"")</f>
        <v/>
      </c>
      <c r="X627" s="23" t="str">
        <f>IFERROR(O627*VLOOKUP(F627,STAMPANTI_DB!$A:$I,9,FALSE),"")</f>
        <v/>
      </c>
      <c r="Y627" s="23">
        <f>IFERROR(P627*SETTINGS!$C$7,"")</f>
        <v>0</v>
      </c>
      <c r="Z627" s="23">
        <f>SETTINGS!$C$11</f>
        <v>0.5</v>
      </c>
      <c r="AA627" s="23">
        <f t="shared" si="61"/>
        <v>0.5</v>
      </c>
      <c r="AB627" s="23">
        <f>IFERROR(AA627*SETTINGS!$C$9,"")</f>
        <v>2.5000000000000001E-2</v>
      </c>
      <c r="AC627" s="23">
        <f>IFERROR((AA627+AB627)*SETTINGS!$C$10,"")</f>
        <v>2.6250000000000002E-2</v>
      </c>
    </row>
    <row r="628" spans="1:29" ht="16" x14ac:dyDescent="0.2">
      <c r="A628" s="25"/>
      <c r="H628" t="str">
        <f>IFERROR(VLOOKUP(G628,FILAMENTI_DB!$A:$C,3,FALSE),"")</f>
        <v/>
      </c>
      <c r="I628" t="str">
        <f>IFERROR(VLOOKUP(G628,FILAMENTI_DB!$A:$E,4,FALSE),"")</f>
        <v/>
      </c>
      <c r="J628" s="26"/>
      <c r="K628" s="27"/>
      <c r="L628" s="27"/>
      <c r="M628" s="27">
        <f t="shared" si="56"/>
        <v>0</v>
      </c>
      <c r="N628" s="26">
        <f t="shared" si="57"/>
        <v>0</v>
      </c>
      <c r="O628" s="26"/>
      <c r="P628" s="26"/>
      <c r="Q628" s="23"/>
      <c r="R628" s="23">
        <f t="shared" si="58"/>
        <v>0</v>
      </c>
      <c r="S628" s="23"/>
      <c r="T628" s="23">
        <f t="shared" si="59"/>
        <v>0</v>
      </c>
      <c r="U628" s="28" t="str">
        <f t="shared" si="60"/>
        <v/>
      </c>
      <c r="V628" s="10" t="str">
        <f>IFERROR(N628*VLOOKUP(G628,FILAMENTI_DB!$A:$J,10,FALSE),"")</f>
        <v/>
      </c>
      <c r="W628" s="23" t="str">
        <f>IFERROR((VLOOKUP(F628,STAMPANTI_DB!$A:$C,3,FALSE)/1000)*O628*SETTINGS!$C$6,"")</f>
        <v/>
      </c>
      <c r="X628" s="23" t="str">
        <f>IFERROR(O628*VLOOKUP(F628,STAMPANTI_DB!$A:$I,9,FALSE),"")</f>
        <v/>
      </c>
      <c r="Y628" s="23">
        <f>IFERROR(P628*SETTINGS!$C$7,"")</f>
        <v>0</v>
      </c>
      <c r="Z628" s="23">
        <f>SETTINGS!$C$11</f>
        <v>0.5</v>
      </c>
      <c r="AA628" s="23">
        <f t="shared" si="61"/>
        <v>0.5</v>
      </c>
      <c r="AB628" s="23">
        <f>IFERROR(AA628*SETTINGS!$C$9,"")</f>
        <v>2.5000000000000001E-2</v>
      </c>
      <c r="AC628" s="23">
        <f>IFERROR((AA628+AB628)*SETTINGS!$C$10,"")</f>
        <v>2.6250000000000002E-2</v>
      </c>
    </row>
    <row r="629" spans="1:29" ht="16" x14ac:dyDescent="0.2">
      <c r="A629" s="25"/>
      <c r="H629" t="str">
        <f>IFERROR(VLOOKUP(G629,FILAMENTI_DB!$A:$C,3,FALSE),"")</f>
        <v/>
      </c>
      <c r="I629" t="str">
        <f>IFERROR(VLOOKUP(G629,FILAMENTI_DB!$A:$E,4,FALSE),"")</f>
        <v/>
      </c>
      <c r="J629" s="26"/>
      <c r="K629" s="27"/>
      <c r="L629" s="27"/>
      <c r="M629" s="27">
        <f t="shared" si="56"/>
        <v>0</v>
      </c>
      <c r="N629" s="26">
        <f t="shared" si="57"/>
        <v>0</v>
      </c>
      <c r="O629" s="26"/>
      <c r="P629" s="26"/>
      <c r="Q629" s="23"/>
      <c r="R629" s="23">
        <f t="shared" si="58"/>
        <v>0</v>
      </c>
      <c r="S629" s="23"/>
      <c r="T629" s="23">
        <f t="shared" si="59"/>
        <v>0</v>
      </c>
      <c r="U629" s="28" t="str">
        <f t="shared" si="60"/>
        <v/>
      </c>
      <c r="V629" s="10" t="str">
        <f>IFERROR(N629*VLOOKUP(G629,FILAMENTI_DB!$A:$J,10,FALSE),"")</f>
        <v/>
      </c>
      <c r="W629" s="23" t="str">
        <f>IFERROR((VLOOKUP(F629,STAMPANTI_DB!$A:$C,3,FALSE)/1000)*O629*SETTINGS!$C$6,"")</f>
        <v/>
      </c>
      <c r="X629" s="23" t="str">
        <f>IFERROR(O629*VLOOKUP(F629,STAMPANTI_DB!$A:$I,9,FALSE),"")</f>
        <v/>
      </c>
      <c r="Y629" s="23">
        <f>IFERROR(P629*SETTINGS!$C$7,"")</f>
        <v>0</v>
      </c>
      <c r="Z629" s="23">
        <f>SETTINGS!$C$11</f>
        <v>0.5</v>
      </c>
      <c r="AA629" s="23">
        <f t="shared" si="61"/>
        <v>0.5</v>
      </c>
      <c r="AB629" s="23">
        <f>IFERROR(AA629*SETTINGS!$C$9,"")</f>
        <v>2.5000000000000001E-2</v>
      </c>
      <c r="AC629" s="23">
        <f>IFERROR((AA629+AB629)*SETTINGS!$C$10,"")</f>
        <v>2.6250000000000002E-2</v>
      </c>
    </row>
    <row r="630" spans="1:29" ht="16" x14ac:dyDescent="0.2">
      <c r="A630" s="25"/>
      <c r="H630" t="str">
        <f>IFERROR(VLOOKUP(G630,FILAMENTI_DB!$A:$C,3,FALSE),"")</f>
        <v/>
      </c>
      <c r="I630" t="str">
        <f>IFERROR(VLOOKUP(G630,FILAMENTI_DB!$A:$E,4,FALSE),"")</f>
        <v/>
      </c>
      <c r="J630" s="26"/>
      <c r="K630" s="27"/>
      <c r="L630" s="27"/>
      <c r="M630" s="27">
        <f t="shared" si="56"/>
        <v>0</v>
      </c>
      <c r="N630" s="26">
        <f t="shared" si="57"/>
        <v>0</v>
      </c>
      <c r="O630" s="26"/>
      <c r="P630" s="26"/>
      <c r="Q630" s="23"/>
      <c r="R630" s="23">
        <f t="shared" si="58"/>
        <v>0</v>
      </c>
      <c r="S630" s="23"/>
      <c r="T630" s="23">
        <f t="shared" si="59"/>
        <v>0</v>
      </c>
      <c r="U630" s="28" t="str">
        <f t="shared" si="60"/>
        <v/>
      </c>
      <c r="V630" s="10" t="str">
        <f>IFERROR(N630*VLOOKUP(G630,FILAMENTI_DB!$A:$J,10,FALSE),"")</f>
        <v/>
      </c>
      <c r="W630" s="23" t="str">
        <f>IFERROR((VLOOKUP(F630,STAMPANTI_DB!$A:$C,3,FALSE)/1000)*O630*SETTINGS!$C$6,"")</f>
        <v/>
      </c>
      <c r="X630" s="23" t="str">
        <f>IFERROR(O630*VLOOKUP(F630,STAMPANTI_DB!$A:$I,9,FALSE),"")</f>
        <v/>
      </c>
      <c r="Y630" s="23">
        <f>IFERROR(P630*SETTINGS!$C$7,"")</f>
        <v>0</v>
      </c>
      <c r="Z630" s="23">
        <f>SETTINGS!$C$11</f>
        <v>0.5</v>
      </c>
      <c r="AA630" s="23">
        <f t="shared" si="61"/>
        <v>0.5</v>
      </c>
      <c r="AB630" s="23">
        <f>IFERROR(AA630*SETTINGS!$C$9,"")</f>
        <v>2.5000000000000001E-2</v>
      </c>
      <c r="AC630" s="23">
        <f>IFERROR((AA630+AB630)*SETTINGS!$C$10,"")</f>
        <v>2.6250000000000002E-2</v>
      </c>
    </row>
    <row r="631" spans="1:29" ht="16" x14ac:dyDescent="0.2">
      <c r="A631" s="25"/>
      <c r="H631" t="str">
        <f>IFERROR(VLOOKUP(G631,FILAMENTI_DB!$A:$C,3,FALSE),"")</f>
        <v/>
      </c>
      <c r="I631" t="str">
        <f>IFERROR(VLOOKUP(G631,FILAMENTI_DB!$A:$E,4,FALSE),"")</f>
        <v/>
      </c>
      <c r="J631" s="26"/>
      <c r="K631" s="27"/>
      <c r="L631" s="27"/>
      <c r="M631" s="27">
        <f t="shared" si="56"/>
        <v>0</v>
      </c>
      <c r="N631" s="26">
        <f t="shared" si="57"/>
        <v>0</v>
      </c>
      <c r="O631" s="26"/>
      <c r="P631" s="26"/>
      <c r="Q631" s="23"/>
      <c r="R631" s="23">
        <f t="shared" si="58"/>
        <v>0</v>
      </c>
      <c r="S631" s="23"/>
      <c r="T631" s="23">
        <f t="shared" si="59"/>
        <v>0</v>
      </c>
      <c r="U631" s="28" t="str">
        <f t="shared" si="60"/>
        <v/>
      </c>
      <c r="V631" s="10" t="str">
        <f>IFERROR(N631*VLOOKUP(G631,FILAMENTI_DB!$A:$J,10,FALSE),"")</f>
        <v/>
      </c>
      <c r="W631" s="23" t="str">
        <f>IFERROR((VLOOKUP(F631,STAMPANTI_DB!$A:$C,3,FALSE)/1000)*O631*SETTINGS!$C$6,"")</f>
        <v/>
      </c>
      <c r="X631" s="23" t="str">
        <f>IFERROR(O631*VLOOKUP(F631,STAMPANTI_DB!$A:$I,9,FALSE),"")</f>
        <v/>
      </c>
      <c r="Y631" s="23">
        <f>IFERROR(P631*SETTINGS!$C$7,"")</f>
        <v>0</v>
      </c>
      <c r="Z631" s="23">
        <f>SETTINGS!$C$11</f>
        <v>0.5</v>
      </c>
      <c r="AA631" s="23">
        <f t="shared" si="61"/>
        <v>0.5</v>
      </c>
      <c r="AB631" s="23">
        <f>IFERROR(AA631*SETTINGS!$C$9,"")</f>
        <v>2.5000000000000001E-2</v>
      </c>
      <c r="AC631" s="23">
        <f>IFERROR((AA631+AB631)*SETTINGS!$C$10,"")</f>
        <v>2.6250000000000002E-2</v>
      </c>
    </row>
    <row r="632" spans="1:29" ht="16" x14ac:dyDescent="0.2">
      <c r="A632" s="25"/>
      <c r="H632" t="str">
        <f>IFERROR(VLOOKUP(G632,FILAMENTI_DB!$A:$C,3,FALSE),"")</f>
        <v/>
      </c>
      <c r="I632" t="str">
        <f>IFERROR(VLOOKUP(G632,FILAMENTI_DB!$A:$E,4,FALSE),"")</f>
        <v/>
      </c>
      <c r="J632" s="26"/>
      <c r="K632" s="27"/>
      <c r="L632" s="27"/>
      <c r="M632" s="27">
        <f t="shared" si="56"/>
        <v>0</v>
      </c>
      <c r="N632" s="26">
        <f t="shared" si="57"/>
        <v>0</v>
      </c>
      <c r="O632" s="26"/>
      <c r="P632" s="26"/>
      <c r="Q632" s="23"/>
      <c r="R632" s="23">
        <f t="shared" si="58"/>
        <v>0</v>
      </c>
      <c r="S632" s="23"/>
      <c r="T632" s="23">
        <f t="shared" si="59"/>
        <v>0</v>
      </c>
      <c r="U632" s="28" t="str">
        <f t="shared" si="60"/>
        <v/>
      </c>
      <c r="V632" s="10" t="str">
        <f>IFERROR(N632*VLOOKUP(G632,FILAMENTI_DB!$A:$J,10,FALSE),"")</f>
        <v/>
      </c>
      <c r="W632" s="23" t="str">
        <f>IFERROR((VLOOKUP(F632,STAMPANTI_DB!$A:$C,3,FALSE)/1000)*O632*SETTINGS!$C$6,"")</f>
        <v/>
      </c>
      <c r="X632" s="23" t="str">
        <f>IFERROR(O632*VLOOKUP(F632,STAMPANTI_DB!$A:$I,9,FALSE),"")</f>
        <v/>
      </c>
      <c r="Y632" s="23">
        <f>IFERROR(P632*SETTINGS!$C$7,"")</f>
        <v>0</v>
      </c>
      <c r="Z632" s="23">
        <f>SETTINGS!$C$11</f>
        <v>0.5</v>
      </c>
      <c r="AA632" s="23">
        <f t="shared" si="61"/>
        <v>0.5</v>
      </c>
      <c r="AB632" s="23">
        <f>IFERROR(AA632*SETTINGS!$C$9,"")</f>
        <v>2.5000000000000001E-2</v>
      </c>
      <c r="AC632" s="23">
        <f>IFERROR((AA632+AB632)*SETTINGS!$C$10,"")</f>
        <v>2.6250000000000002E-2</v>
      </c>
    </row>
    <row r="633" spans="1:29" ht="16" x14ac:dyDescent="0.2">
      <c r="A633" s="25"/>
      <c r="H633" t="str">
        <f>IFERROR(VLOOKUP(G633,FILAMENTI_DB!$A:$C,3,FALSE),"")</f>
        <v/>
      </c>
      <c r="I633" t="str">
        <f>IFERROR(VLOOKUP(G633,FILAMENTI_DB!$A:$E,4,FALSE),"")</f>
        <v/>
      </c>
      <c r="J633" s="26"/>
      <c r="K633" s="27"/>
      <c r="L633" s="27"/>
      <c r="M633" s="27">
        <f t="shared" si="56"/>
        <v>0</v>
      </c>
      <c r="N633" s="26">
        <f t="shared" si="57"/>
        <v>0</v>
      </c>
      <c r="O633" s="26"/>
      <c r="P633" s="26"/>
      <c r="Q633" s="23"/>
      <c r="R633" s="23">
        <f t="shared" si="58"/>
        <v>0</v>
      </c>
      <c r="S633" s="23"/>
      <c r="T633" s="23">
        <f t="shared" si="59"/>
        <v>0</v>
      </c>
      <c r="U633" s="28" t="str">
        <f t="shared" si="60"/>
        <v/>
      </c>
      <c r="V633" s="10" t="str">
        <f>IFERROR(N633*VLOOKUP(G633,FILAMENTI_DB!$A:$J,10,FALSE),"")</f>
        <v/>
      </c>
      <c r="W633" s="23" t="str">
        <f>IFERROR((VLOOKUP(F633,STAMPANTI_DB!$A:$C,3,FALSE)/1000)*O633*SETTINGS!$C$6,"")</f>
        <v/>
      </c>
      <c r="X633" s="23" t="str">
        <f>IFERROR(O633*VLOOKUP(F633,STAMPANTI_DB!$A:$I,9,FALSE),"")</f>
        <v/>
      </c>
      <c r="Y633" s="23">
        <f>IFERROR(P633*SETTINGS!$C$7,"")</f>
        <v>0</v>
      </c>
      <c r="Z633" s="23">
        <f>SETTINGS!$C$11</f>
        <v>0.5</v>
      </c>
      <c r="AA633" s="23">
        <f t="shared" si="61"/>
        <v>0.5</v>
      </c>
      <c r="AB633" s="23">
        <f>IFERROR(AA633*SETTINGS!$C$9,"")</f>
        <v>2.5000000000000001E-2</v>
      </c>
      <c r="AC633" s="23">
        <f>IFERROR((AA633+AB633)*SETTINGS!$C$10,"")</f>
        <v>2.6250000000000002E-2</v>
      </c>
    </row>
    <row r="634" spans="1:29" ht="16" x14ac:dyDescent="0.2">
      <c r="A634" s="25"/>
      <c r="H634" t="str">
        <f>IFERROR(VLOOKUP(G634,FILAMENTI_DB!$A:$C,3,FALSE),"")</f>
        <v/>
      </c>
      <c r="I634" t="str">
        <f>IFERROR(VLOOKUP(G634,FILAMENTI_DB!$A:$E,4,FALSE),"")</f>
        <v/>
      </c>
      <c r="J634" s="26"/>
      <c r="K634" s="27"/>
      <c r="L634" s="27"/>
      <c r="M634" s="27">
        <f t="shared" si="56"/>
        <v>0</v>
      </c>
      <c r="N634" s="26">
        <f t="shared" si="57"/>
        <v>0</v>
      </c>
      <c r="O634" s="26"/>
      <c r="P634" s="26"/>
      <c r="Q634" s="23"/>
      <c r="R634" s="23">
        <f t="shared" si="58"/>
        <v>0</v>
      </c>
      <c r="S634" s="23"/>
      <c r="T634" s="23">
        <f t="shared" si="59"/>
        <v>0</v>
      </c>
      <c r="U634" s="28" t="str">
        <f t="shared" si="60"/>
        <v/>
      </c>
      <c r="V634" s="10" t="str">
        <f>IFERROR(N634*VLOOKUP(G634,FILAMENTI_DB!$A:$J,10,FALSE),"")</f>
        <v/>
      </c>
      <c r="W634" s="23" t="str">
        <f>IFERROR((VLOOKUP(F634,STAMPANTI_DB!$A:$C,3,FALSE)/1000)*O634*SETTINGS!$C$6,"")</f>
        <v/>
      </c>
      <c r="X634" s="23" t="str">
        <f>IFERROR(O634*VLOOKUP(F634,STAMPANTI_DB!$A:$I,9,FALSE),"")</f>
        <v/>
      </c>
      <c r="Y634" s="23">
        <f>IFERROR(P634*SETTINGS!$C$7,"")</f>
        <v>0</v>
      </c>
      <c r="Z634" s="23">
        <f>SETTINGS!$C$11</f>
        <v>0.5</v>
      </c>
      <c r="AA634" s="23">
        <f t="shared" si="61"/>
        <v>0.5</v>
      </c>
      <c r="AB634" s="23">
        <f>IFERROR(AA634*SETTINGS!$C$9,"")</f>
        <v>2.5000000000000001E-2</v>
      </c>
      <c r="AC634" s="23">
        <f>IFERROR((AA634+AB634)*SETTINGS!$C$10,"")</f>
        <v>2.6250000000000002E-2</v>
      </c>
    </row>
    <row r="635" spans="1:29" ht="16" x14ac:dyDescent="0.2">
      <c r="A635" s="25"/>
      <c r="H635" t="str">
        <f>IFERROR(VLOOKUP(G635,FILAMENTI_DB!$A:$C,3,FALSE),"")</f>
        <v/>
      </c>
      <c r="I635" t="str">
        <f>IFERROR(VLOOKUP(G635,FILAMENTI_DB!$A:$E,4,FALSE),"")</f>
        <v/>
      </c>
      <c r="J635" s="26"/>
      <c r="K635" s="27"/>
      <c r="L635" s="27"/>
      <c r="M635" s="27">
        <f t="shared" si="56"/>
        <v>0</v>
      </c>
      <c r="N635" s="26">
        <f t="shared" si="57"/>
        <v>0</v>
      </c>
      <c r="O635" s="26"/>
      <c r="P635" s="26"/>
      <c r="Q635" s="23"/>
      <c r="R635" s="23">
        <f t="shared" si="58"/>
        <v>0</v>
      </c>
      <c r="S635" s="23"/>
      <c r="T635" s="23">
        <f t="shared" si="59"/>
        <v>0</v>
      </c>
      <c r="U635" s="28" t="str">
        <f t="shared" si="60"/>
        <v/>
      </c>
      <c r="V635" s="10" t="str">
        <f>IFERROR(N635*VLOOKUP(G635,FILAMENTI_DB!$A:$J,10,FALSE),"")</f>
        <v/>
      </c>
      <c r="W635" s="23" t="str">
        <f>IFERROR((VLOOKUP(F635,STAMPANTI_DB!$A:$C,3,FALSE)/1000)*O635*SETTINGS!$C$6,"")</f>
        <v/>
      </c>
      <c r="X635" s="23" t="str">
        <f>IFERROR(O635*VLOOKUP(F635,STAMPANTI_DB!$A:$I,9,FALSE),"")</f>
        <v/>
      </c>
      <c r="Y635" s="23">
        <f>IFERROR(P635*SETTINGS!$C$7,"")</f>
        <v>0</v>
      </c>
      <c r="Z635" s="23">
        <f>SETTINGS!$C$11</f>
        <v>0.5</v>
      </c>
      <c r="AA635" s="23">
        <f t="shared" si="61"/>
        <v>0.5</v>
      </c>
      <c r="AB635" s="23">
        <f>IFERROR(AA635*SETTINGS!$C$9,"")</f>
        <v>2.5000000000000001E-2</v>
      </c>
      <c r="AC635" s="23">
        <f>IFERROR((AA635+AB635)*SETTINGS!$C$10,"")</f>
        <v>2.6250000000000002E-2</v>
      </c>
    </row>
    <row r="636" spans="1:29" ht="16" x14ac:dyDescent="0.2">
      <c r="A636" s="25"/>
      <c r="H636" t="str">
        <f>IFERROR(VLOOKUP(G636,FILAMENTI_DB!$A:$C,3,FALSE),"")</f>
        <v/>
      </c>
      <c r="I636" t="str">
        <f>IFERROR(VLOOKUP(G636,FILAMENTI_DB!$A:$E,4,FALSE),"")</f>
        <v/>
      </c>
      <c r="J636" s="26"/>
      <c r="K636" s="27"/>
      <c r="L636" s="27"/>
      <c r="M636" s="27">
        <f t="shared" si="56"/>
        <v>0</v>
      </c>
      <c r="N636" s="26">
        <f t="shared" si="57"/>
        <v>0</v>
      </c>
      <c r="O636" s="26"/>
      <c r="P636" s="26"/>
      <c r="Q636" s="23"/>
      <c r="R636" s="23">
        <f t="shared" si="58"/>
        <v>0</v>
      </c>
      <c r="S636" s="23"/>
      <c r="T636" s="23">
        <f t="shared" si="59"/>
        <v>0</v>
      </c>
      <c r="U636" s="28" t="str">
        <f t="shared" si="60"/>
        <v/>
      </c>
      <c r="V636" s="10" t="str">
        <f>IFERROR(N636*VLOOKUP(G636,FILAMENTI_DB!$A:$J,10,FALSE),"")</f>
        <v/>
      </c>
      <c r="W636" s="23" t="str">
        <f>IFERROR((VLOOKUP(F636,STAMPANTI_DB!$A:$C,3,FALSE)/1000)*O636*SETTINGS!$C$6,"")</f>
        <v/>
      </c>
      <c r="X636" s="23" t="str">
        <f>IFERROR(O636*VLOOKUP(F636,STAMPANTI_DB!$A:$I,9,FALSE),"")</f>
        <v/>
      </c>
      <c r="Y636" s="23">
        <f>IFERROR(P636*SETTINGS!$C$7,"")</f>
        <v>0</v>
      </c>
      <c r="Z636" s="23">
        <f>SETTINGS!$C$11</f>
        <v>0.5</v>
      </c>
      <c r="AA636" s="23">
        <f t="shared" si="61"/>
        <v>0.5</v>
      </c>
      <c r="AB636" s="23">
        <f>IFERROR(AA636*SETTINGS!$C$9,"")</f>
        <v>2.5000000000000001E-2</v>
      </c>
      <c r="AC636" s="23">
        <f>IFERROR((AA636+AB636)*SETTINGS!$C$10,"")</f>
        <v>2.6250000000000002E-2</v>
      </c>
    </row>
    <row r="637" spans="1:29" ht="16" x14ac:dyDescent="0.2">
      <c r="A637" s="25"/>
      <c r="H637" t="str">
        <f>IFERROR(VLOOKUP(G637,FILAMENTI_DB!$A:$C,3,FALSE),"")</f>
        <v/>
      </c>
      <c r="I637" t="str">
        <f>IFERROR(VLOOKUP(G637,FILAMENTI_DB!$A:$E,4,FALSE),"")</f>
        <v/>
      </c>
      <c r="J637" s="26"/>
      <c r="K637" s="27"/>
      <c r="L637" s="27"/>
      <c r="M637" s="27">
        <f t="shared" si="56"/>
        <v>0</v>
      </c>
      <c r="N637" s="26">
        <f t="shared" si="57"/>
        <v>0</v>
      </c>
      <c r="O637" s="26"/>
      <c r="P637" s="26"/>
      <c r="Q637" s="23"/>
      <c r="R637" s="23">
        <f t="shared" si="58"/>
        <v>0</v>
      </c>
      <c r="S637" s="23"/>
      <c r="T637" s="23">
        <f t="shared" si="59"/>
        <v>0</v>
      </c>
      <c r="U637" s="28" t="str">
        <f t="shared" si="60"/>
        <v/>
      </c>
      <c r="V637" s="10" t="str">
        <f>IFERROR(N637*VLOOKUP(G637,FILAMENTI_DB!$A:$J,10,FALSE),"")</f>
        <v/>
      </c>
      <c r="W637" s="23" t="str">
        <f>IFERROR((VLOOKUP(F637,STAMPANTI_DB!$A:$C,3,FALSE)/1000)*O637*SETTINGS!$C$6,"")</f>
        <v/>
      </c>
      <c r="X637" s="23" t="str">
        <f>IFERROR(O637*VLOOKUP(F637,STAMPANTI_DB!$A:$I,9,FALSE),"")</f>
        <v/>
      </c>
      <c r="Y637" s="23">
        <f>IFERROR(P637*SETTINGS!$C$7,"")</f>
        <v>0</v>
      </c>
      <c r="Z637" s="23">
        <f>SETTINGS!$C$11</f>
        <v>0.5</v>
      </c>
      <c r="AA637" s="23">
        <f t="shared" si="61"/>
        <v>0.5</v>
      </c>
      <c r="AB637" s="23">
        <f>IFERROR(AA637*SETTINGS!$C$9,"")</f>
        <v>2.5000000000000001E-2</v>
      </c>
      <c r="AC637" s="23">
        <f>IFERROR((AA637+AB637)*SETTINGS!$C$10,"")</f>
        <v>2.6250000000000002E-2</v>
      </c>
    </row>
    <row r="638" spans="1:29" ht="16" x14ac:dyDescent="0.2">
      <c r="A638" s="25"/>
      <c r="H638" t="str">
        <f>IFERROR(VLOOKUP(G638,FILAMENTI_DB!$A:$C,3,FALSE),"")</f>
        <v/>
      </c>
      <c r="I638" t="str">
        <f>IFERROR(VLOOKUP(G638,FILAMENTI_DB!$A:$E,4,FALSE),"")</f>
        <v/>
      </c>
      <c r="J638" s="26"/>
      <c r="K638" s="27"/>
      <c r="L638" s="27"/>
      <c r="M638" s="27">
        <f t="shared" si="56"/>
        <v>0</v>
      </c>
      <c r="N638" s="26">
        <f t="shared" si="57"/>
        <v>0</v>
      </c>
      <c r="O638" s="26"/>
      <c r="P638" s="26"/>
      <c r="Q638" s="23"/>
      <c r="R638" s="23">
        <f t="shared" si="58"/>
        <v>0</v>
      </c>
      <c r="S638" s="23"/>
      <c r="T638" s="23">
        <f t="shared" si="59"/>
        <v>0</v>
      </c>
      <c r="U638" s="28" t="str">
        <f t="shared" si="60"/>
        <v/>
      </c>
      <c r="V638" s="10" t="str">
        <f>IFERROR(N638*VLOOKUP(G638,FILAMENTI_DB!$A:$J,10,FALSE),"")</f>
        <v/>
      </c>
      <c r="W638" s="23" t="str">
        <f>IFERROR((VLOOKUP(F638,STAMPANTI_DB!$A:$C,3,FALSE)/1000)*O638*SETTINGS!$C$6,"")</f>
        <v/>
      </c>
      <c r="X638" s="23" t="str">
        <f>IFERROR(O638*VLOOKUP(F638,STAMPANTI_DB!$A:$I,9,FALSE),"")</f>
        <v/>
      </c>
      <c r="Y638" s="23">
        <f>IFERROR(P638*SETTINGS!$C$7,"")</f>
        <v>0</v>
      </c>
      <c r="Z638" s="23">
        <f>SETTINGS!$C$11</f>
        <v>0.5</v>
      </c>
      <c r="AA638" s="23">
        <f t="shared" si="61"/>
        <v>0.5</v>
      </c>
      <c r="AB638" s="23">
        <f>IFERROR(AA638*SETTINGS!$C$9,"")</f>
        <v>2.5000000000000001E-2</v>
      </c>
      <c r="AC638" s="23">
        <f>IFERROR((AA638+AB638)*SETTINGS!$C$10,"")</f>
        <v>2.6250000000000002E-2</v>
      </c>
    </row>
    <row r="639" spans="1:29" ht="16" x14ac:dyDescent="0.2">
      <c r="A639" s="25"/>
      <c r="H639" t="str">
        <f>IFERROR(VLOOKUP(G639,FILAMENTI_DB!$A:$C,3,FALSE),"")</f>
        <v/>
      </c>
      <c r="I639" t="str">
        <f>IFERROR(VLOOKUP(G639,FILAMENTI_DB!$A:$E,4,FALSE),"")</f>
        <v/>
      </c>
      <c r="J639" s="26"/>
      <c r="K639" s="27"/>
      <c r="L639" s="27"/>
      <c r="M639" s="27">
        <f t="shared" si="56"/>
        <v>0</v>
      </c>
      <c r="N639" s="26">
        <f t="shared" si="57"/>
        <v>0</v>
      </c>
      <c r="O639" s="26"/>
      <c r="P639" s="26"/>
      <c r="Q639" s="23"/>
      <c r="R639" s="23">
        <f t="shared" si="58"/>
        <v>0</v>
      </c>
      <c r="S639" s="23"/>
      <c r="T639" s="23">
        <f t="shared" si="59"/>
        <v>0</v>
      </c>
      <c r="U639" s="28" t="str">
        <f t="shared" si="60"/>
        <v/>
      </c>
      <c r="V639" s="10" t="str">
        <f>IFERROR(N639*VLOOKUP(G639,FILAMENTI_DB!$A:$J,10,FALSE),"")</f>
        <v/>
      </c>
      <c r="W639" s="23" t="str">
        <f>IFERROR((VLOOKUP(F639,STAMPANTI_DB!$A:$C,3,FALSE)/1000)*O639*SETTINGS!$C$6,"")</f>
        <v/>
      </c>
      <c r="X639" s="23" t="str">
        <f>IFERROR(O639*VLOOKUP(F639,STAMPANTI_DB!$A:$I,9,FALSE),"")</f>
        <v/>
      </c>
      <c r="Y639" s="23">
        <f>IFERROR(P639*SETTINGS!$C$7,"")</f>
        <v>0</v>
      </c>
      <c r="Z639" s="23">
        <f>SETTINGS!$C$11</f>
        <v>0.5</v>
      </c>
      <c r="AA639" s="23">
        <f t="shared" si="61"/>
        <v>0.5</v>
      </c>
      <c r="AB639" s="23">
        <f>IFERROR(AA639*SETTINGS!$C$9,"")</f>
        <v>2.5000000000000001E-2</v>
      </c>
      <c r="AC639" s="23">
        <f>IFERROR((AA639+AB639)*SETTINGS!$C$10,"")</f>
        <v>2.6250000000000002E-2</v>
      </c>
    </row>
    <row r="640" spans="1:29" ht="16" x14ac:dyDescent="0.2">
      <c r="A640" s="25"/>
      <c r="H640" t="str">
        <f>IFERROR(VLOOKUP(G640,FILAMENTI_DB!$A:$C,3,FALSE),"")</f>
        <v/>
      </c>
      <c r="I640" t="str">
        <f>IFERROR(VLOOKUP(G640,FILAMENTI_DB!$A:$E,4,FALSE),"")</f>
        <v/>
      </c>
      <c r="J640" s="26"/>
      <c r="K640" s="27"/>
      <c r="L640" s="27"/>
      <c r="M640" s="27">
        <f t="shared" si="56"/>
        <v>0</v>
      </c>
      <c r="N640" s="26">
        <f t="shared" si="57"/>
        <v>0</v>
      </c>
      <c r="O640" s="26"/>
      <c r="P640" s="26"/>
      <c r="Q640" s="23"/>
      <c r="R640" s="23">
        <f t="shared" si="58"/>
        <v>0</v>
      </c>
      <c r="S640" s="23"/>
      <c r="T640" s="23">
        <f t="shared" si="59"/>
        <v>0</v>
      </c>
      <c r="U640" s="28" t="str">
        <f t="shared" si="60"/>
        <v/>
      </c>
      <c r="V640" s="10" t="str">
        <f>IFERROR(N640*VLOOKUP(G640,FILAMENTI_DB!$A:$J,10,FALSE),"")</f>
        <v/>
      </c>
      <c r="W640" s="23" t="str">
        <f>IFERROR((VLOOKUP(F640,STAMPANTI_DB!$A:$C,3,FALSE)/1000)*O640*SETTINGS!$C$6,"")</f>
        <v/>
      </c>
      <c r="X640" s="23" t="str">
        <f>IFERROR(O640*VLOOKUP(F640,STAMPANTI_DB!$A:$I,9,FALSE),"")</f>
        <v/>
      </c>
      <c r="Y640" s="23">
        <f>IFERROR(P640*SETTINGS!$C$7,"")</f>
        <v>0</v>
      </c>
      <c r="Z640" s="23">
        <f>SETTINGS!$C$11</f>
        <v>0.5</v>
      </c>
      <c r="AA640" s="23">
        <f t="shared" si="61"/>
        <v>0.5</v>
      </c>
      <c r="AB640" s="23">
        <f>IFERROR(AA640*SETTINGS!$C$9,"")</f>
        <v>2.5000000000000001E-2</v>
      </c>
      <c r="AC640" s="23">
        <f>IFERROR((AA640+AB640)*SETTINGS!$C$10,"")</f>
        <v>2.6250000000000002E-2</v>
      </c>
    </row>
    <row r="641" spans="1:29" ht="16" x14ac:dyDescent="0.2">
      <c r="A641" s="25"/>
      <c r="H641" t="str">
        <f>IFERROR(VLOOKUP(G641,FILAMENTI_DB!$A:$C,3,FALSE),"")</f>
        <v/>
      </c>
      <c r="I641" t="str">
        <f>IFERROR(VLOOKUP(G641,FILAMENTI_DB!$A:$E,4,FALSE),"")</f>
        <v/>
      </c>
      <c r="J641" s="26"/>
      <c r="K641" s="27"/>
      <c r="L641" s="27"/>
      <c r="M641" s="27">
        <f t="shared" si="56"/>
        <v>0</v>
      </c>
      <c r="N641" s="26">
        <f t="shared" si="57"/>
        <v>0</v>
      </c>
      <c r="O641" s="26"/>
      <c r="P641" s="26"/>
      <c r="Q641" s="23"/>
      <c r="R641" s="23">
        <f t="shared" si="58"/>
        <v>0</v>
      </c>
      <c r="S641" s="23"/>
      <c r="T641" s="23">
        <f t="shared" si="59"/>
        <v>0</v>
      </c>
      <c r="U641" s="28" t="str">
        <f t="shared" si="60"/>
        <v/>
      </c>
      <c r="V641" s="10" t="str">
        <f>IFERROR(N641*VLOOKUP(G641,FILAMENTI_DB!$A:$J,10,FALSE),"")</f>
        <v/>
      </c>
      <c r="W641" s="23" t="str">
        <f>IFERROR((VLOOKUP(F641,STAMPANTI_DB!$A:$C,3,FALSE)/1000)*O641*SETTINGS!$C$6,"")</f>
        <v/>
      </c>
      <c r="X641" s="23" t="str">
        <f>IFERROR(O641*VLOOKUP(F641,STAMPANTI_DB!$A:$I,9,FALSE),"")</f>
        <v/>
      </c>
      <c r="Y641" s="23">
        <f>IFERROR(P641*SETTINGS!$C$7,"")</f>
        <v>0</v>
      </c>
      <c r="Z641" s="23">
        <f>SETTINGS!$C$11</f>
        <v>0.5</v>
      </c>
      <c r="AA641" s="23">
        <f t="shared" si="61"/>
        <v>0.5</v>
      </c>
      <c r="AB641" s="23">
        <f>IFERROR(AA641*SETTINGS!$C$9,"")</f>
        <v>2.5000000000000001E-2</v>
      </c>
      <c r="AC641" s="23">
        <f>IFERROR((AA641+AB641)*SETTINGS!$C$10,"")</f>
        <v>2.6250000000000002E-2</v>
      </c>
    </row>
    <row r="642" spans="1:29" ht="16" x14ac:dyDescent="0.2">
      <c r="A642" s="25"/>
      <c r="H642" t="str">
        <f>IFERROR(VLOOKUP(G642,FILAMENTI_DB!$A:$C,3,FALSE),"")</f>
        <v/>
      </c>
      <c r="I642" t="str">
        <f>IFERROR(VLOOKUP(G642,FILAMENTI_DB!$A:$E,4,FALSE),"")</f>
        <v/>
      </c>
      <c r="J642" s="26"/>
      <c r="K642" s="27"/>
      <c r="L642" s="27"/>
      <c r="M642" s="27">
        <f t="shared" si="56"/>
        <v>0</v>
      </c>
      <c r="N642" s="26">
        <f t="shared" si="57"/>
        <v>0</v>
      </c>
      <c r="O642" s="26"/>
      <c r="P642" s="26"/>
      <c r="Q642" s="23"/>
      <c r="R642" s="23">
        <f t="shared" si="58"/>
        <v>0</v>
      </c>
      <c r="S642" s="23"/>
      <c r="T642" s="23">
        <f t="shared" si="59"/>
        <v>0</v>
      </c>
      <c r="U642" s="28" t="str">
        <f t="shared" si="60"/>
        <v/>
      </c>
      <c r="V642" s="10" t="str">
        <f>IFERROR(N642*VLOOKUP(G642,FILAMENTI_DB!$A:$J,10,FALSE),"")</f>
        <v/>
      </c>
      <c r="W642" s="23" t="str">
        <f>IFERROR((VLOOKUP(F642,STAMPANTI_DB!$A:$C,3,FALSE)/1000)*O642*SETTINGS!$C$6,"")</f>
        <v/>
      </c>
      <c r="X642" s="23" t="str">
        <f>IFERROR(O642*VLOOKUP(F642,STAMPANTI_DB!$A:$I,9,FALSE),"")</f>
        <v/>
      </c>
      <c r="Y642" s="23">
        <f>IFERROR(P642*SETTINGS!$C$7,"")</f>
        <v>0</v>
      </c>
      <c r="Z642" s="23">
        <f>SETTINGS!$C$11</f>
        <v>0.5</v>
      </c>
      <c r="AA642" s="23">
        <f t="shared" si="61"/>
        <v>0.5</v>
      </c>
      <c r="AB642" s="23">
        <f>IFERROR(AA642*SETTINGS!$C$9,"")</f>
        <v>2.5000000000000001E-2</v>
      </c>
      <c r="AC642" s="23">
        <f>IFERROR((AA642+AB642)*SETTINGS!$C$10,"")</f>
        <v>2.6250000000000002E-2</v>
      </c>
    </row>
    <row r="643" spans="1:29" ht="16" x14ac:dyDescent="0.2">
      <c r="A643" s="25"/>
      <c r="H643" t="str">
        <f>IFERROR(VLOOKUP(G643,FILAMENTI_DB!$A:$C,3,FALSE),"")</f>
        <v/>
      </c>
      <c r="I643" t="str">
        <f>IFERROR(VLOOKUP(G643,FILAMENTI_DB!$A:$E,4,FALSE),"")</f>
        <v/>
      </c>
      <c r="J643" s="26"/>
      <c r="K643" s="27"/>
      <c r="L643" s="27"/>
      <c r="M643" s="27">
        <f t="shared" si="56"/>
        <v>0</v>
      </c>
      <c r="N643" s="26">
        <f t="shared" si="57"/>
        <v>0</v>
      </c>
      <c r="O643" s="26"/>
      <c r="P643" s="26"/>
      <c r="Q643" s="23"/>
      <c r="R643" s="23">
        <f t="shared" si="58"/>
        <v>0</v>
      </c>
      <c r="S643" s="23"/>
      <c r="T643" s="23">
        <f t="shared" si="59"/>
        <v>0</v>
      </c>
      <c r="U643" s="28" t="str">
        <f t="shared" si="60"/>
        <v/>
      </c>
      <c r="V643" s="10" t="str">
        <f>IFERROR(N643*VLOOKUP(G643,FILAMENTI_DB!$A:$J,10,FALSE),"")</f>
        <v/>
      </c>
      <c r="W643" s="23" t="str">
        <f>IFERROR((VLOOKUP(F643,STAMPANTI_DB!$A:$C,3,FALSE)/1000)*O643*SETTINGS!$C$6,"")</f>
        <v/>
      </c>
      <c r="X643" s="23" t="str">
        <f>IFERROR(O643*VLOOKUP(F643,STAMPANTI_DB!$A:$I,9,FALSE),"")</f>
        <v/>
      </c>
      <c r="Y643" s="23">
        <f>IFERROR(P643*SETTINGS!$C$7,"")</f>
        <v>0</v>
      </c>
      <c r="Z643" s="23">
        <f>SETTINGS!$C$11</f>
        <v>0.5</v>
      </c>
      <c r="AA643" s="23">
        <f t="shared" si="61"/>
        <v>0.5</v>
      </c>
      <c r="AB643" s="23">
        <f>IFERROR(AA643*SETTINGS!$C$9,"")</f>
        <v>2.5000000000000001E-2</v>
      </c>
      <c r="AC643" s="23">
        <f>IFERROR((AA643+AB643)*SETTINGS!$C$10,"")</f>
        <v>2.6250000000000002E-2</v>
      </c>
    </row>
    <row r="644" spans="1:29" ht="16" x14ac:dyDescent="0.2">
      <c r="A644" s="25"/>
      <c r="H644" t="str">
        <f>IFERROR(VLOOKUP(G644,FILAMENTI_DB!$A:$C,3,FALSE),"")</f>
        <v/>
      </c>
      <c r="I644" t="str">
        <f>IFERROR(VLOOKUP(G644,FILAMENTI_DB!$A:$E,4,FALSE),"")</f>
        <v/>
      </c>
      <c r="J644" s="26"/>
      <c r="K644" s="27"/>
      <c r="L644" s="27"/>
      <c r="M644" s="27">
        <f t="shared" si="56"/>
        <v>0</v>
      </c>
      <c r="N644" s="26">
        <f t="shared" si="57"/>
        <v>0</v>
      </c>
      <c r="O644" s="26"/>
      <c r="P644" s="26"/>
      <c r="Q644" s="23"/>
      <c r="R644" s="23">
        <f t="shared" si="58"/>
        <v>0</v>
      </c>
      <c r="S644" s="23"/>
      <c r="T644" s="23">
        <f t="shared" si="59"/>
        <v>0</v>
      </c>
      <c r="U644" s="28" t="str">
        <f t="shared" si="60"/>
        <v/>
      </c>
      <c r="V644" s="10" t="str">
        <f>IFERROR(N644*VLOOKUP(G644,FILAMENTI_DB!$A:$J,10,FALSE),"")</f>
        <v/>
      </c>
      <c r="W644" s="23" t="str">
        <f>IFERROR((VLOOKUP(F644,STAMPANTI_DB!$A:$C,3,FALSE)/1000)*O644*SETTINGS!$C$6,"")</f>
        <v/>
      </c>
      <c r="X644" s="23" t="str">
        <f>IFERROR(O644*VLOOKUP(F644,STAMPANTI_DB!$A:$I,9,FALSE),"")</f>
        <v/>
      </c>
      <c r="Y644" s="23">
        <f>IFERROR(P644*SETTINGS!$C$7,"")</f>
        <v>0</v>
      </c>
      <c r="Z644" s="23">
        <f>SETTINGS!$C$11</f>
        <v>0.5</v>
      </c>
      <c r="AA644" s="23">
        <f t="shared" si="61"/>
        <v>0.5</v>
      </c>
      <c r="AB644" s="23">
        <f>IFERROR(AA644*SETTINGS!$C$9,"")</f>
        <v>2.5000000000000001E-2</v>
      </c>
      <c r="AC644" s="23">
        <f>IFERROR((AA644+AB644)*SETTINGS!$C$10,"")</f>
        <v>2.6250000000000002E-2</v>
      </c>
    </row>
    <row r="645" spans="1:29" ht="16" x14ac:dyDescent="0.2">
      <c r="A645" s="25"/>
      <c r="H645" t="str">
        <f>IFERROR(VLOOKUP(G645,FILAMENTI_DB!$A:$C,3,FALSE),"")</f>
        <v/>
      </c>
      <c r="I645" t="str">
        <f>IFERROR(VLOOKUP(G645,FILAMENTI_DB!$A:$E,4,FALSE),"")</f>
        <v/>
      </c>
      <c r="J645" s="26"/>
      <c r="K645" s="27"/>
      <c r="L645" s="27"/>
      <c r="M645" s="27">
        <f t="shared" ref="M645:M708" si="62">IFERROR(K645+L645,"")</f>
        <v>0</v>
      </c>
      <c r="N645" s="26">
        <f t="shared" ref="N645:N708" si="63">IFERROR(J645*M645,"")</f>
        <v>0</v>
      </c>
      <c r="O645" s="26"/>
      <c r="P645" s="26"/>
      <c r="Q645" s="23"/>
      <c r="R645" s="23">
        <f t="shared" ref="R645:R708" si="64">IFERROR(Q645*K645,"")</f>
        <v>0</v>
      </c>
      <c r="S645" s="23"/>
      <c r="T645" s="23">
        <f t="shared" ref="T645:T708" si="65">IFERROR(R645-S645,"")</f>
        <v>0</v>
      </c>
      <c r="U645" s="28" t="str">
        <f t="shared" ref="U645:U708" si="66">IFERROR(T645/R645,"")</f>
        <v/>
      </c>
      <c r="V645" s="10" t="str">
        <f>IFERROR(N645*VLOOKUP(G645,FILAMENTI_DB!$A:$J,10,FALSE),"")</f>
        <v/>
      </c>
      <c r="W645" s="23" t="str">
        <f>IFERROR((VLOOKUP(F645,STAMPANTI_DB!$A:$C,3,FALSE)/1000)*O645*SETTINGS!$C$6,"")</f>
        <v/>
      </c>
      <c r="X645" s="23" t="str">
        <f>IFERROR(O645*VLOOKUP(F645,STAMPANTI_DB!$A:$I,9,FALSE),"")</f>
        <v/>
      </c>
      <c r="Y645" s="23">
        <f>IFERROR(P645*SETTINGS!$C$7,"")</f>
        <v>0</v>
      </c>
      <c r="Z645" s="23">
        <f>SETTINGS!$C$11</f>
        <v>0.5</v>
      </c>
      <c r="AA645" s="23">
        <f t="shared" ref="AA645:AA708" si="67">IFERROR(SUM(V645:Z645),"")</f>
        <v>0.5</v>
      </c>
      <c r="AB645" s="23">
        <f>IFERROR(AA645*SETTINGS!$C$9,"")</f>
        <v>2.5000000000000001E-2</v>
      </c>
      <c r="AC645" s="23">
        <f>IFERROR((AA645+AB645)*SETTINGS!$C$10,"")</f>
        <v>2.6250000000000002E-2</v>
      </c>
    </row>
    <row r="646" spans="1:29" ht="16" x14ac:dyDescent="0.2">
      <c r="A646" s="25"/>
      <c r="H646" t="str">
        <f>IFERROR(VLOOKUP(G646,FILAMENTI_DB!$A:$C,3,FALSE),"")</f>
        <v/>
      </c>
      <c r="I646" t="str">
        <f>IFERROR(VLOOKUP(G646,FILAMENTI_DB!$A:$E,4,FALSE),"")</f>
        <v/>
      </c>
      <c r="J646" s="26"/>
      <c r="K646" s="27"/>
      <c r="L646" s="27"/>
      <c r="M646" s="27">
        <f t="shared" si="62"/>
        <v>0</v>
      </c>
      <c r="N646" s="26">
        <f t="shared" si="63"/>
        <v>0</v>
      </c>
      <c r="O646" s="26"/>
      <c r="P646" s="26"/>
      <c r="Q646" s="23"/>
      <c r="R646" s="23">
        <f t="shared" si="64"/>
        <v>0</v>
      </c>
      <c r="S646" s="23"/>
      <c r="T646" s="23">
        <f t="shared" si="65"/>
        <v>0</v>
      </c>
      <c r="U646" s="28" t="str">
        <f t="shared" si="66"/>
        <v/>
      </c>
      <c r="V646" s="10" t="str">
        <f>IFERROR(N646*VLOOKUP(G646,FILAMENTI_DB!$A:$J,10,FALSE),"")</f>
        <v/>
      </c>
      <c r="W646" s="23" t="str">
        <f>IFERROR((VLOOKUP(F646,STAMPANTI_DB!$A:$C,3,FALSE)/1000)*O646*SETTINGS!$C$6,"")</f>
        <v/>
      </c>
      <c r="X646" s="23" t="str">
        <f>IFERROR(O646*VLOOKUP(F646,STAMPANTI_DB!$A:$I,9,FALSE),"")</f>
        <v/>
      </c>
      <c r="Y646" s="23">
        <f>IFERROR(P646*SETTINGS!$C$7,"")</f>
        <v>0</v>
      </c>
      <c r="Z646" s="23">
        <f>SETTINGS!$C$11</f>
        <v>0.5</v>
      </c>
      <c r="AA646" s="23">
        <f t="shared" si="67"/>
        <v>0.5</v>
      </c>
      <c r="AB646" s="23">
        <f>IFERROR(AA646*SETTINGS!$C$9,"")</f>
        <v>2.5000000000000001E-2</v>
      </c>
      <c r="AC646" s="23">
        <f>IFERROR((AA646+AB646)*SETTINGS!$C$10,"")</f>
        <v>2.6250000000000002E-2</v>
      </c>
    </row>
    <row r="647" spans="1:29" ht="16" x14ac:dyDescent="0.2">
      <c r="A647" s="25"/>
      <c r="H647" t="str">
        <f>IFERROR(VLOOKUP(G647,FILAMENTI_DB!$A:$C,3,FALSE),"")</f>
        <v/>
      </c>
      <c r="I647" t="str">
        <f>IFERROR(VLOOKUP(G647,FILAMENTI_DB!$A:$E,4,FALSE),"")</f>
        <v/>
      </c>
      <c r="J647" s="26"/>
      <c r="K647" s="27"/>
      <c r="L647" s="27"/>
      <c r="M647" s="27">
        <f t="shared" si="62"/>
        <v>0</v>
      </c>
      <c r="N647" s="26">
        <f t="shared" si="63"/>
        <v>0</v>
      </c>
      <c r="O647" s="26"/>
      <c r="P647" s="26"/>
      <c r="Q647" s="23"/>
      <c r="R647" s="23">
        <f t="shared" si="64"/>
        <v>0</v>
      </c>
      <c r="S647" s="23"/>
      <c r="T647" s="23">
        <f t="shared" si="65"/>
        <v>0</v>
      </c>
      <c r="U647" s="28" t="str">
        <f t="shared" si="66"/>
        <v/>
      </c>
      <c r="V647" s="10" t="str">
        <f>IFERROR(N647*VLOOKUP(G647,FILAMENTI_DB!$A:$J,10,FALSE),"")</f>
        <v/>
      </c>
      <c r="W647" s="23" t="str">
        <f>IFERROR((VLOOKUP(F647,STAMPANTI_DB!$A:$C,3,FALSE)/1000)*O647*SETTINGS!$C$6,"")</f>
        <v/>
      </c>
      <c r="X647" s="23" t="str">
        <f>IFERROR(O647*VLOOKUP(F647,STAMPANTI_DB!$A:$I,9,FALSE),"")</f>
        <v/>
      </c>
      <c r="Y647" s="23">
        <f>IFERROR(P647*SETTINGS!$C$7,"")</f>
        <v>0</v>
      </c>
      <c r="Z647" s="23">
        <f>SETTINGS!$C$11</f>
        <v>0.5</v>
      </c>
      <c r="AA647" s="23">
        <f t="shared" si="67"/>
        <v>0.5</v>
      </c>
      <c r="AB647" s="23">
        <f>IFERROR(AA647*SETTINGS!$C$9,"")</f>
        <v>2.5000000000000001E-2</v>
      </c>
      <c r="AC647" s="23">
        <f>IFERROR((AA647+AB647)*SETTINGS!$C$10,"")</f>
        <v>2.6250000000000002E-2</v>
      </c>
    </row>
    <row r="648" spans="1:29" ht="16" x14ac:dyDescent="0.2">
      <c r="A648" s="25"/>
      <c r="H648" t="str">
        <f>IFERROR(VLOOKUP(G648,FILAMENTI_DB!$A:$C,3,FALSE),"")</f>
        <v/>
      </c>
      <c r="I648" t="str">
        <f>IFERROR(VLOOKUP(G648,FILAMENTI_DB!$A:$E,4,FALSE),"")</f>
        <v/>
      </c>
      <c r="J648" s="26"/>
      <c r="K648" s="27"/>
      <c r="L648" s="27"/>
      <c r="M648" s="27">
        <f t="shared" si="62"/>
        <v>0</v>
      </c>
      <c r="N648" s="26">
        <f t="shared" si="63"/>
        <v>0</v>
      </c>
      <c r="O648" s="26"/>
      <c r="P648" s="26"/>
      <c r="Q648" s="23"/>
      <c r="R648" s="23">
        <f t="shared" si="64"/>
        <v>0</v>
      </c>
      <c r="S648" s="23"/>
      <c r="T648" s="23">
        <f t="shared" si="65"/>
        <v>0</v>
      </c>
      <c r="U648" s="28" t="str">
        <f t="shared" si="66"/>
        <v/>
      </c>
      <c r="V648" s="10" t="str">
        <f>IFERROR(N648*VLOOKUP(G648,FILAMENTI_DB!$A:$J,10,FALSE),"")</f>
        <v/>
      </c>
      <c r="W648" s="23" t="str">
        <f>IFERROR((VLOOKUP(F648,STAMPANTI_DB!$A:$C,3,FALSE)/1000)*O648*SETTINGS!$C$6,"")</f>
        <v/>
      </c>
      <c r="X648" s="23" t="str">
        <f>IFERROR(O648*VLOOKUP(F648,STAMPANTI_DB!$A:$I,9,FALSE),"")</f>
        <v/>
      </c>
      <c r="Y648" s="23">
        <f>IFERROR(P648*SETTINGS!$C$7,"")</f>
        <v>0</v>
      </c>
      <c r="Z648" s="23">
        <f>SETTINGS!$C$11</f>
        <v>0.5</v>
      </c>
      <c r="AA648" s="23">
        <f t="shared" si="67"/>
        <v>0.5</v>
      </c>
      <c r="AB648" s="23">
        <f>IFERROR(AA648*SETTINGS!$C$9,"")</f>
        <v>2.5000000000000001E-2</v>
      </c>
      <c r="AC648" s="23">
        <f>IFERROR((AA648+AB648)*SETTINGS!$C$10,"")</f>
        <v>2.6250000000000002E-2</v>
      </c>
    </row>
    <row r="649" spans="1:29" ht="16" x14ac:dyDescent="0.2">
      <c r="A649" s="25"/>
      <c r="H649" t="str">
        <f>IFERROR(VLOOKUP(G649,FILAMENTI_DB!$A:$C,3,FALSE),"")</f>
        <v/>
      </c>
      <c r="I649" t="str">
        <f>IFERROR(VLOOKUP(G649,FILAMENTI_DB!$A:$E,4,FALSE),"")</f>
        <v/>
      </c>
      <c r="J649" s="26"/>
      <c r="K649" s="27"/>
      <c r="L649" s="27"/>
      <c r="M649" s="27">
        <f t="shared" si="62"/>
        <v>0</v>
      </c>
      <c r="N649" s="26">
        <f t="shared" si="63"/>
        <v>0</v>
      </c>
      <c r="O649" s="26"/>
      <c r="P649" s="26"/>
      <c r="Q649" s="23"/>
      <c r="R649" s="23">
        <f t="shared" si="64"/>
        <v>0</v>
      </c>
      <c r="S649" s="23"/>
      <c r="T649" s="23">
        <f t="shared" si="65"/>
        <v>0</v>
      </c>
      <c r="U649" s="28" t="str">
        <f t="shared" si="66"/>
        <v/>
      </c>
      <c r="V649" s="10" t="str">
        <f>IFERROR(N649*VLOOKUP(G649,FILAMENTI_DB!$A:$J,10,FALSE),"")</f>
        <v/>
      </c>
      <c r="W649" s="23" t="str">
        <f>IFERROR((VLOOKUP(F649,STAMPANTI_DB!$A:$C,3,FALSE)/1000)*O649*SETTINGS!$C$6,"")</f>
        <v/>
      </c>
      <c r="X649" s="23" t="str">
        <f>IFERROR(O649*VLOOKUP(F649,STAMPANTI_DB!$A:$I,9,FALSE),"")</f>
        <v/>
      </c>
      <c r="Y649" s="23">
        <f>IFERROR(P649*SETTINGS!$C$7,"")</f>
        <v>0</v>
      </c>
      <c r="Z649" s="23">
        <f>SETTINGS!$C$11</f>
        <v>0.5</v>
      </c>
      <c r="AA649" s="23">
        <f t="shared" si="67"/>
        <v>0.5</v>
      </c>
      <c r="AB649" s="23">
        <f>IFERROR(AA649*SETTINGS!$C$9,"")</f>
        <v>2.5000000000000001E-2</v>
      </c>
      <c r="AC649" s="23">
        <f>IFERROR((AA649+AB649)*SETTINGS!$C$10,"")</f>
        <v>2.6250000000000002E-2</v>
      </c>
    </row>
    <row r="650" spans="1:29" ht="16" x14ac:dyDescent="0.2">
      <c r="A650" s="25"/>
      <c r="H650" t="str">
        <f>IFERROR(VLOOKUP(G650,FILAMENTI_DB!$A:$C,3,FALSE),"")</f>
        <v/>
      </c>
      <c r="I650" t="str">
        <f>IFERROR(VLOOKUP(G650,FILAMENTI_DB!$A:$E,4,FALSE),"")</f>
        <v/>
      </c>
      <c r="J650" s="26"/>
      <c r="K650" s="27"/>
      <c r="L650" s="27"/>
      <c r="M650" s="27">
        <f t="shared" si="62"/>
        <v>0</v>
      </c>
      <c r="N650" s="26">
        <f t="shared" si="63"/>
        <v>0</v>
      </c>
      <c r="O650" s="26"/>
      <c r="P650" s="26"/>
      <c r="Q650" s="23"/>
      <c r="R650" s="23">
        <f t="shared" si="64"/>
        <v>0</v>
      </c>
      <c r="S650" s="23"/>
      <c r="T650" s="23">
        <f t="shared" si="65"/>
        <v>0</v>
      </c>
      <c r="U650" s="28" t="str">
        <f t="shared" si="66"/>
        <v/>
      </c>
      <c r="V650" s="10" t="str">
        <f>IFERROR(N650*VLOOKUP(G650,FILAMENTI_DB!$A:$J,10,FALSE),"")</f>
        <v/>
      </c>
      <c r="W650" s="23" t="str">
        <f>IFERROR((VLOOKUP(F650,STAMPANTI_DB!$A:$C,3,FALSE)/1000)*O650*SETTINGS!$C$6,"")</f>
        <v/>
      </c>
      <c r="X650" s="23" t="str">
        <f>IFERROR(O650*VLOOKUP(F650,STAMPANTI_DB!$A:$I,9,FALSE),"")</f>
        <v/>
      </c>
      <c r="Y650" s="23">
        <f>IFERROR(P650*SETTINGS!$C$7,"")</f>
        <v>0</v>
      </c>
      <c r="Z650" s="23">
        <f>SETTINGS!$C$11</f>
        <v>0.5</v>
      </c>
      <c r="AA650" s="23">
        <f t="shared" si="67"/>
        <v>0.5</v>
      </c>
      <c r="AB650" s="23">
        <f>IFERROR(AA650*SETTINGS!$C$9,"")</f>
        <v>2.5000000000000001E-2</v>
      </c>
      <c r="AC650" s="23">
        <f>IFERROR((AA650+AB650)*SETTINGS!$C$10,"")</f>
        <v>2.6250000000000002E-2</v>
      </c>
    </row>
    <row r="651" spans="1:29" ht="16" x14ac:dyDescent="0.2">
      <c r="A651" s="25"/>
      <c r="H651" t="str">
        <f>IFERROR(VLOOKUP(G651,FILAMENTI_DB!$A:$C,3,FALSE),"")</f>
        <v/>
      </c>
      <c r="I651" t="str">
        <f>IFERROR(VLOOKUP(G651,FILAMENTI_DB!$A:$E,4,FALSE),"")</f>
        <v/>
      </c>
      <c r="J651" s="26"/>
      <c r="K651" s="27"/>
      <c r="L651" s="27"/>
      <c r="M651" s="27">
        <f t="shared" si="62"/>
        <v>0</v>
      </c>
      <c r="N651" s="26">
        <f t="shared" si="63"/>
        <v>0</v>
      </c>
      <c r="O651" s="26"/>
      <c r="P651" s="26"/>
      <c r="Q651" s="23"/>
      <c r="R651" s="23">
        <f t="shared" si="64"/>
        <v>0</v>
      </c>
      <c r="S651" s="23"/>
      <c r="T651" s="23">
        <f t="shared" si="65"/>
        <v>0</v>
      </c>
      <c r="U651" s="28" t="str">
        <f t="shared" si="66"/>
        <v/>
      </c>
      <c r="V651" s="10" t="str">
        <f>IFERROR(N651*VLOOKUP(G651,FILAMENTI_DB!$A:$J,10,FALSE),"")</f>
        <v/>
      </c>
      <c r="W651" s="23" t="str">
        <f>IFERROR((VLOOKUP(F651,STAMPANTI_DB!$A:$C,3,FALSE)/1000)*O651*SETTINGS!$C$6,"")</f>
        <v/>
      </c>
      <c r="X651" s="23" t="str">
        <f>IFERROR(O651*VLOOKUP(F651,STAMPANTI_DB!$A:$I,9,FALSE),"")</f>
        <v/>
      </c>
      <c r="Y651" s="23">
        <f>IFERROR(P651*SETTINGS!$C$7,"")</f>
        <v>0</v>
      </c>
      <c r="Z651" s="23">
        <f>SETTINGS!$C$11</f>
        <v>0.5</v>
      </c>
      <c r="AA651" s="23">
        <f t="shared" si="67"/>
        <v>0.5</v>
      </c>
      <c r="AB651" s="23">
        <f>IFERROR(AA651*SETTINGS!$C$9,"")</f>
        <v>2.5000000000000001E-2</v>
      </c>
      <c r="AC651" s="23">
        <f>IFERROR((AA651+AB651)*SETTINGS!$C$10,"")</f>
        <v>2.6250000000000002E-2</v>
      </c>
    </row>
    <row r="652" spans="1:29" ht="16" x14ac:dyDescent="0.2">
      <c r="A652" s="25"/>
      <c r="H652" t="str">
        <f>IFERROR(VLOOKUP(G652,FILAMENTI_DB!$A:$C,3,FALSE),"")</f>
        <v/>
      </c>
      <c r="I652" t="str">
        <f>IFERROR(VLOOKUP(G652,FILAMENTI_DB!$A:$E,4,FALSE),"")</f>
        <v/>
      </c>
      <c r="J652" s="26"/>
      <c r="K652" s="27"/>
      <c r="L652" s="27"/>
      <c r="M652" s="27">
        <f t="shared" si="62"/>
        <v>0</v>
      </c>
      <c r="N652" s="26">
        <f t="shared" si="63"/>
        <v>0</v>
      </c>
      <c r="O652" s="26"/>
      <c r="P652" s="26"/>
      <c r="Q652" s="23"/>
      <c r="R652" s="23">
        <f t="shared" si="64"/>
        <v>0</v>
      </c>
      <c r="S652" s="23"/>
      <c r="T652" s="23">
        <f t="shared" si="65"/>
        <v>0</v>
      </c>
      <c r="U652" s="28" t="str">
        <f t="shared" si="66"/>
        <v/>
      </c>
      <c r="V652" s="10" t="str">
        <f>IFERROR(N652*VLOOKUP(G652,FILAMENTI_DB!$A:$J,10,FALSE),"")</f>
        <v/>
      </c>
      <c r="W652" s="23" t="str">
        <f>IFERROR((VLOOKUP(F652,STAMPANTI_DB!$A:$C,3,FALSE)/1000)*O652*SETTINGS!$C$6,"")</f>
        <v/>
      </c>
      <c r="X652" s="23" t="str">
        <f>IFERROR(O652*VLOOKUP(F652,STAMPANTI_DB!$A:$I,9,FALSE),"")</f>
        <v/>
      </c>
      <c r="Y652" s="23">
        <f>IFERROR(P652*SETTINGS!$C$7,"")</f>
        <v>0</v>
      </c>
      <c r="Z652" s="23">
        <f>SETTINGS!$C$11</f>
        <v>0.5</v>
      </c>
      <c r="AA652" s="23">
        <f t="shared" si="67"/>
        <v>0.5</v>
      </c>
      <c r="AB652" s="23">
        <f>IFERROR(AA652*SETTINGS!$C$9,"")</f>
        <v>2.5000000000000001E-2</v>
      </c>
      <c r="AC652" s="23">
        <f>IFERROR((AA652+AB652)*SETTINGS!$C$10,"")</f>
        <v>2.6250000000000002E-2</v>
      </c>
    </row>
    <row r="653" spans="1:29" ht="16" x14ac:dyDescent="0.2">
      <c r="A653" s="25"/>
      <c r="H653" t="str">
        <f>IFERROR(VLOOKUP(G653,FILAMENTI_DB!$A:$C,3,FALSE),"")</f>
        <v/>
      </c>
      <c r="I653" t="str">
        <f>IFERROR(VLOOKUP(G653,FILAMENTI_DB!$A:$E,4,FALSE),"")</f>
        <v/>
      </c>
      <c r="J653" s="26"/>
      <c r="K653" s="27"/>
      <c r="L653" s="27"/>
      <c r="M653" s="27">
        <f t="shared" si="62"/>
        <v>0</v>
      </c>
      <c r="N653" s="26">
        <f t="shared" si="63"/>
        <v>0</v>
      </c>
      <c r="O653" s="26"/>
      <c r="P653" s="26"/>
      <c r="Q653" s="23"/>
      <c r="R653" s="23">
        <f t="shared" si="64"/>
        <v>0</v>
      </c>
      <c r="S653" s="23"/>
      <c r="T653" s="23">
        <f t="shared" si="65"/>
        <v>0</v>
      </c>
      <c r="U653" s="28" t="str">
        <f t="shared" si="66"/>
        <v/>
      </c>
      <c r="V653" s="10" t="str">
        <f>IFERROR(N653*VLOOKUP(G653,FILAMENTI_DB!$A:$J,10,FALSE),"")</f>
        <v/>
      </c>
      <c r="W653" s="23" t="str">
        <f>IFERROR((VLOOKUP(F653,STAMPANTI_DB!$A:$C,3,FALSE)/1000)*O653*SETTINGS!$C$6,"")</f>
        <v/>
      </c>
      <c r="X653" s="23" t="str">
        <f>IFERROR(O653*VLOOKUP(F653,STAMPANTI_DB!$A:$I,9,FALSE),"")</f>
        <v/>
      </c>
      <c r="Y653" s="23">
        <f>IFERROR(P653*SETTINGS!$C$7,"")</f>
        <v>0</v>
      </c>
      <c r="Z653" s="23">
        <f>SETTINGS!$C$11</f>
        <v>0.5</v>
      </c>
      <c r="AA653" s="23">
        <f t="shared" si="67"/>
        <v>0.5</v>
      </c>
      <c r="AB653" s="23">
        <f>IFERROR(AA653*SETTINGS!$C$9,"")</f>
        <v>2.5000000000000001E-2</v>
      </c>
      <c r="AC653" s="23">
        <f>IFERROR((AA653+AB653)*SETTINGS!$C$10,"")</f>
        <v>2.6250000000000002E-2</v>
      </c>
    </row>
    <row r="654" spans="1:29" ht="16" x14ac:dyDescent="0.2">
      <c r="A654" s="25"/>
      <c r="H654" t="str">
        <f>IFERROR(VLOOKUP(G654,FILAMENTI_DB!$A:$C,3,FALSE),"")</f>
        <v/>
      </c>
      <c r="I654" t="str">
        <f>IFERROR(VLOOKUP(G654,FILAMENTI_DB!$A:$E,4,FALSE),"")</f>
        <v/>
      </c>
      <c r="J654" s="26"/>
      <c r="K654" s="27"/>
      <c r="L654" s="27"/>
      <c r="M654" s="27">
        <f t="shared" si="62"/>
        <v>0</v>
      </c>
      <c r="N654" s="26">
        <f t="shared" si="63"/>
        <v>0</v>
      </c>
      <c r="O654" s="26"/>
      <c r="P654" s="26"/>
      <c r="Q654" s="23"/>
      <c r="R654" s="23">
        <f t="shared" si="64"/>
        <v>0</v>
      </c>
      <c r="S654" s="23"/>
      <c r="T654" s="23">
        <f t="shared" si="65"/>
        <v>0</v>
      </c>
      <c r="U654" s="28" t="str">
        <f t="shared" si="66"/>
        <v/>
      </c>
      <c r="V654" s="10" t="str">
        <f>IFERROR(N654*VLOOKUP(G654,FILAMENTI_DB!$A:$J,10,FALSE),"")</f>
        <v/>
      </c>
      <c r="W654" s="23" t="str">
        <f>IFERROR((VLOOKUP(F654,STAMPANTI_DB!$A:$C,3,FALSE)/1000)*O654*SETTINGS!$C$6,"")</f>
        <v/>
      </c>
      <c r="X654" s="23" t="str">
        <f>IFERROR(O654*VLOOKUP(F654,STAMPANTI_DB!$A:$I,9,FALSE),"")</f>
        <v/>
      </c>
      <c r="Y654" s="23">
        <f>IFERROR(P654*SETTINGS!$C$7,"")</f>
        <v>0</v>
      </c>
      <c r="Z654" s="23">
        <f>SETTINGS!$C$11</f>
        <v>0.5</v>
      </c>
      <c r="AA654" s="23">
        <f t="shared" si="67"/>
        <v>0.5</v>
      </c>
      <c r="AB654" s="23">
        <f>IFERROR(AA654*SETTINGS!$C$9,"")</f>
        <v>2.5000000000000001E-2</v>
      </c>
      <c r="AC654" s="23">
        <f>IFERROR((AA654+AB654)*SETTINGS!$C$10,"")</f>
        <v>2.6250000000000002E-2</v>
      </c>
    </row>
    <row r="655" spans="1:29" ht="16" x14ac:dyDescent="0.2">
      <c r="A655" s="25"/>
      <c r="H655" t="str">
        <f>IFERROR(VLOOKUP(G655,FILAMENTI_DB!$A:$C,3,FALSE),"")</f>
        <v/>
      </c>
      <c r="I655" t="str">
        <f>IFERROR(VLOOKUP(G655,FILAMENTI_DB!$A:$E,4,FALSE),"")</f>
        <v/>
      </c>
      <c r="J655" s="26"/>
      <c r="K655" s="27"/>
      <c r="L655" s="27"/>
      <c r="M655" s="27">
        <f t="shared" si="62"/>
        <v>0</v>
      </c>
      <c r="N655" s="26">
        <f t="shared" si="63"/>
        <v>0</v>
      </c>
      <c r="O655" s="26"/>
      <c r="P655" s="26"/>
      <c r="Q655" s="23"/>
      <c r="R655" s="23">
        <f t="shared" si="64"/>
        <v>0</v>
      </c>
      <c r="S655" s="23"/>
      <c r="T655" s="23">
        <f t="shared" si="65"/>
        <v>0</v>
      </c>
      <c r="U655" s="28" t="str">
        <f t="shared" si="66"/>
        <v/>
      </c>
      <c r="V655" s="10" t="str">
        <f>IFERROR(N655*VLOOKUP(G655,FILAMENTI_DB!$A:$J,10,FALSE),"")</f>
        <v/>
      </c>
      <c r="W655" s="23" t="str">
        <f>IFERROR((VLOOKUP(F655,STAMPANTI_DB!$A:$C,3,FALSE)/1000)*O655*SETTINGS!$C$6,"")</f>
        <v/>
      </c>
      <c r="X655" s="23" t="str">
        <f>IFERROR(O655*VLOOKUP(F655,STAMPANTI_DB!$A:$I,9,FALSE),"")</f>
        <v/>
      </c>
      <c r="Y655" s="23">
        <f>IFERROR(P655*SETTINGS!$C$7,"")</f>
        <v>0</v>
      </c>
      <c r="Z655" s="23">
        <f>SETTINGS!$C$11</f>
        <v>0.5</v>
      </c>
      <c r="AA655" s="23">
        <f t="shared" si="67"/>
        <v>0.5</v>
      </c>
      <c r="AB655" s="23">
        <f>IFERROR(AA655*SETTINGS!$C$9,"")</f>
        <v>2.5000000000000001E-2</v>
      </c>
      <c r="AC655" s="23">
        <f>IFERROR((AA655+AB655)*SETTINGS!$C$10,"")</f>
        <v>2.6250000000000002E-2</v>
      </c>
    </row>
    <row r="656" spans="1:29" ht="16" x14ac:dyDescent="0.2">
      <c r="A656" s="25"/>
      <c r="H656" t="str">
        <f>IFERROR(VLOOKUP(G656,FILAMENTI_DB!$A:$C,3,FALSE),"")</f>
        <v/>
      </c>
      <c r="I656" t="str">
        <f>IFERROR(VLOOKUP(G656,FILAMENTI_DB!$A:$E,4,FALSE),"")</f>
        <v/>
      </c>
      <c r="J656" s="26"/>
      <c r="K656" s="27"/>
      <c r="L656" s="27"/>
      <c r="M656" s="27">
        <f t="shared" si="62"/>
        <v>0</v>
      </c>
      <c r="N656" s="26">
        <f t="shared" si="63"/>
        <v>0</v>
      </c>
      <c r="O656" s="26"/>
      <c r="P656" s="26"/>
      <c r="Q656" s="23"/>
      <c r="R656" s="23">
        <f t="shared" si="64"/>
        <v>0</v>
      </c>
      <c r="S656" s="23"/>
      <c r="T656" s="23">
        <f t="shared" si="65"/>
        <v>0</v>
      </c>
      <c r="U656" s="28" t="str">
        <f t="shared" si="66"/>
        <v/>
      </c>
      <c r="V656" s="10" t="str">
        <f>IFERROR(N656*VLOOKUP(G656,FILAMENTI_DB!$A:$J,10,FALSE),"")</f>
        <v/>
      </c>
      <c r="W656" s="23" t="str">
        <f>IFERROR((VLOOKUP(F656,STAMPANTI_DB!$A:$C,3,FALSE)/1000)*O656*SETTINGS!$C$6,"")</f>
        <v/>
      </c>
      <c r="X656" s="23" t="str">
        <f>IFERROR(O656*VLOOKUP(F656,STAMPANTI_DB!$A:$I,9,FALSE),"")</f>
        <v/>
      </c>
      <c r="Y656" s="23">
        <f>IFERROR(P656*SETTINGS!$C$7,"")</f>
        <v>0</v>
      </c>
      <c r="Z656" s="23">
        <f>SETTINGS!$C$11</f>
        <v>0.5</v>
      </c>
      <c r="AA656" s="23">
        <f t="shared" si="67"/>
        <v>0.5</v>
      </c>
      <c r="AB656" s="23">
        <f>IFERROR(AA656*SETTINGS!$C$9,"")</f>
        <v>2.5000000000000001E-2</v>
      </c>
      <c r="AC656" s="23">
        <f>IFERROR((AA656+AB656)*SETTINGS!$C$10,"")</f>
        <v>2.6250000000000002E-2</v>
      </c>
    </row>
    <row r="657" spans="1:29" ht="16" x14ac:dyDescent="0.2">
      <c r="A657" s="25"/>
      <c r="H657" t="str">
        <f>IFERROR(VLOOKUP(G657,FILAMENTI_DB!$A:$C,3,FALSE),"")</f>
        <v/>
      </c>
      <c r="I657" t="str">
        <f>IFERROR(VLOOKUP(G657,FILAMENTI_DB!$A:$E,4,FALSE),"")</f>
        <v/>
      </c>
      <c r="J657" s="26"/>
      <c r="K657" s="27"/>
      <c r="L657" s="27"/>
      <c r="M657" s="27">
        <f t="shared" si="62"/>
        <v>0</v>
      </c>
      <c r="N657" s="26">
        <f t="shared" si="63"/>
        <v>0</v>
      </c>
      <c r="O657" s="26"/>
      <c r="P657" s="26"/>
      <c r="Q657" s="23"/>
      <c r="R657" s="23">
        <f t="shared" si="64"/>
        <v>0</v>
      </c>
      <c r="S657" s="23"/>
      <c r="T657" s="23">
        <f t="shared" si="65"/>
        <v>0</v>
      </c>
      <c r="U657" s="28" t="str">
        <f t="shared" si="66"/>
        <v/>
      </c>
      <c r="V657" s="10" t="str">
        <f>IFERROR(N657*VLOOKUP(G657,FILAMENTI_DB!$A:$J,10,FALSE),"")</f>
        <v/>
      </c>
      <c r="W657" s="23" t="str">
        <f>IFERROR((VLOOKUP(F657,STAMPANTI_DB!$A:$C,3,FALSE)/1000)*O657*SETTINGS!$C$6,"")</f>
        <v/>
      </c>
      <c r="X657" s="23" t="str">
        <f>IFERROR(O657*VLOOKUP(F657,STAMPANTI_DB!$A:$I,9,FALSE),"")</f>
        <v/>
      </c>
      <c r="Y657" s="23">
        <f>IFERROR(P657*SETTINGS!$C$7,"")</f>
        <v>0</v>
      </c>
      <c r="Z657" s="23">
        <f>SETTINGS!$C$11</f>
        <v>0.5</v>
      </c>
      <c r="AA657" s="23">
        <f t="shared" si="67"/>
        <v>0.5</v>
      </c>
      <c r="AB657" s="23">
        <f>IFERROR(AA657*SETTINGS!$C$9,"")</f>
        <v>2.5000000000000001E-2</v>
      </c>
      <c r="AC657" s="23">
        <f>IFERROR((AA657+AB657)*SETTINGS!$C$10,"")</f>
        <v>2.6250000000000002E-2</v>
      </c>
    </row>
    <row r="658" spans="1:29" ht="16" x14ac:dyDescent="0.2">
      <c r="A658" s="25"/>
      <c r="H658" t="str">
        <f>IFERROR(VLOOKUP(G658,FILAMENTI_DB!$A:$C,3,FALSE),"")</f>
        <v/>
      </c>
      <c r="I658" t="str">
        <f>IFERROR(VLOOKUP(G658,FILAMENTI_DB!$A:$E,4,FALSE),"")</f>
        <v/>
      </c>
      <c r="J658" s="26"/>
      <c r="K658" s="27"/>
      <c r="L658" s="27"/>
      <c r="M658" s="27">
        <f t="shared" si="62"/>
        <v>0</v>
      </c>
      <c r="N658" s="26">
        <f t="shared" si="63"/>
        <v>0</v>
      </c>
      <c r="O658" s="26"/>
      <c r="P658" s="26"/>
      <c r="Q658" s="23"/>
      <c r="R658" s="23">
        <f t="shared" si="64"/>
        <v>0</v>
      </c>
      <c r="S658" s="23"/>
      <c r="T658" s="23">
        <f t="shared" si="65"/>
        <v>0</v>
      </c>
      <c r="U658" s="28" t="str">
        <f t="shared" si="66"/>
        <v/>
      </c>
      <c r="V658" s="10" t="str">
        <f>IFERROR(N658*VLOOKUP(G658,FILAMENTI_DB!$A:$J,10,FALSE),"")</f>
        <v/>
      </c>
      <c r="W658" s="23" t="str">
        <f>IFERROR((VLOOKUP(F658,STAMPANTI_DB!$A:$C,3,FALSE)/1000)*O658*SETTINGS!$C$6,"")</f>
        <v/>
      </c>
      <c r="X658" s="23" t="str">
        <f>IFERROR(O658*VLOOKUP(F658,STAMPANTI_DB!$A:$I,9,FALSE),"")</f>
        <v/>
      </c>
      <c r="Y658" s="23">
        <f>IFERROR(P658*SETTINGS!$C$7,"")</f>
        <v>0</v>
      </c>
      <c r="Z658" s="23">
        <f>SETTINGS!$C$11</f>
        <v>0.5</v>
      </c>
      <c r="AA658" s="23">
        <f t="shared" si="67"/>
        <v>0.5</v>
      </c>
      <c r="AB658" s="23">
        <f>IFERROR(AA658*SETTINGS!$C$9,"")</f>
        <v>2.5000000000000001E-2</v>
      </c>
      <c r="AC658" s="23">
        <f>IFERROR((AA658+AB658)*SETTINGS!$C$10,"")</f>
        <v>2.6250000000000002E-2</v>
      </c>
    </row>
    <row r="659" spans="1:29" ht="16" x14ac:dyDescent="0.2">
      <c r="A659" s="25"/>
      <c r="H659" t="str">
        <f>IFERROR(VLOOKUP(G659,FILAMENTI_DB!$A:$C,3,FALSE),"")</f>
        <v/>
      </c>
      <c r="I659" t="str">
        <f>IFERROR(VLOOKUP(G659,FILAMENTI_DB!$A:$E,4,FALSE),"")</f>
        <v/>
      </c>
      <c r="J659" s="26"/>
      <c r="K659" s="27"/>
      <c r="L659" s="27"/>
      <c r="M659" s="27">
        <f t="shared" si="62"/>
        <v>0</v>
      </c>
      <c r="N659" s="26">
        <f t="shared" si="63"/>
        <v>0</v>
      </c>
      <c r="O659" s="26"/>
      <c r="P659" s="26"/>
      <c r="Q659" s="23"/>
      <c r="R659" s="23">
        <f t="shared" si="64"/>
        <v>0</v>
      </c>
      <c r="S659" s="23"/>
      <c r="T659" s="23">
        <f t="shared" si="65"/>
        <v>0</v>
      </c>
      <c r="U659" s="28" t="str">
        <f t="shared" si="66"/>
        <v/>
      </c>
      <c r="V659" s="10" t="str">
        <f>IFERROR(N659*VLOOKUP(G659,FILAMENTI_DB!$A:$J,10,FALSE),"")</f>
        <v/>
      </c>
      <c r="W659" s="23" t="str">
        <f>IFERROR((VLOOKUP(F659,STAMPANTI_DB!$A:$C,3,FALSE)/1000)*O659*SETTINGS!$C$6,"")</f>
        <v/>
      </c>
      <c r="X659" s="23" t="str">
        <f>IFERROR(O659*VLOOKUP(F659,STAMPANTI_DB!$A:$I,9,FALSE),"")</f>
        <v/>
      </c>
      <c r="Y659" s="23">
        <f>IFERROR(P659*SETTINGS!$C$7,"")</f>
        <v>0</v>
      </c>
      <c r="Z659" s="23">
        <f>SETTINGS!$C$11</f>
        <v>0.5</v>
      </c>
      <c r="AA659" s="23">
        <f t="shared" si="67"/>
        <v>0.5</v>
      </c>
      <c r="AB659" s="23">
        <f>IFERROR(AA659*SETTINGS!$C$9,"")</f>
        <v>2.5000000000000001E-2</v>
      </c>
      <c r="AC659" s="23">
        <f>IFERROR((AA659+AB659)*SETTINGS!$C$10,"")</f>
        <v>2.6250000000000002E-2</v>
      </c>
    </row>
    <row r="660" spans="1:29" ht="16" x14ac:dyDescent="0.2">
      <c r="A660" s="25"/>
      <c r="H660" t="str">
        <f>IFERROR(VLOOKUP(G660,FILAMENTI_DB!$A:$C,3,FALSE),"")</f>
        <v/>
      </c>
      <c r="I660" t="str">
        <f>IFERROR(VLOOKUP(G660,FILAMENTI_DB!$A:$E,4,FALSE),"")</f>
        <v/>
      </c>
      <c r="J660" s="26"/>
      <c r="K660" s="27"/>
      <c r="L660" s="27"/>
      <c r="M660" s="27">
        <f t="shared" si="62"/>
        <v>0</v>
      </c>
      <c r="N660" s="26">
        <f t="shared" si="63"/>
        <v>0</v>
      </c>
      <c r="O660" s="26"/>
      <c r="P660" s="26"/>
      <c r="Q660" s="23"/>
      <c r="R660" s="23">
        <f t="shared" si="64"/>
        <v>0</v>
      </c>
      <c r="S660" s="23"/>
      <c r="T660" s="23">
        <f t="shared" si="65"/>
        <v>0</v>
      </c>
      <c r="U660" s="28" t="str">
        <f t="shared" si="66"/>
        <v/>
      </c>
      <c r="V660" s="10" t="str">
        <f>IFERROR(N660*VLOOKUP(G660,FILAMENTI_DB!$A:$J,10,FALSE),"")</f>
        <v/>
      </c>
      <c r="W660" s="23" t="str">
        <f>IFERROR((VLOOKUP(F660,STAMPANTI_DB!$A:$C,3,FALSE)/1000)*O660*SETTINGS!$C$6,"")</f>
        <v/>
      </c>
      <c r="X660" s="23" t="str">
        <f>IFERROR(O660*VLOOKUP(F660,STAMPANTI_DB!$A:$I,9,FALSE),"")</f>
        <v/>
      </c>
      <c r="Y660" s="23">
        <f>IFERROR(P660*SETTINGS!$C$7,"")</f>
        <v>0</v>
      </c>
      <c r="Z660" s="23">
        <f>SETTINGS!$C$11</f>
        <v>0.5</v>
      </c>
      <c r="AA660" s="23">
        <f t="shared" si="67"/>
        <v>0.5</v>
      </c>
      <c r="AB660" s="23">
        <f>IFERROR(AA660*SETTINGS!$C$9,"")</f>
        <v>2.5000000000000001E-2</v>
      </c>
      <c r="AC660" s="23">
        <f>IFERROR((AA660+AB660)*SETTINGS!$C$10,"")</f>
        <v>2.6250000000000002E-2</v>
      </c>
    </row>
    <row r="661" spans="1:29" ht="16" x14ac:dyDescent="0.2">
      <c r="A661" s="25"/>
      <c r="H661" t="str">
        <f>IFERROR(VLOOKUP(G661,FILAMENTI_DB!$A:$C,3,FALSE),"")</f>
        <v/>
      </c>
      <c r="I661" t="str">
        <f>IFERROR(VLOOKUP(G661,FILAMENTI_DB!$A:$E,4,FALSE),"")</f>
        <v/>
      </c>
      <c r="J661" s="26"/>
      <c r="K661" s="27"/>
      <c r="L661" s="27"/>
      <c r="M661" s="27">
        <f t="shared" si="62"/>
        <v>0</v>
      </c>
      <c r="N661" s="26">
        <f t="shared" si="63"/>
        <v>0</v>
      </c>
      <c r="O661" s="26"/>
      <c r="P661" s="26"/>
      <c r="Q661" s="23"/>
      <c r="R661" s="23">
        <f t="shared" si="64"/>
        <v>0</v>
      </c>
      <c r="S661" s="23"/>
      <c r="T661" s="23">
        <f t="shared" si="65"/>
        <v>0</v>
      </c>
      <c r="U661" s="28" t="str">
        <f t="shared" si="66"/>
        <v/>
      </c>
      <c r="V661" s="10" t="str">
        <f>IFERROR(N661*VLOOKUP(G661,FILAMENTI_DB!$A:$J,10,FALSE),"")</f>
        <v/>
      </c>
      <c r="W661" s="23" t="str">
        <f>IFERROR((VLOOKUP(F661,STAMPANTI_DB!$A:$C,3,FALSE)/1000)*O661*SETTINGS!$C$6,"")</f>
        <v/>
      </c>
      <c r="X661" s="23" t="str">
        <f>IFERROR(O661*VLOOKUP(F661,STAMPANTI_DB!$A:$I,9,FALSE),"")</f>
        <v/>
      </c>
      <c r="Y661" s="23">
        <f>IFERROR(P661*SETTINGS!$C$7,"")</f>
        <v>0</v>
      </c>
      <c r="Z661" s="23">
        <f>SETTINGS!$C$11</f>
        <v>0.5</v>
      </c>
      <c r="AA661" s="23">
        <f t="shared" si="67"/>
        <v>0.5</v>
      </c>
      <c r="AB661" s="23">
        <f>IFERROR(AA661*SETTINGS!$C$9,"")</f>
        <v>2.5000000000000001E-2</v>
      </c>
      <c r="AC661" s="23">
        <f>IFERROR((AA661+AB661)*SETTINGS!$C$10,"")</f>
        <v>2.6250000000000002E-2</v>
      </c>
    </row>
    <row r="662" spans="1:29" ht="16" x14ac:dyDescent="0.2">
      <c r="A662" s="25"/>
      <c r="H662" t="str">
        <f>IFERROR(VLOOKUP(G662,FILAMENTI_DB!$A:$C,3,FALSE),"")</f>
        <v/>
      </c>
      <c r="I662" t="str">
        <f>IFERROR(VLOOKUP(G662,FILAMENTI_DB!$A:$E,4,FALSE),"")</f>
        <v/>
      </c>
      <c r="J662" s="26"/>
      <c r="K662" s="27"/>
      <c r="L662" s="27"/>
      <c r="M662" s="27">
        <f t="shared" si="62"/>
        <v>0</v>
      </c>
      <c r="N662" s="26">
        <f t="shared" si="63"/>
        <v>0</v>
      </c>
      <c r="O662" s="26"/>
      <c r="P662" s="26"/>
      <c r="Q662" s="23"/>
      <c r="R662" s="23">
        <f t="shared" si="64"/>
        <v>0</v>
      </c>
      <c r="S662" s="23"/>
      <c r="T662" s="23">
        <f t="shared" si="65"/>
        <v>0</v>
      </c>
      <c r="U662" s="28" t="str">
        <f t="shared" si="66"/>
        <v/>
      </c>
      <c r="V662" s="10" t="str">
        <f>IFERROR(N662*VLOOKUP(G662,FILAMENTI_DB!$A:$J,10,FALSE),"")</f>
        <v/>
      </c>
      <c r="W662" s="23" t="str">
        <f>IFERROR((VLOOKUP(F662,STAMPANTI_DB!$A:$C,3,FALSE)/1000)*O662*SETTINGS!$C$6,"")</f>
        <v/>
      </c>
      <c r="X662" s="23" t="str">
        <f>IFERROR(O662*VLOOKUP(F662,STAMPANTI_DB!$A:$I,9,FALSE),"")</f>
        <v/>
      </c>
      <c r="Y662" s="23">
        <f>IFERROR(P662*SETTINGS!$C$7,"")</f>
        <v>0</v>
      </c>
      <c r="Z662" s="23">
        <f>SETTINGS!$C$11</f>
        <v>0.5</v>
      </c>
      <c r="AA662" s="23">
        <f t="shared" si="67"/>
        <v>0.5</v>
      </c>
      <c r="AB662" s="23">
        <f>IFERROR(AA662*SETTINGS!$C$9,"")</f>
        <v>2.5000000000000001E-2</v>
      </c>
      <c r="AC662" s="23">
        <f>IFERROR((AA662+AB662)*SETTINGS!$C$10,"")</f>
        <v>2.6250000000000002E-2</v>
      </c>
    </row>
    <row r="663" spans="1:29" ht="16" x14ac:dyDescent="0.2">
      <c r="A663" s="25"/>
      <c r="H663" t="str">
        <f>IFERROR(VLOOKUP(G663,FILAMENTI_DB!$A:$C,3,FALSE),"")</f>
        <v/>
      </c>
      <c r="I663" t="str">
        <f>IFERROR(VLOOKUP(G663,FILAMENTI_DB!$A:$E,4,FALSE),"")</f>
        <v/>
      </c>
      <c r="J663" s="26"/>
      <c r="K663" s="27"/>
      <c r="L663" s="27"/>
      <c r="M663" s="27">
        <f t="shared" si="62"/>
        <v>0</v>
      </c>
      <c r="N663" s="26">
        <f t="shared" si="63"/>
        <v>0</v>
      </c>
      <c r="O663" s="26"/>
      <c r="P663" s="26"/>
      <c r="Q663" s="23"/>
      <c r="R663" s="23">
        <f t="shared" si="64"/>
        <v>0</v>
      </c>
      <c r="S663" s="23"/>
      <c r="T663" s="23">
        <f t="shared" si="65"/>
        <v>0</v>
      </c>
      <c r="U663" s="28" t="str">
        <f t="shared" si="66"/>
        <v/>
      </c>
      <c r="V663" s="10" t="str">
        <f>IFERROR(N663*VLOOKUP(G663,FILAMENTI_DB!$A:$J,10,FALSE),"")</f>
        <v/>
      </c>
      <c r="W663" s="23" t="str">
        <f>IFERROR((VLOOKUP(F663,STAMPANTI_DB!$A:$C,3,FALSE)/1000)*O663*SETTINGS!$C$6,"")</f>
        <v/>
      </c>
      <c r="X663" s="23" t="str">
        <f>IFERROR(O663*VLOOKUP(F663,STAMPANTI_DB!$A:$I,9,FALSE),"")</f>
        <v/>
      </c>
      <c r="Y663" s="23">
        <f>IFERROR(P663*SETTINGS!$C$7,"")</f>
        <v>0</v>
      </c>
      <c r="Z663" s="23">
        <f>SETTINGS!$C$11</f>
        <v>0.5</v>
      </c>
      <c r="AA663" s="23">
        <f t="shared" si="67"/>
        <v>0.5</v>
      </c>
      <c r="AB663" s="23">
        <f>IFERROR(AA663*SETTINGS!$C$9,"")</f>
        <v>2.5000000000000001E-2</v>
      </c>
      <c r="AC663" s="23">
        <f>IFERROR((AA663+AB663)*SETTINGS!$C$10,"")</f>
        <v>2.6250000000000002E-2</v>
      </c>
    </row>
    <row r="664" spans="1:29" ht="16" x14ac:dyDescent="0.2">
      <c r="A664" s="25"/>
      <c r="H664" t="str">
        <f>IFERROR(VLOOKUP(G664,FILAMENTI_DB!$A:$C,3,FALSE),"")</f>
        <v/>
      </c>
      <c r="I664" t="str">
        <f>IFERROR(VLOOKUP(G664,FILAMENTI_DB!$A:$E,4,FALSE),"")</f>
        <v/>
      </c>
      <c r="J664" s="26"/>
      <c r="K664" s="27"/>
      <c r="L664" s="27"/>
      <c r="M664" s="27">
        <f t="shared" si="62"/>
        <v>0</v>
      </c>
      <c r="N664" s="26">
        <f t="shared" si="63"/>
        <v>0</v>
      </c>
      <c r="O664" s="26"/>
      <c r="P664" s="26"/>
      <c r="Q664" s="23"/>
      <c r="R664" s="23">
        <f t="shared" si="64"/>
        <v>0</v>
      </c>
      <c r="S664" s="23"/>
      <c r="T664" s="23">
        <f t="shared" si="65"/>
        <v>0</v>
      </c>
      <c r="U664" s="28" t="str">
        <f t="shared" si="66"/>
        <v/>
      </c>
      <c r="V664" s="10" t="str">
        <f>IFERROR(N664*VLOOKUP(G664,FILAMENTI_DB!$A:$J,10,FALSE),"")</f>
        <v/>
      </c>
      <c r="W664" s="23" t="str">
        <f>IFERROR((VLOOKUP(F664,STAMPANTI_DB!$A:$C,3,FALSE)/1000)*O664*SETTINGS!$C$6,"")</f>
        <v/>
      </c>
      <c r="X664" s="23" t="str">
        <f>IFERROR(O664*VLOOKUP(F664,STAMPANTI_DB!$A:$I,9,FALSE),"")</f>
        <v/>
      </c>
      <c r="Y664" s="23">
        <f>IFERROR(P664*SETTINGS!$C$7,"")</f>
        <v>0</v>
      </c>
      <c r="Z664" s="23">
        <f>SETTINGS!$C$11</f>
        <v>0.5</v>
      </c>
      <c r="AA664" s="23">
        <f t="shared" si="67"/>
        <v>0.5</v>
      </c>
      <c r="AB664" s="23">
        <f>IFERROR(AA664*SETTINGS!$C$9,"")</f>
        <v>2.5000000000000001E-2</v>
      </c>
      <c r="AC664" s="23">
        <f>IFERROR((AA664+AB664)*SETTINGS!$C$10,"")</f>
        <v>2.6250000000000002E-2</v>
      </c>
    </row>
    <row r="665" spans="1:29" ht="16" x14ac:dyDescent="0.2">
      <c r="A665" s="25"/>
      <c r="H665" t="str">
        <f>IFERROR(VLOOKUP(G665,FILAMENTI_DB!$A:$C,3,FALSE),"")</f>
        <v/>
      </c>
      <c r="I665" t="str">
        <f>IFERROR(VLOOKUP(G665,FILAMENTI_DB!$A:$E,4,FALSE),"")</f>
        <v/>
      </c>
      <c r="J665" s="26"/>
      <c r="K665" s="27"/>
      <c r="L665" s="27"/>
      <c r="M665" s="27">
        <f t="shared" si="62"/>
        <v>0</v>
      </c>
      <c r="N665" s="26">
        <f t="shared" si="63"/>
        <v>0</v>
      </c>
      <c r="O665" s="26"/>
      <c r="P665" s="26"/>
      <c r="Q665" s="23"/>
      <c r="R665" s="23">
        <f t="shared" si="64"/>
        <v>0</v>
      </c>
      <c r="S665" s="23"/>
      <c r="T665" s="23">
        <f t="shared" si="65"/>
        <v>0</v>
      </c>
      <c r="U665" s="28" t="str">
        <f t="shared" si="66"/>
        <v/>
      </c>
      <c r="V665" s="10" t="str">
        <f>IFERROR(N665*VLOOKUP(G665,FILAMENTI_DB!$A:$J,10,FALSE),"")</f>
        <v/>
      </c>
      <c r="W665" s="23" t="str">
        <f>IFERROR((VLOOKUP(F665,STAMPANTI_DB!$A:$C,3,FALSE)/1000)*O665*SETTINGS!$C$6,"")</f>
        <v/>
      </c>
      <c r="X665" s="23" t="str">
        <f>IFERROR(O665*VLOOKUP(F665,STAMPANTI_DB!$A:$I,9,FALSE),"")</f>
        <v/>
      </c>
      <c r="Y665" s="23">
        <f>IFERROR(P665*SETTINGS!$C$7,"")</f>
        <v>0</v>
      </c>
      <c r="Z665" s="23">
        <f>SETTINGS!$C$11</f>
        <v>0.5</v>
      </c>
      <c r="AA665" s="23">
        <f t="shared" si="67"/>
        <v>0.5</v>
      </c>
      <c r="AB665" s="23">
        <f>IFERROR(AA665*SETTINGS!$C$9,"")</f>
        <v>2.5000000000000001E-2</v>
      </c>
      <c r="AC665" s="23">
        <f>IFERROR((AA665+AB665)*SETTINGS!$C$10,"")</f>
        <v>2.6250000000000002E-2</v>
      </c>
    </row>
    <row r="666" spans="1:29" ht="16" x14ac:dyDescent="0.2">
      <c r="A666" s="25"/>
      <c r="H666" t="str">
        <f>IFERROR(VLOOKUP(G666,FILAMENTI_DB!$A:$C,3,FALSE),"")</f>
        <v/>
      </c>
      <c r="I666" t="str">
        <f>IFERROR(VLOOKUP(G666,FILAMENTI_DB!$A:$E,4,FALSE),"")</f>
        <v/>
      </c>
      <c r="J666" s="26"/>
      <c r="K666" s="27"/>
      <c r="L666" s="27"/>
      <c r="M666" s="27">
        <f t="shared" si="62"/>
        <v>0</v>
      </c>
      <c r="N666" s="26">
        <f t="shared" si="63"/>
        <v>0</v>
      </c>
      <c r="O666" s="26"/>
      <c r="P666" s="26"/>
      <c r="Q666" s="23"/>
      <c r="R666" s="23">
        <f t="shared" si="64"/>
        <v>0</v>
      </c>
      <c r="S666" s="23"/>
      <c r="T666" s="23">
        <f t="shared" si="65"/>
        <v>0</v>
      </c>
      <c r="U666" s="28" t="str">
        <f t="shared" si="66"/>
        <v/>
      </c>
      <c r="V666" s="10" t="str">
        <f>IFERROR(N666*VLOOKUP(G666,FILAMENTI_DB!$A:$J,10,FALSE),"")</f>
        <v/>
      </c>
      <c r="W666" s="23" t="str">
        <f>IFERROR((VLOOKUP(F666,STAMPANTI_DB!$A:$C,3,FALSE)/1000)*O666*SETTINGS!$C$6,"")</f>
        <v/>
      </c>
      <c r="X666" s="23" t="str">
        <f>IFERROR(O666*VLOOKUP(F666,STAMPANTI_DB!$A:$I,9,FALSE),"")</f>
        <v/>
      </c>
      <c r="Y666" s="23">
        <f>IFERROR(P666*SETTINGS!$C$7,"")</f>
        <v>0</v>
      </c>
      <c r="Z666" s="23">
        <f>SETTINGS!$C$11</f>
        <v>0.5</v>
      </c>
      <c r="AA666" s="23">
        <f t="shared" si="67"/>
        <v>0.5</v>
      </c>
      <c r="AB666" s="23">
        <f>IFERROR(AA666*SETTINGS!$C$9,"")</f>
        <v>2.5000000000000001E-2</v>
      </c>
      <c r="AC666" s="23">
        <f>IFERROR((AA666+AB666)*SETTINGS!$C$10,"")</f>
        <v>2.6250000000000002E-2</v>
      </c>
    </row>
    <row r="667" spans="1:29" ht="16" x14ac:dyDescent="0.2">
      <c r="A667" s="25"/>
      <c r="H667" t="str">
        <f>IFERROR(VLOOKUP(G667,FILAMENTI_DB!$A:$C,3,FALSE),"")</f>
        <v/>
      </c>
      <c r="I667" t="str">
        <f>IFERROR(VLOOKUP(G667,FILAMENTI_DB!$A:$E,4,FALSE),"")</f>
        <v/>
      </c>
      <c r="J667" s="26"/>
      <c r="K667" s="27"/>
      <c r="L667" s="27"/>
      <c r="M667" s="27">
        <f t="shared" si="62"/>
        <v>0</v>
      </c>
      <c r="N667" s="26">
        <f t="shared" si="63"/>
        <v>0</v>
      </c>
      <c r="O667" s="26"/>
      <c r="P667" s="26"/>
      <c r="Q667" s="23"/>
      <c r="R667" s="23">
        <f t="shared" si="64"/>
        <v>0</v>
      </c>
      <c r="S667" s="23"/>
      <c r="T667" s="23">
        <f t="shared" si="65"/>
        <v>0</v>
      </c>
      <c r="U667" s="28" t="str">
        <f t="shared" si="66"/>
        <v/>
      </c>
      <c r="V667" s="10" t="str">
        <f>IFERROR(N667*VLOOKUP(G667,FILAMENTI_DB!$A:$J,10,FALSE),"")</f>
        <v/>
      </c>
      <c r="W667" s="23" t="str">
        <f>IFERROR((VLOOKUP(F667,STAMPANTI_DB!$A:$C,3,FALSE)/1000)*O667*SETTINGS!$C$6,"")</f>
        <v/>
      </c>
      <c r="X667" s="23" t="str">
        <f>IFERROR(O667*VLOOKUP(F667,STAMPANTI_DB!$A:$I,9,FALSE),"")</f>
        <v/>
      </c>
      <c r="Y667" s="23">
        <f>IFERROR(P667*SETTINGS!$C$7,"")</f>
        <v>0</v>
      </c>
      <c r="Z667" s="23">
        <f>SETTINGS!$C$11</f>
        <v>0.5</v>
      </c>
      <c r="AA667" s="23">
        <f t="shared" si="67"/>
        <v>0.5</v>
      </c>
      <c r="AB667" s="23">
        <f>IFERROR(AA667*SETTINGS!$C$9,"")</f>
        <v>2.5000000000000001E-2</v>
      </c>
      <c r="AC667" s="23">
        <f>IFERROR((AA667+AB667)*SETTINGS!$C$10,"")</f>
        <v>2.6250000000000002E-2</v>
      </c>
    </row>
    <row r="668" spans="1:29" ht="16" x14ac:dyDescent="0.2">
      <c r="A668" s="25"/>
      <c r="H668" t="str">
        <f>IFERROR(VLOOKUP(G668,FILAMENTI_DB!$A:$C,3,FALSE),"")</f>
        <v/>
      </c>
      <c r="I668" t="str">
        <f>IFERROR(VLOOKUP(G668,FILAMENTI_DB!$A:$E,4,FALSE),"")</f>
        <v/>
      </c>
      <c r="J668" s="26"/>
      <c r="K668" s="27"/>
      <c r="L668" s="27"/>
      <c r="M668" s="27">
        <f t="shared" si="62"/>
        <v>0</v>
      </c>
      <c r="N668" s="26">
        <f t="shared" si="63"/>
        <v>0</v>
      </c>
      <c r="O668" s="26"/>
      <c r="P668" s="26"/>
      <c r="Q668" s="23"/>
      <c r="R668" s="23">
        <f t="shared" si="64"/>
        <v>0</v>
      </c>
      <c r="S668" s="23"/>
      <c r="T668" s="23">
        <f t="shared" si="65"/>
        <v>0</v>
      </c>
      <c r="U668" s="28" t="str">
        <f t="shared" si="66"/>
        <v/>
      </c>
      <c r="V668" s="10" t="str">
        <f>IFERROR(N668*VLOOKUP(G668,FILAMENTI_DB!$A:$J,10,FALSE),"")</f>
        <v/>
      </c>
      <c r="W668" s="23" t="str">
        <f>IFERROR((VLOOKUP(F668,STAMPANTI_DB!$A:$C,3,FALSE)/1000)*O668*SETTINGS!$C$6,"")</f>
        <v/>
      </c>
      <c r="X668" s="23" t="str">
        <f>IFERROR(O668*VLOOKUP(F668,STAMPANTI_DB!$A:$I,9,FALSE),"")</f>
        <v/>
      </c>
      <c r="Y668" s="23">
        <f>IFERROR(P668*SETTINGS!$C$7,"")</f>
        <v>0</v>
      </c>
      <c r="Z668" s="23">
        <f>SETTINGS!$C$11</f>
        <v>0.5</v>
      </c>
      <c r="AA668" s="23">
        <f t="shared" si="67"/>
        <v>0.5</v>
      </c>
      <c r="AB668" s="23">
        <f>IFERROR(AA668*SETTINGS!$C$9,"")</f>
        <v>2.5000000000000001E-2</v>
      </c>
      <c r="AC668" s="23">
        <f>IFERROR((AA668+AB668)*SETTINGS!$C$10,"")</f>
        <v>2.6250000000000002E-2</v>
      </c>
    </row>
    <row r="669" spans="1:29" ht="16" x14ac:dyDescent="0.2">
      <c r="A669" s="25"/>
      <c r="H669" t="str">
        <f>IFERROR(VLOOKUP(G669,FILAMENTI_DB!$A:$C,3,FALSE),"")</f>
        <v/>
      </c>
      <c r="I669" t="str">
        <f>IFERROR(VLOOKUP(G669,FILAMENTI_DB!$A:$E,4,FALSE),"")</f>
        <v/>
      </c>
      <c r="J669" s="26"/>
      <c r="K669" s="27"/>
      <c r="L669" s="27"/>
      <c r="M669" s="27">
        <f t="shared" si="62"/>
        <v>0</v>
      </c>
      <c r="N669" s="26">
        <f t="shared" si="63"/>
        <v>0</v>
      </c>
      <c r="O669" s="26"/>
      <c r="P669" s="26"/>
      <c r="Q669" s="23"/>
      <c r="R669" s="23">
        <f t="shared" si="64"/>
        <v>0</v>
      </c>
      <c r="S669" s="23"/>
      <c r="T669" s="23">
        <f t="shared" si="65"/>
        <v>0</v>
      </c>
      <c r="U669" s="28" t="str">
        <f t="shared" si="66"/>
        <v/>
      </c>
      <c r="V669" s="10" t="str">
        <f>IFERROR(N669*VLOOKUP(G669,FILAMENTI_DB!$A:$J,10,FALSE),"")</f>
        <v/>
      </c>
      <c r="W669" s="23" t="str">
        <f>IFERROR((VLOOKUP(F669,STAMPANTI_DB!$A:$C,3,FALSE)/1000)*O669*SETTINGS!$C$6,"")</f>
        <v/>
      </c>
      <c r="X669" s="23" t="str">
        <f>IFERROR(O669*VLOOKUP(F669,STAMPANTI_DB!$A:$I,9,FALSE),"")</f>
        <v/>
      </c>
      <c r="Y669" s="23">
        <f>IFERROR(P669*SETTINGS!$C$7,"")</f>
        <v>0</v>
      </c>
      <c r="Z669" s="23">
        <f>SETTINGS!$C$11</f>
        <v>0.5</v>
      </c>
      <c r="AA669" s="23">
        <f t="shared" si="67"/>
        <v>0.5</v>
      </c>
      <c r="AB669" s="23">
        <f>IFERROR(AA669*SETTINGS!$C$9,"")</f>
        <v>2.5000000000000001E-2</v>
      </c>
      <c r="AC669" s="23">
        <f>IFERROR((AA669+AB669)*SETTINGS!$C$10,"")</f>
        <v>2.6250000000000002E-2</v>
      </c>
    </row>
    <row r="670" spans="1:29" ht="16" x14ac:dyDescent="0.2">
      <c r="A670" s="25"/>
      <c r="H670" t="str">
        <f>IFERROR(VLOOKUP(G670,FILAMENTI_DB!$A:$C,3,FALSE),"")</f>
        <v/>
      </c>
      <c r="I670" t="str">
        <f>IFERROR(VLOOKUP(G670,FILAMENTI_DB!$A:$E,4,FALSE),"")</f>
        <v/>
      </c>
      <c r="J670" s="26"/>
      <c r="K670" s="27"/>
      <c r="L670" s="27"/>
      <c r="M670" s="27">
        <f t="shared" si="62"/>
        <v>0</v>
      </c>
      <c r="N670" s="26">
        <f t="shared" si="63"/>
        <v>0</v>
      </c>
      <c r="O670" s="26"/>
      <c r="P670" s="26"/>
      <c r="Q670" s="23"/>
      <c r="R670" s="23">
        <f t="shared" si="64"/>
        <v>0</v>
      </c>
      <c r="S670" s="23"/>
      <c r="T670" s="23">
        <f t="shared" si="65"/>
        <v>0</v>
      </c>
      <c r="U670" s="28" t="str">
        <f t="shared" si="66"/>
        <v/>
      </c>
      <c r="V670" s="10" t="str">
        <f>IFERROR(N670*VLOOKUP(G670,FILAMENTI_DB!$A:$J,10,FALSE),"")</f>
        <v/>
      </c>
      <c r="W670" s="23" t="str">
        <f>IFERROR((VLOOKUP(F670,STAMPANTI_DB!$A:$C,3,FALSE)/1000)*O670*SETTINGS!$C$6,"")</f>
        <v/>
      </c>
      <c r="X670" s="23" t="str">
        <f>IFERROR(O670*VLOOKUP(F670,STAMPANTI_DB!$A:$I,9,FALSE),"")</f>
        <v/>
      </c>
      <c r="Y670" s="23">
        <f>IFERROR(P670*SETTINGS!$C$7,"")</f>
        <v>0</v>
      </c>
      <c r="Z670" s="23">
        <f>SETTINGS!$C$11</f>
        <v>0.5</v>
      </c>
      <c r="AA670" s="23">
        <f t="shared" si="67"/>
        <v>0.5</v>
      </c>
      <c r="AB670" s="23">
        <f>IFERROR(AA670*SETTINGS!$C$9,"")</f>
        <v>2.5000000000000001E-2</v>
      </c>
      <c r="AC670" s="23">
        <f>IFERROR((AA670+AB670)*SETTINGS!$C$10,"")</f>
        <v>2.6250000000000002E-2</v>
      </c>
    </row>
    <row r="671" spans="1:29" ht="16" x14ac:dyDescent="0.2">
      <c r="A671" s="25"/>
      <c r="H671" t="str">
        <f>IFERROR(VLOOKUP(G671,FILAMENTI_DB!$A:$C,3,FALSE),"")</f>
        <v/>
      </c>
      <c r="I671" t="str">
        <f>IFERROR(VLOOKUP(G671,FILAMENTI_DB!$A:$E,4,FALSE),"")</f>
        <v/>
      </c>
      <c r="J671" s="26"/>
      <c r="K671" s="27"/>
      <c r="L671" s="27"/>
      <c r="M671" s="27">
        <f t="shared" si="62"/>
        <v>0</v>
      </c>
      <c r="N671" s="26">
        <f t="shared" si="63"/>
        <v>0</v>
      </c>
      <c r="O671" s="26"/>
      <c r="P671" s="26"/>
      <c r="Q671" s="23"/>
      <c r="R671" s="23">
        <f t="shared" si="64"/>
        <v>0</v>
      </c>
      <c r="S671" s="23"/>
      <c r="T671" s="23">
        <f t="shared" si="65"/>
        <v>0</v>
      </c>
      <c r="U671" s="28" t="str">
        <f t="shared" si="66"/>
        <v/>
      </c>
      <c r="V671" s="10" t="str">
        <f>IFERROR(N671*VLOOKUP(G671,FILAMENTI_DB!$A:$J,10,FALSE),"")</f>
        <v/>
      </c>
      <c r="W671" s="23" t="str">
        <f>IFERROR((VLOOKUP(F671,STAMPANTI_DB!$A:$C,3,FALSE)/1000)*O671*SETTINGS!$C$6,"")</f>
        <v/>
      </c>
      <c r="X671" s="23" t="str">
        <f>IFERROR(O671*VLOOKUP(F671,STAMPANTI_DB!$A:$I,9,FALSE),"")</f>
        <v/>
      </c>
      <c r="Y671" s="23">
        <f>IFERROR(P671*SETTINGS!$C$7,"")</f>
        <v>0</v>
      </c>
      <c r="Z671" s="23">
        <f>SETTINGS!$C$11</f>
        <v>0.5</v>
      </c>
      <c r="AA671" s="23">
        <f t="shared" si="67"/>
        <v>0.5</v>
      </c>
      <c r="AB671" s="23">
        <f>IFERROR(AA671*SETTINGS!$C$9,"")</f>
        <v>2.5000000000000001E-2</v>
      </c>
      <c r="AC671" s="23">
        <f>IFERROR((AA671+AB671)*SETTINGS!$C$10,"")</f>
        <v>2.6250000000000002E-2</v>
      </c>
    </row>
    <row r="672" spans="1:29" ht="16" x14ac:dyDescent="0.2">
      <c r="A672" s="25"/>
      <c r="H672" t="str">
        <f>IFERROR(VLOOKUP(G672,FILAMENTI_DB!$A:$C,3,FALSE),"")</f>
        <v/>
      </c>
      <c r="I672" t="str">
        <f>IFERROR(VLOOKUP(G672,FILAMENTI_DB!$A:$E,4,FALSE),"")</f>
        <v/>
      </c>
      <c r="J672" s="26"/>
      <c r="K672" s="27"/>
      <c r="L672" s="27"/>
      <c r="M672" s="27">
        <f t="shared" si="62"/>
        <v>0</v>
      </c>
      <c r="N672" s="26">
        <f t="shared" si="63"/>
        <v>0</v>
      </c>
      <c r="O672" s="26"/>
      <c r="P672" s="26"/>
      <c r="Q672" s="23"/>
      <c r="R672" s="23">
        <f t="shared" si="64"/>
        <v>0</v>
      </c>
      <c r="S672" s="23"/>
      <c r="T672" s="23">
        <f t="shared" si="65"/>
        <v>0</v>
      </c>
      <c r="U672" s="28" t="str">
        <f t="shared" si="66"/>
        <v/>
      </c>
      <c r="V672" s="10" t="str">
        <f>IFERROR(N672*VLOOKUP(G672,FILAMENTI_DB!$A:$J,10,FALSE),"")</f>
        <v/>
      </c>
      <c r="W672" s="23" t="str">
        <f>IFERROR((VLOOKUP(F672,STAMPANTI_DB!$A:$C,3,FALSE)/1000)*O672*SETTINGS!$C$6,"")</f>
        <v/>
      </c>
      <c r="X672" s="23" t="str">
        <f>IFERROR(O672*VLOOKUP(F672,STAMPANTI_DB!$A:$I,9,FALSE),"")</f>
        <v/>
      </c>
      <c r="Y672" s="23">
        <f>IFERROR(P672*SETTINGS!$C$7,"")</f>
        <v>0</v>
      </c>
      <c r="Z672" s="23">
        <f>SETTINGS!$C$11</f>
        <v>0.5</v>
      </c>
      <c r="AA672" s="23">
        <f t="shared" si="67"/>
        <v>0.5</v>
      </c>
      <c r="AB672" s="23">
        <f>IFERROR(AA672*SETTINGS!$C$9,"")</f>
        <v>2.5000000000000001E-2</v>
      </c>
      <c r="AC672" s="23">
        <f>IFERROR((AA672+AB672)*SETTINGS!$C$10,"")</f>
        <v>2.6250000000000002E-2</v>
      </c>
    </row>
    <row r="673" spans="1:29" ht="16" x14ac:dyDescent="0.2">
      <c r="A673" s="25"/>
      <c r="H673" t="str">
        <f>IFERROR(VLOOKUP(G673,FILAMENTI_DB!$A:$C,3,FALSE),"")</f>
        <v/>
      </c>
      <c r="I673" t="str">
        <f>IFERROR(VLOOKUP(G673,FILAMENTI_DB!$A:$E,4,FALSE),"")</f>
        <v/>
      </c>
      <c r="J673" s="26"/>
      <c r="K673" s="27"/>
      <c r="L673" s="27"/>
      <c r="M673" s="27">
        <f t="shared" si="62"/>
        <v>0</v>
      </c>
      <c r="N673" s="26">
        <f t="shared" si="63"/>
        <v>0</v>
      </c>
      <c r="O673" s="26"/>
      <c r="P673" s="26"/>
      <c r="Q673" s="23"/>
      <c r="R673" s="23">
        <f t="shared" si="64"/>
        <v>0</v>
      </c>
      <c r="S673" s="23"/>
      <c r="T673" s="23">
        <f t="shared" si="65"/>
        <v>0</v>
      </c>
      <c r="U673" s="28" t="str">
        <f t="shared" si="66"/>
        <v/>
      </c>
      <c r="V673" s="10" t="str">
        <f>IFERROR(N673*VLOOKUP(G673,FILAMENTI_DB!$A:$J,10,FALSE),"")</f>
        <v/>
      </c>
      <c r="W673" s="23" t="str">
        <f>IFERROR((VLOOKUP(F673,STAMPANTI_DB!$A:$C,3,FALSE)/1000)*O673*SETTINGS!$C$6,"")</f>
        <v/>
      </c>
      <c r="X673" s="23" t="str">
        <f>IFERROR(O673*VLOOKUP(F673,STAMPANTI_DB!$A:$I,9,FALSE),"")</f>
        <v/>
      </c>
      <c r="Y673" s="23">
        <f>IFERROR(P673*SETTINGS!$C$7,"")</f>
        <v>0</v>
      </c>
      <c r="Z673" s="23">
        <f>SETTINGS!$C$11</f>
        <v>0.5</v>
      </c>
      <c r="AA673" s="23">
        <f t="shared" si="67"/>
        <v>0.5</v>
      </c>
      <c r="AB673" s="23">
        <f>IFERROR(AA673*SETTINGS!$C$9,"")</f>
        <v>2.5000000000000001E-2</v>
      </c>
      <c r="AC673" s="23">
        <f>IFERROR((AA673+AB673)*SETTINGS!$C$10,"")</f>
        <v>2.6250000000000002E-2</v>
      </c>
    </row>
    <row r="674" spans="1:29" ht="16" x14ac:dyDescent="0.2">
      <c r="A674" s="25"/>
      <c r="H674" t="str">
        <f>IFERROR(VLOOKUP(G674,FILAMENTI_DB!$A:$C,3,FALSE),"")</f>
        <v/>
      </c>
      <c r="I674" t="str">
        <f>IFERROR(VLOOKUP(G674,FILAMENTI_DB!$A:$E,4,FALSE),"")</f>
        <v/>
      </c>
      <c r="J674" s="26"/>
      <c r="K674" s="27"/>
      <c r="L674" s="27"/>
      <c r="M674" s="27">
        <f t="shared" si="62"/>
        <v>0</v>
      </c>
      <c r="N674" s="26">
        <f t="shared" si="63"/>
        <v>0</v>
      </c>
      <c r="O674" s="26"/>
      <c r="P674" s="26"/>
      <c r="Q674" s="23"/>
      <c r="R674" s="23">
        <f t="shared" si="64"/>
        <v>0</v>
      </c>
      <c r="S674" s="23"/>
      <c r="T674" s="23">
        <f t="shared" si="65"/>
        <v>0</v>
      </c>
      <c r="U674" s="28" t="str">
        <f t="shared" si="66"/>
        <v/>
      </c>
      <c r="V674" s="10" t="str">
        <f>IFERROR(N674*VLOOKUP(G674,FILAMENTI_DB!$A:$J,10,FALSE),"")</f>
        <v/>
      </c>
      <c r="W674" s="23" t="str">
        <f>IFERROR((VLOOKUP(F674,STAMPANTI_DB!$A:$C,3,FALSE)/1000)*O674*SETTINGS!$C$6,"")</f>
        <v/>
      </c>
      <c r="X674" s="23" t="str">
        <f>IFERROR(O674*VLOOKUP(F674,STAMPANTI_DB!$A:$I,9,FALSE),"")</f>
        <v/>
      </c>
      <c r="Y674" s="23">
        <f>IFERROR(P674*SETTINGS!$C$7,"")</f>
        <v>0</v>
      </c>
      <c r="Z674" s="23">
        <f>SETTINGS!$C$11</f>
        <v>0.5</v>
      </c>
      <c r="AA674" s="23">
        <f t="shared" si="67"/>
        <v>0.5</v>
      </c>
      <c r="AB674" s="23">
        <f>IFERROR(AA674*SETTINGS!$C$9,"")</f>
        <v>2.5000000000000001E-2</v>
      </c>
      <c r="AC674" s="23">
        <f>IFERROR((AA674+AB674)*SETTINGS!$C$10,"")</f>
        <v>2.6250000000000002E-2</v>
      </c>
    </row>
    <row r="675" spans="1:29" ht="16" x14ac:dyDescent="0.2">
      <c r="A675" s="25"/>
      <c r="H675" t="str">
        <f>IFERROR(VLOOKUP(G675,FILAMENTI_DB!$A:$C,3,FALSE),"")</f>
        <v/>
      </c>
      <c r="I675" t="str">
        <f>IFERROR(VLOOKUP(G675,FILAMENTI_DB!$A:$E,4,FALSE),"")</f>
        <v/>
      </c>
      <c r="J675" s="26"/>
      <c r="K675" s="27"/>
      <c r="L675" s="27"/>
      <c r="M675" s="27">
        <f t="shared" si="62"/>
        <v>0</v>
      </c>
      <c r="N675" s="26">
        <f t="shared" si="63"/>
        <v>0</v>
      </c>
      <c r="O675" s="26"/>
      <c r="P675" s="26"/>
      <c r="Q675" s="23"/>
      <c r="R675" s="23">
        <f t="shared" si="64"/>
        <v>0</v>
      </c>
      <c r="S675" s="23"/>
      <c r="T675" s="23">
        <f t="shared" si="65"/>
        <v>0</v>
      </c>
      <c r="U675" s="28" t="str">
        <f t="shared" si="66"/>
        <v/>
      </c>
      <c r="V675" s="10" t="str">
        <f>IFERROR(N675*VLOOKUP(G675,FILAMENTI_DB!$A:$J,10,FALSE),"")</f>
        <v/>
      </c>
      <c r="W675" s="23" t="str">
        <f>IFERROR((VLOOKUP(F675,STAMPANTI_DB!$A:$C,3,FALSE)/1000)*O675*SETTINGS!$C$6,"")</f>
        <v/>
      </c>
      <c r="X675" s="23" t="str">
        <f>IFERROR(O675*VLOOKUP(F675,STAMPANTI_DB!$A:$I,9,FALSE),"")</f>
        <v/>
      </c>
      <c r="Y675" s="23">
        <f>IFERROR(P675*SETTINGS!$C$7,"")</f>
        <v>0</v>
      </c>
      <c r="Z675" s="23">
        <f>SETTINGS!$C$11</f>
        <v>0.5</v>
      </c>
      <c r="AA675" s="23">
        <f t="shared" si="67"/>
        <v>0.5</v>
      </c>
      <c r="AB675" s="23">
        <f>IFERROR(AA675*SETTINGS!$C$9,"")</f>
        <v>2.5000000000000001E-2</v>
      </c>
      <c r="AC675" s="23">
        <f>IFERROR((AA675+AB675)*SETTINGS!$C$10,"")</f>
        <v>2.6250000000000002E-2</v>
      </c>
    </row>
    <row r="676" spans="1:29" ht="16" x14ac:dyDescent="0.2">
      <c r="A676" s="25"/>
      <c r="H676" t="str">
        <f>IFERROR(VLOOKUP(G676,FILAMENTI_DB!$A:$C,3,FALSE),"")</f>
        <v/>
      </c>
      <c r="I676" t="str">
        <f>IFERROR(VLOOKUP(G676,FILAMENTI_DB!$A:$E,4,FALSE),"")</f>
        <v/>
      </c>
      <c r="J676" s="26"/>
      <c r="K676" s="27"/>
      <c r="L676" s="27"/>
      <c r="M676" s="27">
        <f t="shared" si="62"/>
        <v>0</v>
      </c>
      <c r="N676" s="26">
        <f t="shared" si="63"/>
        <v>0</v>
      </c>
      <c r="O676" s="26"/>
      <c r="P676" s="26"/>
      <c r="Q676" s="23"/>
      <c r="R676" s="23">
        <f t="shared" si="64"/>
        <v>0</v>
      </c>
      <c r="S676" s="23"/>
      <c r="T676" s="23">
        <f t="shared" si="65"/>
        <v>0</v>
      </c>
      <c r="U676" s="28" t="str">
        <f t="shared" si="66"/>
        <v/>
      </c>
      <c r="V676" s="10" t="str">
        <f>IFERROR(N676*VLOOKUP(G676,FILAMENTI_DB!$A:$J,10,FALSE),"")</f>
        <v/>
      </c>
      <c r="W676" s="23" t="str">
        <f>IFERROR((VLOOKUP(F676,STAMPANTI_DB!$A:$C,3,FALSE)/1000)*O676*SETTINGS!$C$6,"")</f>
        <v/>
      </c>
      <c r="X676" s="23" t="str">
        <f>IFERROR(O676*VLOOKUP(F676,STAMPANTI_DB!$A:$I,9,FALSE),"")</f>
        <v/>
      </c>
      <c r="Y676" s="23">
        <f>IFERROR(P676*SETTINGS!$C$7,"")</f>
        <v>0</v>
      </c>
      <c r="Z676" s="23">
        <f>SETTINGS!$C$11</f>
        <v>0.5</v>
      </c>
      <c r="AA676" s="23">
        <f t="shared" si="67"/>
        <v>0.5</v>
      </c>
      <c r="AB676" s="23">
        <f>IFERROR(AA676*SETTINGS!$C$9,"")</f>
        <v>2.5000000000000001E-2</v>
      </c>
      <c r="AC676" s="23">
        <f>IFERROR((AA676+AB676)*SETTINGS!$C$10,"")</f>
        <v>2.6250000000000002E-2</v>
      </c>
    </row>
    <row r="677" spans="1:29" ht="16" x14ac:dyDescent="0.2">
      <c r="A677" s="25"/>
      <c r="H677" t="str">
        <f>IFERROR(VLOOKUP(G677,FILAMENTI_DB!$A:$C,3,FALSE),"")</f>
        <v/>
      </c>
      <c r="I677" t="str">
        <f>IFERROR(VLOOKUP(G677,FILAMENTI_DB!$A:$E,4,FALSE),"")</f>
        <v/>
      </c>
      <c r="J677" s="26"/>
      <c r="K677" s="27"/>
      <c r="L677" s="27"/>
      <c r="M677" s="27">
        <f t="shared" si="62"/>
        <v>0</v>
      </c>
      <c r="N677" s="26">
        <f t="shared" si="63"/>
        <v>0</v>
      </c>
      <c r="O677" s="26"/>
      <c r="P677" s="26"/>
      <c r="Q677" s="23"/>
      <c r="R677" s="23">
        <f t="shared" si="64"/>
        <v>0</v>
      </c>
      <c r="S677" s="23"/>
      <c r="T677" s="23">
        <f t="shared" si="65"/>
        <v>0</v>
      </c>
      <c r="U677" s="28" t="str">
        <f t="shared" si="66"/>
        <v/>
      </c>
      <c r="V677" s="10" t="str">
        <f>IFERROR(N677*VLOOKUP(G677,FILAMENTI_DB!$A:$J,10,FALSE),"")</f>
        <v/>
      </c>
      <c r="W677" s="23" t="str">
        <f>IFERROR((VLOOKUP(F677,STAMPANTI_DB!$A:$C,3,FALSE)/1000)*O677*SETTINGS!$C$6,"")</f>
        <v/>
      </c>
      <c r="X677" s="23" t="str">
        <f>IFERROR(O677*VLOOKUP(F677,STAMPANTI_DB!$A:$I,9,FALSE),"")</f>
        <v/>
      </c>
      <c r="Y677" s="23">
        <f>IFERROR(P677*SETTINGS!$C$7,"")</f>
        <v>0</v>
      </c>
      <c r="Z677" s="23">
        <f>SETTINGS!$C$11</f>
        <v>0.5</v>
      </c>
      <c r="AA677" s="23">
        <f t="shared" si="67"/>
        <v>0.5</v>
      </c>
      <c r="AB677" s="23">
        <f>IFERROR(AA677*SETTINGS!$C$9,"")</f>
        <v>2.5000000000000001E-2</v>
      </c>
      <c r="AC677" s="23">
        <f>IFERROR((AA677+AB677)*SETTINGS!$C$10,"")</f>
        <v>2.6250000000000002E-2</v>
      </c>
    </row>
    <row r="678" spans="1:29" ht="16" x14ac:dyDescent="0.2">
      <c r="A678" s="25"/>
      <c r="H678" t="str">
        <f>IFERROR(VLOOKUP(G678,FILAMENTI_DB!$A:$C,3,FALSE),"")</f>
        <v/>
      </c>
      <c r="I678" t="str">
        <f>IFERROR(VLOOKUP(G678,FILAMENTI_DB!$A:$E,4,FALSE),"")</f>
        <v/>
      </c>
      <c r="J678" s="26"/>
      <c r="K678" s="27"/>
      <c r="L678" s="27"/>
      <c r="M678" s="27">
        <f t="shared" si="62"/>
        <v>0</v>
      </c>
      <c r="N678" s="26">
        <f t="shared" si="63"/>
        <v>0</v>
      </c>
      <c r="O678" s="26"/>
      <c r="P678" s="26"/>
      <c r="Q678" s="23"/>
      <c r="R678" s="23">
        <f t="shared" si="64"/>
        <v>0</v>
      </c>
      <c r="S678" s="23"/>
      <c r="T678" s="23">
        <f t="shared" si="65"/>
        <v>0</v>
      </c>
      <c r="U678" s="28" t="str">
        <f t="shared" si="66"/>
        <v/>
      </c>
      <c r="V678" s="10" t="str">
        <f>IFERROR(N678*VLOOKUP(G678,FILAMENTI_DB!$A:$J,10,FALSE),"")</f>
        <v/>
      </c>
      <c r="W678" s="23" t="str">
        <f>IFERROR((VLOOKUP(F678,STAMPANTI_DB!$A:$C,3,FALSE)/1000)*O678*SETTINGS!$C$6,"")</f>
        <v/>
      </c>
      <c r="X678" s="23" t="str">
        <f>IFERROR(O678*VLOOKUP(F678,STAMPANTI_DB!$A:$I,9,FALSE),"")</f>
        <v/>
      </c>
      <c r="Y678" s="23">
        <f>IFERROR(P678*SETTINGS!$C$7,"")</f>
        <v>0</v>
      </c>
      <c r="Z678" s="23">
        <f>SETTINGS!$C$11</f>
        <v>0.5</v>
      </c>
      <c r="AA678" s="23">
        <f t="shared" si="67"/>
        <v>0.5</v>
      </c>
      <c r="AB678" s="23">
        <f>IFERROR(AA678*SETTINGS!$C$9,"")</f>
        <v>2.5000000000000001E-2</v>
      </c>
      <c r="AC678" s="23">
        <f>IFERROR((AA678+AB678)*SETTINGS!$C$10,"")</f>
        <v>2.6250000000000002E-2</v>
      </c>
    </row>
    <row r="679" spans="1:29" ht="16" x14ac:dyDescent="0.2">
      <c r="A679" s="25"/>
      <c r="H679" t="str">
        <f>IFERROR(VLOOKUP(G679,FILAMENTI_DB!$A:$C,3,FALSE),"")</f>
        <v/>
      </c>
      <c r="I679" t="str">
        <f>IFERROR(VLOOKUP(G679,FILAMENTI_DB!$A:$E,4,FALSE),"")</f>
        <v/>
      </c>
      <c r="J679" s="26"/>
      <c r="K679" s="27"/>
      <c r="L679" s="27"/>
      <c r="M679" s="27">
        <f t="shared" si="62"/>
        <v>0</v>
      </c>
      <c r="N679" s="26">
        <f t="shared" si="63"/>
        <v>0</v>
      </c>
      <c r="O679" s="26"/>
      <c r="P679" s="26"/>
      <c r="Q679" s="23"/>
      <c r="R679" s="23">
        <f t="shared" si="64"/>
        <v>0</v>
      </c>
      <c r="S679" s="23"/>
      <c r="T679" s="23">
        <f t="shared" si="65"/>
        <v>0</v>
      </c>
      <c r="U679" s="28" t="str">
        <f t="shared" si="66"/>
        <v/>
      </c>
      <c r="V679" s="10" t="str">
        <f>IFERROR(N679*VLOOKUP(G679,FILAMENTI_DB!$A:$J,10,FALSE),"")</f>
        <v/>
      </c>
      <c r="W679" s="23" t="str">
        <f>IFERROR((VLOOKUP(F679,STAMPANTI_DB!$A:$C,3,FALSE)/1000)*O679*SETTINGS!$C$6,"")</f>
        <v/>
      </c>
      <c r="X679" s="23" t="str">
        <f>IFERROR(O679*VLOOKUP(F679,STAMPANTI_DB!$A:$I,9,FALSE),"")</f>
        <v/>
      </c>
      <c r="Y679" s="23">
        <f>IFERROR(P679*SETTINGS!$C$7,"")</f>
        <v>0</v>
      </c>
      <c r="Z679" s="23">
        <f>SETTINGS!$C$11</f>
        <v>0.5</v>
      </c>
      <c r="AA679" s="23">
        <f t="shared" si="67"/>
        <v>0.5</v>
      </c>
      <c r="AB679" s="23">
        <f>IFERROR(AA679*SETTINGS!$C$9,"")</f>
        <v>2.5000000000000001E-2</v>
      </c>
      <c r="AC679" s="23">
        <f>IFERROR((AA679+AB679)*SETTINGS!$C$10,"")</f>
        <v>2.6250000000000002E-2</v>
      </c>
    </row>
    <row r="680" spans="1:29" ht="16" x14ac:dyDescent="0.2">
      <c r="A680" s="25"/>
      <c r="H680" t="str">
        <f>IFERROR(VLOOKUP(G680,FILAMENTI_DB!$A:$C,3,FALSE),"")</f>
        <v/>
      </c>
      <c r="I680" t="str">
        <f>IFERROR(VLOOKUP(G680,FILAMENTI_DB!$A:$E,4,FALSE),"")</f>
        <v/>
      </c>
      <c r="J680" s="26"/>
      <c r="K680" s="27"/>
      <c r="L680" s="27"/>
      <c r="M680" s="27">
        <f t="shared" si="62"/>
        <v>0</v>
      </c>
      <c r="N680" s="26">
        <f t="shared" si="63"/>
        <v>0</v>
      </c>
      <c r="O680" s="26"/>
      <c r="P680" s="26"/>
      <c r="Q680" s="23"/>
      <c r="R680" s="23">
        <f t="shared" si="64"/>
        <v>0</v>
      </c>
      <c r="S680" s="23"/>
      <c r="T680" s="23">
        <f t="shared" si="65"/>
        <v>0</v>
      </c>
      <c r="U680" s="28" t="str">
        <f t="shared" si="66"/>
        <v/>
      </c>
      <c r="V680" s="10" t="str">
        <f>IFERROR(N680*VLOOKUP(G680,FILAMENTI_DB!$A:$J,10,FALSE),"")</f>
        <v/>
      </c>
      <c r="W680" s="23" t="str">
        <f>IFERROR((VLOOKUP(F680,STAMPANTI_DB!$A:$C,3,FALSE)/1000)*O680*SETTINGS!$C$6,"")</f>
        <v/>
      </c>
      <c r="X680" s="23" t="str">
        <f>IFERROR(O680*VLOOKUP(F680,STAMPANTI_DB!$A:$I,9,FALSE),"")</f>
        <v/>
      </c>
      <c r="Y680" s="23">
        <f>IFERROR(P680*SETTINGS!$C$7,"")</f>
        <v>0</v>
      </c>
      <c r="Z680" s="23">
        <f>SETTINGS!$C$11</f>
        <v>0.5</v>
      </c>
      <c r="AA680" s="23">
        <f t="shared" si="67"/>
        <v>0.5</v>
      </c>
      <c r="AB680" s="23">
        <f>IFERROR(AA680*SETTINGS!$C$9,"")</f>
        <v>2.5000000000000001E-2</v>
      </c>
      <c r="AC680" s="23">
        <f>IFERROR((AA680+AB680)*SETTINGS!$C$10,"")</f>
        <v>2.6250000000000002E-2</v>
      </c>
    </row>
    <row r="681" spans="1:29" ht="16" x14ac:dyDescent="0.2">
      <c r="A681" s="25"/>
      <c r="H681" t="str">
        <f>IFERROR(VLOOKUP(G681,FILAMENTI_DB!$A:$C,3,FALSE),"")</f>
        <v/>
      </c>
      <c r="I681" t="str">
        <f>IFERROR(VLOOKUP(G681,FILAMENTI_DB!$A:$E,4,FALSE),"")</f>
        <v/>
      </c>
      <c r="J681" s="26"/>
      <c r="K681" s="27"/>
      <c r="L681" s="27"/>
      <c r="M681" s="27">
        <f t="shared" si="62"/>
        <v>0</v>
      </c>
      <c r="N681" s="26">
        <f t="shared" si="63"/>
        <v>0</v>
      </c>
      <c r="O681" s="26"/>
      <c r="P681" s="26"/>
      <c r="Q681" s="23"/>
      <c r="R681" s="23">
        <f t="shared" si="64"/>
        <v>0</v>
      </c>
      <c r="S681" s="23"/>
      <c r="T681" s="23">
        <f t="shared" si="65"/>
        <v>0</v>
      </c>
      <c r="U681" s="28" t="str">
        <f t="shared" si="66"/>
        <v/>
      </c>
      <c r="V681" s="10" t="str">
        <f>IFERROR(N681*VLOOKUP(G681,FILAMENTI_DB!$A:$J,10,FALSE),"")</f>
        <v/>
      </c>
      <c r="W681" s="23" t="str">
        <f>IFERROR((VLOOKUP(F681,STAMPANTI_DB!$A:$C,3,FALSE)/1000)*O681*SETTINGS!$C$6,"")</f>
        <v/>
      </c>
      <c r="X681" s="23" t="str">
        <f>IFERROR(O681*VLOOKUP(F681,STAMPANTI_DB!$A:$I,9,FALSE),"")</f>
        <v/>
      </c>
      <c r="Y681" s="23">
        <f>IFERROR(P681*SETTINGS!$C$7,"")</f>
        <v>0</v>
      </c>
      <c r="Z681" s="23">
        <f>SETTINGS!$C$11</f>
        <v>0.5</v>
      </c>
      <c r="AA681" s="23">
        <f t="shared" si="67"/>
        <v>0.5</v>
      </c>
      <c r="AB681" s="23">
        <f>IFERROR(AA681*SETTINGS!$C$9,"")</f>
        <v>2.5000000000000001E-2</v>
      </c>
      <c r="AC681" s="23">
        <f>IFERROR((AA681+AB681)*SETTINGS!$C$10,"")</f>
        <v>2.6250000000000002E-2</v>
      </c>
    </row>
    <row r="682" spans="1:29" ht="16" x14ac:dyDescent="0.2">
      <c r="A682" s="25"/>
      <c r="H682" t="str">
        <f>IFERROR(VLOOKUP(G682,FILAMENTI_DB!$A:$C,3,FALSE),"")</f>
        <v/>
      </c>
      <c r="I682" t="str">
        <f>IFERROR(VLOOKUP(G682,FILAMENTI_DB!$A:$E,4,FALSE),"")</f>
        <v/>
      </c>
      <c r="J682" s="26"/>
      <c r="K682" s="27"/>
      <c r="L682" s="27"/>
      <c r="M682" s="27">
        <f t="shared" si="62"/>
        <v>0</v>
      </c>
      <c r="N682" s="26">
        <f t="shared" si="63"/>
        <v>0</v>
      </c>
      <c r="O682" s="26"/>
      <c r="P682" s="26"/>
      <c r="Q682" s="23"/>
      <c r="R682" s="23">
        <f t="shared" si="64"/>
        <v>0</v>
      </c>
      <c r="S682" s="23"/>
      <c r="T682" s="23">
        <f t="shared" si="65"/>
        <v>0</v>
      </c>
      <c r="U682" s="28" t="str">
        <f t="shared" si="66"/>
        <v/>
      </c>
      <c r="V682" s="10" t="str">
        <f>IFERROR(N682*VLOOKUP(G682,FILAMENTI_DB!$A:$J,10,FALSE),"")</f>
        <v/>
      </c>
      <c r="W682" s="23" t="str">
        <f>IFERROR((VLOOKUP(F682,STAMPANTI_DB!$A:$C,3,FALSE)/1000)*O682*SETTINGS!$C$6,"")</f>
        <v/>
      </c>
      <c r="X682" s="23" t="str">
        <f>IFERROR(O682*VLOOKUP(F682,STAMPANTI_DB!$A:$I,9,FALSE),"")</f>
        <v/>
      </c>
      <c r="Y682" s="23">
        <f>IFERROR(P682*SETTINGS!$C$7,"")</f>
        <v>0</v>
      </c>
      <c r="Z682" s="23">
        <f>SETTINGS!$C$11</f>
        <v>0.5</v>
      </c>
      <c r="AA682" s="23">
        <f t="shared" si="67"/>
        <v>0.5</v>
      </c>
      <c r="AB682" s="23">
        <f>IFERROR(AA682*SETTINGS!$C$9,"")</f>
        <v>2.5000000000000001E-2</v>
      </c>
      <c r="AC682" s="23">
        <f>IFERROR((AA682+AB682)*SETTINGS!$C$10,"")</f>
        <v>2.6250000000000002E-2</v>
      </c>
    </row>
    <row r="683" spans="1:29" ht="16" x14ac:dyDescent="0.2">
      <c r="A683" s="25"/>
      <c r="H683" t="str">
        <f>IFERROR(VLOOKUP(G683,FILAMENTI_DB!$A:$C,3,FALSE),"")</f>
        <v/>
      </c>
      <c r="I683" t="str">
        <f>IFERROR(VLOOKUP(G683,FILAMENTI_DB!$A:$E,4,FALSE),"")</f>
        <v/>
      </c>
      <c r="J683" s="26"/>
      <c r="K683" s="27"/>
      <c r="L683" s="27"/>
      <c r="M683" s="27">
        <f t="shared" si="62"/>
        <v>0</v>
      </c>
      <c r="N683" s="26">
        <f t="shared" si="63"/>
        <v>0</v>
      </c>
      <c r="O683" s="26"/>
      <c r="P683" s="26"/>
      <c r="Q683" s="23"/>
      <c r="R683" s="23">
        <f t="shared" si="64"/>
        <v>0</v>
      </c>
      <c r="S683" s="23"/>
      <c r="T683" s="23">
        <f t="shared" si="65"/>
        <v>0</v>
      </c>
      <c r="U683" s="28" t="str">
        <f t="shared" si="66"/>
        <v/>
      </c>
      <c r="V683" s="10" t="str">
        <f>IFERROR(N683*VLOOKUP(G683,FILAMENTI_DB!$A:$J,10,FALSE),"")</f>
        <v/>
      </c>
      <c r="W683" s="23" t="str">
        <f>IFERROR((VLOOKUP(F683,STAMPANTI_DB!$A:$C,3,FALSE)/1000)*O683*SETTINGS!$C$6,"")</f>
        <v/>
      </c>
      <c r="X683" s="23" t="str">
        <f>IFERROR(O683*VLOOKUP(F683,STAMPANTI_DB!$A:$I,9,FALSE),"")</f>
        <v/>
      </c>
      <c r="Y683" s="23">
        <f>IFERROR(P683*SETTINGS!$C$7,"")</f>
        <v>0</v>
      </c>
      <c r="Z683" s="23">
        <f>SETTINGS!$C$11</f>
        <v>0.5</v>
      </c>
      <c r="AA683" s="23">
        <f t="shared" si="67"/>
        <v>0.5</v>
      </c>
      <c r="AB683" s="23">
        <f>IFERROR(AA683*SETTINGS!$C$9,"")</f>
        <v>2.5000000000000001E-2</v>
      </c>
      <c r="AC683" s="23">
        <f>IFERROR((AA683+AB683)*SETTINGS!$C$10,"")</f>
        <v>2.6250000000000002E-2</v>
      </c>
    </row>
    <row r="684" spans="1:29" ht="16" x14ac:dyDescent="0.2">
      <c r="A684" s="25"/>
      <c r="H684" t="str">
        <f>IFERROR(VLOOKUP(G684,FILAMENTI_DB!$A:$C,3,FALSE),"")</f>
        <v/>
      </c>
      <c r="I684" t="str">
        <f>IFERROR(VLOOKUP(G684,FILAMENTI_DB!$A:$E,4,FALSE),"")</f>
        <v/>
      </c>
      <c r="J684" s="26"/>
      <c r="K684" s="27"/>
      <c r="L684" s="27"/>
      <c r="M684" s="27">
        <f t="shared" si="62"/>
        <v>0</v>
      </c>
      <c r="N684" s="26">
        <f t="shared" si="63"/>
        <v>0</v>
      </c>
      <c r="O684" s="26"/>
      <c r="P684" s="26"/>
      <c r="Q684" s="23"/>
      <c r="R684" s="23">
        <f t="shared" si="64"/>
        <v>0</v>
      </c>
      <c r="S684" s="23"/>
      <c r="T684" s="23">
        <f t="shared" si="65"/>
        <v>0</v>
      </c>
      <c r="U684" s="28" t="str">
        <f t="shared" si="66"/>
        <v/>
      </c>
      <c r="V684" s="10" t="str">
        <f>IFERROR(N684*VLOOKUP(G684,FILAMENTI_DB!$A:$J,10,FALSE),"")</f>
        <v/>
      </c>
      <c r="W684" s="23" t="str">
        <f>IFERROR((VLOOKUP(F684,STAMPANTI_DB!$A:$C,3,FALSE)/1000)*O684*SETTINGS!$C$6,"")</f>
        <v/>
      </c>
      <c r="X684" s="23" t="str">
        <f>IFERROR(O684*VLOOKUP(F684,STAMPANTI_DB!$A:$I,9,FALSE),"")</f>
        <v/>
      </c>
      <c r="Y684" s="23">
        <f>IFERROR(P684*SETTINGS!$C$7,"")</f>
        <v>0</v>
      </c>
      <c r="Z684" s="23">
        <f>SETTINGS!$C$11</f>
        <v>0.5</v>
      </c>
      <c r="AA684" s="23">
        <f t="shared" si="67"/>
        <v>0.5</v>
      </c>
      <c r="AB684" s="23">
        <f>IFERROR(AA684*SETTINGS!$C$9,"")</f>
        <v>2.5000000000000001E-2</v>
      </c>
      <c r="AC684" s="23">
        <f>IFERROR((AA684+AB684)*SETTINGS!$C$10,"")</f>
        <v>2.6250000000000002E-2</v>
      </c>
    </row>
    <row r="685" spans="1:29" ht="16" x14ac:dyDescent="0.2">
      <c r="A685" s="25"/>
      <c r="H685" t="str">
        <f>IFERROR(VLOOKUP(G685,FILAMENTI_DB!$A:$C,3,FALSE),"")</f>
        <v/>
      </c>
      <c r="I685" t="str">
        <f>IFERROR(VLOOKUP(G685,FILAMENTI_DB!$A:$E,4,FALSE),"")</f>
        <v/>
      </c>
      <c r="J685" s="26"/>
      <c r="K685" s="27"/>
      <c r="L685" s="27"/>
      <c r="M685" s="27">
        <f t="shared" si="62"/>
        <v>0</v>
      </c>
      <c r="N685" s="26">
        <f t="shared" si="63"/>
        <v>0</v>
      </c>
      <c r="O685" s="26"/>
      <c r="P685" s="26"/>
      <c r="Q685" s="23"/>
      <c r="R685" s="23">
        <f t="shared" si="64"/>
        <v>0</v>
      </c>
      <c r="S685" s="23"/>
      <c r="T685" s="23">
        <f t="shared" si="65"/>
        <v>0</v>
      </c>
      <c r="U685" s="28" t="str">
        <f t="shared" si="66"/>
        <v/>
      </c>
      <c r="V685" s="10" t="str">
        <f>IFERROR(N685*VLOOKUP(G685,FILAMENTI_DB!$A:$J,10,FALSE),"")</f>
        <v/>
      </c>
      <c r="W685" s="23" t="str">
        <f>IFERROR((VLOOKUP(F685,STAMPANTI_DB!$A:$C,3,FALSE)/1000)*O685*SETTINGS!$C$6,"")</f>
        <v/>
      </c>
      <c r="X685" s="23" t="str">
        <f>IFERROR(O685*VLOOKUP(F685,STAMPANTI_DB!$A:$I,9,FALSE),"")</f>
        <v/>
      </c>
      <c r="Y685" s="23">
        <f>IFERROR(P685*SETTINGS!$C$7,"")</f>
        <v>0</v>
      </c>
      <c r="Z685" s="23">
        <f>SETTINGS!$C$11</f>
        <v>0.5</v>
      </c>
      <c r="AA685" s="23">
        <f t="shared" si="67"/>
        <v>0.5</v>
      </c>
      <c r="AB685" s="23">
        <f>IFERROR(AA685*SETTINGS!$C$9,"")</f>
        <v>2.5000000000000001E-2</v>
      </c>
      <c r="AC685" s="23">
        <f>IFERROR((AA685+AB685)*SETTINGS!$C$10,"")</f>
        <v>2.6250000000000002E-2</v>
      </c>
    </row>
    <row r="686" spans="1:29" ht="16" x14ac:dyDescent="0.2">
      <c r="A686" s="25"/>
      <c r="H686" t="str">
        <f>IFERROR(VLOOKUP(G686,FILAMENTI_DB!$A:$C,3,FALSE),"")</f>
        <v/>
      </c>
      <c r="I686" t="str">
        <f>IFERROR(VLOOKUP(G686,FILAMENTI_DB!$A:$E,4,FALSE),"")</f>
        <v/>
      </c>
      <c r="J686" s="26"/>
      <c r="K686" s="27"/>
      <c r="L686" s="27"/>
      <c r="M686" s="27">
        <f t="shared" si="62"/>
        <v>0</v>
      </c>
      <c r="N686" s="26">
        <f t="shared" si="63"/>
        <v>0</v>
      </c>
      <c r="O686" s="26"/>
      <c r="P686" s="26"/>
      <c r="Q686" s="23"/>
      <c r="R686" s="23">
        <f t="shared" si="64"/>
        <v>0</v>
      </c>
      <c r="S686" s="23"/>
      <c r="T686" s="23">
        <f t="shared" si="65"/>
        <v>0</v>
      </c>
      <c r="U686" s="28" t="str">
        <f t="shared" si="66"/>
        <v/>
      </c>
      <c r="V686" s="10" t="str">
        <f>IFERROR(N686*VLOOKUP(G686,FILAMENTI_DB!$A:$J,10,FALSE),"")</f>
        <v/>
      </c>
      <c r="W686" s="23" t="str">
        <f>IFERROR((VLOOKUP(F686,STAMPANTI_DB!$A:$C,3,FALSE)/1000)*O686*SETTINGS!$C$6,"")</f>
        <v/>
      </c>
      <c r="X686" s="23" t="str">
        <f>IFERROR(O686*VLOOKUP(F686,STAMPANTI_DB!$A:$I,9,FALSE),"")</f>
        <v/>
      </c>
      <c r="Y686" s="23">
        <f>IFERROR(P686*SETTINGS!$C$7,"")</f>
        <v>0</v>
      </c>
      <c r="Z686" s="23">
        <f>SETTINGS!$C$11</f>
        <v>0.5</v>
      </c>
      <c r="AA686" s="23">
        <f t="shared" si="67"/>
        <v>0.5</v>
      </c>
      <c r="AB686" s="23">
        <f>IFERROR(AA686*SETTINGS!$C$9,"")</f>
        <v>2.5000000000000001E-2</v>
      </c>
      <c r="AC686" s="23">
        <f>IFERROR((AA686+AB686)*SETTINGS!$C$10,"")</f>
        <v>2.6250000000000002E-2</v>
      </c>
    </row>
    <row r="687" spans="1:29" ht="16" x14ac:dyDescent="0.2">
      <c r="A687" s="25"/>
      <c r="H687" t="str">
        <f>IFERROR(VLOOKUP(G687,FILAMENTI_DB!$A:$C,3,FALSE),"")</f>
        <v/>
      </c>
      <c r="I687" t="str">
        <f>IFERROR(VLOOKUP(G687,FILAMENTI_DB!$A:$E,4,FALSE),"")</f>
        <v/>
      </c>
      <c r="J687" s="26"/>
      <c r="K687" s="27"/>
      <c r="L687" s="27"/>
      <c r="M687" s="27">
        <f t="shared" si="62"/>
        <v>0</v>
      </c>
      <c r="N687" s="26">
        <f t="shared" si="63"/>
        <v>0</v>
      </c>
      <c r="O687" s="26"/>
      <c r="P687" s="26"/>
      <c r="Q687" s="23"/>
      <c r="R687" s="23">
        <f t="shared" si="64"/>
        <v>0</v>
      </c>
      <c r="S687" s="23"/>
      <c r="T687" s="23">
        <f t="shared" si="65"/>
        <v>0</v>
      </c>
      <c r="U687" s="28" t="str">
        <f t="shared" si="66"/>
        <v/>
      </c>
      <c r="V687" s="10" t="str">
        <f>IFERROR(N687*VLOOKUP(G687,FILAMENTI_DB!$A:$J,10,FALSE),"")</f>
        <v/>
      </c>
      <c r="W687" s="23" t="str">
        <f>IFERROR((VLOOKUP(F687,STAMPANTI_DB!$A:$C,3,FALSE)/1000)*O687*SETTINGS!$C$6,"")</f>
        <v/>
      </c>
      <c r="X687" s="23" t="str">
        <f>IFERROR(O687*VLOOKUP(F687,STAMPANTI_DB!$A:$I,9,FALSE),"")</f>
        <v/>
      </c>
      <c r="Y687" s="23">
        <f>IFERROR(P687*SETTINGS!$C$7,"")</f>
        <v>0</v>
      </c>
      <c r="Z687" s="23">
        <f>SETTINGS!$C$11</f>
        <v>0.5</v>
      </c>
      <c r="AA687" s="23">
        <f t="shared" si="67"/>
        <v>0.5</v>
      </c>
      <c r="AB687" s="23">
        <f>IFERROR(AA687*SETTINGS!$C$9,"")</f>
        <v>2.5000000000000001E-2</v>
      </c>
      <c r="AC687" s="23">
        <f>IFERROR((AA687+AB687)*SETTINGS!$C$10,"")</f>
        <v>2.6250000000000002E-2</v>
      </c>
    </row>
    <row r="688" spans="1:29" ht="16" x14ac:dyDescent="0.2">
      <c r="A688" s="25"/>
      <c r="H688" t="str">
        <f>IFERROR(VLOOKUP(G688,FILAMENTI_DB!$A:$C,3,FALSE),"")</f>
        <v/>
      </c>
      <c r="I688" t="str">
        <f>IFERROR(VLOOKUP(G688,FILAMENTI_DB!$A:$E,4,FALSE),"")</f>
        <v/>
      </c>
      <c r="J688" s="26"/>
      <c r="K688" s="27"/>
      <c r="L688" s="27"/>
      <c r="M688" s="27">
        <f t="shared" si="62"/>
        <v>0</v>
      </c>
      <c r="N688" s="26">
        <f t="shared" si="63"/>
        <v>0</v>
      </c>
      <c r="O688" s="26"/>
      <c r="P688" s="26"/>
      <c r="Q688" s="23"/>
      <c r="R688" s="23">
        <f t="shared" si="64"/>
        <v>0</v>
      </c>
      <c r="S688" s="23"/>
      <c r="T688" s="23">
        <f t="shared" si="65"/>
        <v>0</v>
      </c>
      <c r="U688" s="28" t="str">
        <f t="shared" si="66"/>
        <v/>
      </c>
      <c r="V688" s="10" t="str">
        <f>IFERROR(N688*VLOOKUP(G688,FILAMENTI_DB!$A:$J,10,FALSE),"")</f>
        <v/>
      </c>
      <c r="W688" s="23" t="str">
        <f>IFERROR((VLOOKUP(F688,STAMPANTI_DB!$A:$C,3,FALSE)/1000)*O688*SETTINGS!$C$6,"")</f>
        <v/>
      </c>
      <c r="X688" s="23" t="str">
        <f>IFERROR(O688*VLOOKUP(F688,STAMPANTI_DB!$A:$I,9,FALSE),"")</f>
        <v/>
      </c>
      <c r="Y688" s="23">
        <f>IFERROR(P688*SETTINGS!$C$7,"")</f>
        <v>0</v>
      </c>
      <c r="Z688" s="23">
        <f>SETTINGS!$C$11</f>
        <v>0.5</v>
      </c>
      <c r="AA688" s="23">
        <f t="shared" si="67"/>
        <v>0.5</v>
      </c>
      <c r="AB688" s="23">
        <f>IFERROR(AA688*SETTINGS!$C$9,"")</f>
        <v>2.5000000000000001E-2</v>
      </c>
      <c r="AC688" s="23">
        <f>IFERROR((AA688+AB688)*SETTINGS!$C$10,"")</f>
        <v>2.6250000000000002E-2</v>
      </c>
    </row>
    <row r="689" spans="1:29" ht="16" x14ac:dyDescent="0.2">
      <c r="A689" s="25"/>
      <c r="H689" t="str">
        <f>IFERROR(VLOOKUP(G689,FILAMENTI_DB!$A:$C,3,FALSE),"")</f>
        <v/>
      </c>
      <c r="I689" t="str">
        <f>IFERROR(VLOOKUP(G689,FILAMENTI_DB!$A:$E,4,FALSE),"")</f>
        <v/>
      </c>
      <c r="J689" s="26"/>
      <c r="K689" s="27"/>
      <c r="L689" s="27"/>
      <c r="M689" s="27">
        <f t="shared" si="62"/>
        <v>0</v>
      </c>
      <c r="N689" s="26">
        <f t="shared" si="63"/>
        <v>0</v>
      </c>
      <c r="O689" s="26"/>
      <c r="P689" s="26"/>
      <c r="Q689" s="23"/>
      <c r="R689" s="23">
        <f t="shared" si="64"/>
        <v>0</v>
      </c>
      <c r="S689" s="23"/>
      <c r="T689" s="23">
        <f t="shared" si="65"/>
        <v>0</v>
      </c>
      <c r="U689" s="28" t="str">
        <f t="shared" si="66"/>
        <v/>
      </c>
      <c r="V689" s="10" t="str">
        <f>IFERROR(N689*VLOOKUP(G689,FILAMENTI_DB!$A:$J,10,FALSE),"")</f>
        <v/>
      </c>
      <c r="W689" s="23" t="str">
        <f>IFERROR((VLOOKUP(F689,STAMPANTI_DB!$A:$C,3,FALSE)/1000)*O689*SETTINGS!$C$6,"")</f>
        <v/>
      </c>
      <c r="X689" s="23" t="str">
        <f>IFERROR(O689*VLOOKUP(F689,STAMPANTI_DB!$A:$I,9,FALSE),"")</f>
        <v/>
      </c>
      <c r="Y689" s="23">
        <f>IFERROR(P689*SETTINGS!$C$7,"")</f>
        <v>0</v>
      </c>
      <c r="Z689" s="23">
        <f>SETTINGS!$C$11</f>
        <v>0.5</v>
      </c>
      <c r="AA689" s="23">
        <f t="shared" si="67"/>
        <v>0.5</v>
      </c>
      <c r="AB689" s="23">
        <f>IFERROR(AA689*SETTINGS!$C$9,"")</f>
        <v>2.5000000000000001E-2</v>
      </c>
      <c r="AC689" s="23">
        <f>IFERROR((AA689+AB689)*SETTINGS!$C$10,"")</f>
        <v>2.6250000000000002E-2</v>
      </c>
    </row>
    <row r="690" spans="1:29" ht="16" x14ac:dyDescent="0.2">
      <c r="A690" s="25"/>
      <c r="H690" t="str">
        <f>IFERROR(VLOOKUP(G690,FILAMENTI_DB!$A:$C,3,FALSE),"")</f>
        <v/>
      </c>
      <c r="I690" t="str">
        <f>IFERROR(VLOOKUP(G690,FILAMENTI_DB!$A:$E,4,FALSE),"")</f>
        <v/>
      </c>
      <c r="J690" s="26"/>
      <c r="K690" s="27"/>
      <c r="L690" s="27"/>
      <c r="M690" s="27">
        <f t="shared" si="62"/>
        <v>0</v>
      </c>
      <c r="N690" s="26">
        <f t="shared" si="63"/>
        <v>0</v>
      </c>
      <c r="O690" s="26"/>
      <c r="P690" s="26"/>
      <c r="Q690" s="23"/>
      <c r="R690" s="23">
        <f t="shared" si="64"/>
        <v>0</v>
      </c>
      <c r="S690" s="23"/>
      <c r="T690" s="23">
        <f t="shared" si="65"/>
        <v>0</v>
      </c>
      <c r="U690" s="28" t="str">
        <f t="shared" si="66"/>
        <v/>
      </c>
      <c r="V690" s="10" t="str">
        <f>IFERROR(N690*VLOOKUP(G690,FILAMENTI_DB!$A:$J,10,FALSE),"")</f>
        <v/>
      </c>
      <c r="W690" s="23" t="str">
        <f>IFERROR((VLOOKUP(F690,STAMPANTI_DB!$A:$C,3,FALSE)/1000)*O690*SETTINGS!$C$6,"")</f>
        <v/>
      </c>
      <c r="X690" s="23" t="str">
        <f>IFERROR(O690*VLOOKUP(F690,STAMPANTI_DB!$A:$I,9,FALSE),"")</f>
        <v/>
      </c>
      <c r="Y690" s="23">
        <f>IFERROR(P690*SETTINGS!$C$7,"")</f>
        <v>0</v>
      </c>
      <c r="Z690" s="23">
        <f>SETTINGS!$C$11</f>
        <v>0.5</v>
      </c>
      <c r="AA690" s="23">
        <f t="shared" si="67"/>
        <v>0.5</v>
      </c>
      <c r="AB690" s="23">
        <f>IFERROR(AA690*SETTINGS!$C$9,"")</f>
        <v>2.5000000000000001E-2</v>
      </c>
      <c r="AC690" s="23">
        <f>IFERROR((AA690+AB690)*SETTINGS!$C$10,"")</f>
        <v>2.6250000000000002E-2</v>
      </c>
    </row>
    <row r="691" spans="1:29" ht="16" x14ac:dyDescent="0.2">
      <c r="A691" s="25"/>
      <c r="H691" t="str">
        <f>IFERROR(VLOOKUP(G691,FILAMENTI_DB!$A:$C,3,FALSE),"")</f>
        <v/>
      </c>
      <c r="I691" t="str">
        <f>IFERROR(VLOOKUP(G691,FILAMENTI_DB!$A:$E,4,FALSE),"")</f>
        <v/>
      </c>
      <c r="J691" s="26"/>
      <c r="K691" s="27"/>
      <c r="L691" s="27"/>
      <c r="M691" s="27">
        <f t="shared" si="62"/>
        <v>0</v>
      </c>
      <c r="N691" s="26">
        <f t="shared" si="63"/>
        <v>0</v>
      </c>
      <c r="O691" s="26"/>
      <c r="P691" s="26"/>
      <c r="Q691" s="23"/>
      <c r="R691" s="23">
        <f t="shared" si="64"/>
        <v>0</v>
      </c>
      <c r="S691" s="23"/>
      <c r="T691" s="23">
        <f t="shared" si="65"/>
        <v>0</v>
      </c>
      <c r="U691" s="28" t="str">
        <f t="shared" si="66"/>
        <v/>
      </c>
      <c r="V691" s="10" t="str">
        <f>IFERROR(N691*VLOOKUP(G691,FILAMENTI_DB!$A:$J,10,FALSE),"")</f>
        <v/>
      </c>
      <c r="W691" s="23" t="str">
        <f>IFERROR((VLOOKUP(F691,STAMPANTI_DB!$A:$C,3,FALSE)/1000)*O691*SETTINGS!$C$6,"")</f>
        <v/>
      </c>
      <c r="X691" s="23" t="str">
        <f>IFERROR(O691*VLOOKUP(F691,STAMPANTI_DB!$A:$I,9,FALSE),"")</f>
        <v/>
      </c>
      <c r="Y691" s="23">
        <f>IFERROR(P691*SETTINGS!$C$7,"")</f>
        <v>0</v>
      </c>
      <c r="Z691" s="23">
        <f>SETTINGS!$C$11</f>
        <v>0.5</v>
      </c>
      <c r="AA691" s="23">
        <f t="shared" si="67"/>
        <v>0.5</v>
      </c>
      <c r="AB691" s="23">
        <f>IFERROR(AA691*SETTINGS!$C$9,"")</f>
        <v>2.5000000000000001E-2</v>
      </c>
      <c r="AC691" s="23">
        <f>IFERROR((AA691+AB691)*SETTINGS!$C$10,"")</f>
        <v>2.6250000000000002E-2</v>
      </c>
    </row>
    <row r="692" spans="1:29" ht="16" x14ac:dyDescent="0.2">
      <c r="A692" s="25"/>
      <c r="H692" t="str">
        <f>IFERROR(VLOOKUP(G692,FILAMENTI_DB!$A:$C,3,FALSE),"")</f>
        <v/>
      </c>
      <c r="I692" t="str">
        <f>IFERROR(VLOOKUP(G692,FILAMENTI_DB!$A:$E,4,FALSE),"")</f>
        <v/>
      </c>
      <c r="J692" s="26"/>
      <c r="K692" s="27"/>
      <c r="L692" s="27"/>
      <c r="M692" s="27">
        <f t="shared" si="62"/>
        <v>0</v>
      </c>
      <c r="N692" s="26">
        <f t="shared" si="63"/>
        <v>0</v>
      </c>
      <c r="O692" s="26"/>
      <c r="P692" s="26"/>
      <c r="Q692" s="23"/>
      <c r="R692" s="23">
        <f t="shared" si="64"/>
        <v>0</v>
      </c>
      <c r="S692" s="23"/>
      <c r="T692" s="23">
        <f t="shared" si="65"/>
        <v>0</v>
      </c>
      <c r="U692" s="28" t="str">
        <f t="shared" si="66"/>
        <v/>
      </c>
      <c r="V692" s="10" t="str">
        <f>IFERROR(N692*VLOOKUP(G692,FILAMENTI_DB!$A:$J,10,FALSE),"")</f>
        <v/>
      </c>
      <c r="W692" s="23" t="str">
        <f>IFERROR((VLOOKUP(F692,STAMPANTI_DB!$A:$C,3,FALSE)/1000)*O692*SETTINGS!$C$6,"")</f>
        <v/>
      </c>
      <c r="X692" s="23" t="str">
        <f>IFERROR(O692*VLOOKUP(F692,STAMPANTI_DB!$A:$I,9,FALSE),"")</f>
        <v/>
      </c>
      <c r="Y692" s="23">
        <f>IFERROR(P692*SETTINGS!$C$7,"")</f>
        <v>0</v>
      </c>
      <c r="Z692" s="23">
        <f>SETTINGS!$C$11</f>
        <v>0.5</v>
      </c>
      <c r="AA692" s="23">
        <f t="shared" si="67"/>
        <v>0.5</v>
      </c>
      <c r="AB692" s="23">
        <f>IFERROR(AA692*SETTINGS!$C$9,"")</f>
        <v>2.5000000000000001E-2</v>
      </c>
      <c r="AC692" s="23">
        <f>IFERROR((AA692+AB692)*SETTINGS!$C$10,"")</f>
        <v>2.6250000000000002E-2</v>
      </c>
    </row>
    <row r="693" spans="1:29" ht="16" x14ac:dyDescent="0.2">
      <c r="A693" s="25"/>
      <c r="H693" t="str">
        <f>IFERROR(VLOOKUP(G693,FILAMENTI_DB!$A:$C,3,FALSE),"")</f>
        <v/>
      </c>
      <c r="I693" t="str">
        <f>IFERROR(VLOOKUP(G693,FILAMENTI_DB!$A:$E,4,FALSE),"")</f>
        <v/>
      </c>
      <c r="J693" s="26"/>
      <c r="K693" s="27"/>
      <c r="L693" s="27"/>
      <c r="M693" s="27">
        <f t="shared" si="62"/>
        <v>0</v>
      </c>
      <c r="N693" s="26">
        <f t="shared" si="63"/>
        <v>0</v>
      </c>
      <c r="O693" s="26"/>
      <c r="P693" s="26"/>
      <c r="Q693" s="23"/>
      <c r="R693" s="23">
        <f t="shared" si="64"/>
        <v>0</v>
      </c>
      <c r="S693" s="23"/>
      <c r="T693" s="23">
        <f t="shared" si="65"/>
        <v>0</v>
      </c>
      <c r="U693" s="28" t="str">
        <f t="shared" si="66"/>
        <v/>
      </c>
      <c r="V693" s="10" t="str">
        <f>IFERROR(N693*VLOOKUP(G693,FILAMENTI_DB!$A:$J,10,FALSE),"")</f>
        <v/>
      </c>
      <c r="W693" s="23" t="str">
        <f>IFERROR((VLOOKUP(F693,STAMPANTI_DB!$A:$C,3,FALSE)/1000)*O693*SETTINGS!$C$6,"")</f>
        <v/>
      </c>
      <c r="X693" s="23" t="str">
        <f>IFERROR(O693*VLOOKUP(F693,STAMPANTI_DB!$A:$I,9,FALSE),"")</f>
        <v/>
      </c>
      <c r="Y693" s="23">
        <f>IFERROR(P693*SETTINGS!$C$7,"")</f>
        <v>0</v>
      </c>
      <c r="Z693" s="23">
        <f>SETTINGS!$C$11</f>
        <v>0.5</v>
      </c>
      <c r="AA693" s="23">
        <f t="shared" si="67"/>
        <v>0.5</v>
      </c>
      <c r="AB693" s="23">
        <f>IFERROR(AA693*SETTINGS!$C$9,"")</f>
        <v>2.5000000000000001E-2</v>
      </c>
      <c r="AC693" s="23">
        <f>IFERROR((AA693+AB693)*SETTINGS!$C$10,"")</f>
        <v>2.6250000000000002E-2</v>
      </c>
    </row>
    <row r="694" spans="1:29" ht="16" x14ac:dyDescent="0.2">
      <c r="A694" s="25"/>
      <c r="H694" t="str">
        <f>IFERROR(VLOOKUP(G694,FILAMENTI_DB!$A:$C,3,FALSE),"")</f>
        <v/>
      </c>
      <c r="I694" t="str">
        <f>IFERROR(VLOOKUP(G694,FILAMENTI_DB!$A:$E,4,FALSE),"")</f>
        <v/>
      </c>
      <c r="J694" s="26"/>
      <c r="K694" s="27"/>
      <c r="L694" s="27"/>
      <c r="M694" s="27">
        <f t="shared" si="62"/>
        <v>0</v>
      </c>
      <c r="N694" s="26">
        <f t="shared" si="63"/>
        <v>0</v>
      </c>
      <c r="O694" s="26"/>
      <c r="P694" s="26"/>
      <c r="Q694" s="23"/>
      <c r="R694" s="23">
        <f t="shared" si="64"/>
        <v>0</v>
      </c>
      <c r="S694" s="23"/>
      <c r="T694" s="23">
        <f t="shared" si="65"/>
        <v>0</v>
      </c>
      <c r="U694" s="28" t="str">
        <f t="shared" si="66"/>
        <v/>
      </c>
      <c r="V694" s="10" t="str">
        <f>IFERROR(N694*VLOOKUP(G694,FILAMENTI_DB!$A:$J,10,FALSE),"")</f>
        <v/>
      </c>
      <c r="W694" s="23" t="str">
        <f>IFERROR((VLOOKUP(F694,STAMPANTI_DB!$A:$C,3,FALSE)/1000)*O694*SETTINGS!$C$6,"")</f>
        <v/>
      </c>
      <c r="X694" s="23" t="str">
        <f>IFERROR(O694*VLOOKUP(F694,STAMPANTI_DB!$A:$I,9,FALSE),"")</f>
        <v/>
      </c>
      <c r="Y694" s="23">
        <f>IFERROR(P694*SETTINGS!$C$7,"")</f>
        <v>0</v>
      </c>
      <c r="Z694" s="23">
        <f>SETTINGS!$C$11</f>
        <v>0.5</v>
      </c>
      <c r="AA694" s="23">
        <f t="shared" si="67"/>
        <v>0.5</v>
      </c>
      <c r="AB694" s="23">
        <f>IFERROR(AA694*SETTINGS!$C$9,"")</f>
        <v>2.5000000000000001E-2</v>
      </c>
      <c r="AC694" s="23">
        <f>IFERROR((AA694+AB694)*SETTINGS!$C$10,"")</f>
        <v>2.6250000000000002E-2</v>
      </c>
    </row>
    <row r="695" spans="1:29" ht="16" x14ac:dyDescent="0.2">
      <c r="A695" s="25"/>
      <c r="H695" t="str">
        <f>IFERROR(VLOOKUP(G695,FILAMENTI_DB!$A:$C,3,FALSE),"")</f>
        <v/>
      </c>
      <c r="I695" t="str">
        <f>IFERROR(VLOOKUP(G695,FILAMENTI_DB!$A:$E,4,FALSE),"")</f>
        <v/>
      </c>
      <c r="J695" s="26"/>
      <c r="K695" s="27"/>
      <c r="L695" s="27"/>
      <c r="M695" s="27">
        <f t="shared" si="62"/>
        <v>0</v>
      </c>
      <c r="N695" s="26">
        <f t="shared" si="63"/>
        <v>0</v>
      </c>
      <c r="O695" s="26"/>
      <c r="P695" s="26"/>
      <c r="Q695" s="23"/>
      <c r="R695" s="23">
        <f t="shared" si="64"/>
        <v>0</v>
      </c>
      <c r="S695" s="23"/>
      <c r="T695" s="23">
        <f t="shared" si="65"/>
        <v>0</v>
      </c>
      <c r="U695" s="28" t="str">
        <f t="shared" si="66"/>
        <v/>
      </c>
      <c r="V695" s="10" t="str">
        <f>IFERROR(N695*VLOOKUP(G695,FILAMENTI_DB!$A:$J,10,FALSE),"")</f>
        <v/>
      </c>
      <c r="W695" s="23" t="str">
        <f>IFERROR((VLOOKUP(F695,STAMPANTI_DB!$A:$C,3,FALSE)/1000)*O695*SETTINGS!$C$6,"")</f>
        <v/>
      </c>
      <c r="X695" s="23" t="str">
        <f>IFERROR(O695*VLOOKUP(F695,STAMPANTI_DB!$A:$I,9,FALSE),"")</f>
        <v/>
      </c>
      <c r="Y695" s="23">
        <f>IFERROR(P695*SETTINGS!$C$7,"")</f>
        <v>0</v>
      </c>
      <c r="Z695" s="23">
        <f>SETTINGS!$C$11</f>
        <v>0.5</v>
      </c>
      <c r="AA695" s="23">
        <f t="shared" si="67"/>
        <v>0.5</v>
      </c>
      <c r="AB695" s="23">
        <f>IFERROR(AA695*SETTINGS!$C$9,"")</f>
        <v>2.5000000000000001E-2</v>
      </c>
      <c r="AC695" s="23">
        <f>IFERROR((AA695+AB695)*SETTINGS!$C$10,"")</f>
        <v>2.6250000000000002E-2</v>
      </c>
    </row>
    <row r="696" spans="1:29" ht="16" x14ac:dyDescent="0.2">
      <c r="A696" s="25"/>
      <c r="H696" t="str">
        <f>IFERROR(VLOOKUP(G696,FILAMENTI_DB!$A:$C,3,FALSE),"")</f>
        <v/>
      </c>
      <c r="I696" t="str">
        <f>IFERROR(VLOOKUP(G696,FILAMENTI_DB!$A:$E,4,FALSE),"")</f>
        <v/>
      </c>
      <c r="J696" s="26"/>
      <c r="K696" s="27"/>
      <c r="L696" s="27"/>
      <c r="M696" s="27">
        <f t="shared" si="62"/>
        <v>0</v>
      </c>
      <c r="N696" s="26">
        <f t="shared" si="63"/>
        <v>0</v>
      </c>
      <c r="O696" s="26"/>
      <c r="P696" s="26"/>
      <c r="Q696" s="23"/>
      <c r="R696" s="23">
        <f t="shared" si="64"/>
        <v>0</v>
      </c>
      <c r="S696" s="23"/>
      <c r="T696" s="23">
        <f t="shared" si="65"/>
        <v>0</v>
      </c>
      <c r="U696" s="28" t="str">
        <f t="shared" si="66"/>
        <v/>
      </c>
      <c r="V696" s="10" t="str">
        <f>IFERROR(N696*VLOOKUP(G696,FILAMENTI_DB!$A:$J,10,FALSE),"")</f>
        <v/>
      </c>
      <c r="W696" s="23" t="str">
        <f>IFERROR((VLOOKUP(F696,STAMPANTI_DB!$A:$C,3,FALSE)/1000)*O696*SETTINGS!$C$6,"")</f>
        <v/>
      </c>
      <c r="X696" s="23" t="str">
        <f>IFERROR(O696*VLOOKUP(F696,STAMPANTI_DB!$A:$I,9,FALSE),"")</f>
        <v/>
      </c>
      <c r="Y696" s="23">
        <f>IFERROR(P696*SETTINGS!$C$7,"")</f>
        <v>0</v>
      </c>
      <c r="Z696" s="23">
        <f>SETTINGS!$C$11</f>
        <v>0.5</v>
      </c>
      <c r="AA696" s="23">
        <f t="shared" si="67"/>
        <v>0.5</v>
      </c>
      <c r="AB696" s="23">
        <f>IFERROR(AA696*SETTINGS!$C$9,"")</f>
        <v>2.5000000000000001E-2</v>
      </c>
      <c r="AC696" s="23">
        <f>IFERROR((AA696+AB696)*SETTINGS!$C$10,"")</f>
        <v>2.6250000000000002E-2</v>
      </c>
    </row>
    <row r="697" spans="1:29" ht="16" x14ac:dyDescent="0.2">
      <c r="A697" s="25"/>
      <c r="H697" t="str">
        <f>IFERROR(VLOOKUP(G697,FILAMENTI_DB!$A:$C,3,FALSE),"")</f>
        <v/>
      </c>
      <c r="I697" t="str">
        <f>IFERROR(VLOOKUP(G697,FILAMENTI_DB!$A:$E,4,FALSE),"")</f>
        <v/>
      </c>
      <c r="J697" s="26"/>
      <c r="K697" s="27"/>
      <c r="L697" s="27"/>
      <c r="M697" s="27">
        <f t="shared" si="62"/>
        <v>0</v>
      </c>
      <c r="N697" s="26">
        <f t="shared" si="63"/>
        <v>0</v>
      </c>
      <c r="O697" s="26"/>
      <c r="P697" s="26"/>
      <c r="Q697" s="23"/>
      <c r="R697" s="23">
        <f t="shared" si="64"/>
        <v>0</v>
      </c>
      <c r="S697" s="23"/>
      <c r="T697" s="23">
        <f t="shared" si="65"/>
        <v>0</v>
      </c>
      <c r="U697" s="28" t="str">
        <f t="shared" si="66"/>
        <v/>
      </c>
      <c r="V697" s="10" t="str">
        <f>IFERROR(N697*VLOOKUP(G697,FILAMENTI_DB!$A:$J,10,FALSE),"")</f>
        <v/>
      </c>
      <c r="W697" s="23" t="str">
        <f>IFERROR((VLOOKUP(F697,STAMPANTI_DB!$A:$C,3,FALSE)/1000)*O697*SETTINGS!$C$6,"")</f>
        <v/>
      </c>
      <c r="X697" s="23" t="str">
        <f>IFERROR(O697*VLOOKUP(F697,STAMPANTI_DB!$A:$I,9,FALSE),"")</f>
        <v/>
      </c>
      <c r="Y697" s="23">
        <f>IFERROR(P697*SETTINGS!$C$7,"")</f>
        <v>0</v>
      </c>
      <c r="Z697" s="23">
        <f>SETTINGS!$C$11</f>
        <v>0.5</v>
      </c>
      <c r="AA697" s="23">
        <f t="shared" si="67"/>
        <v>0.5</v>
      </c>
      <c r="AB697" s="23">
        <f>IFERROR(AA697*SETTINGS!$C$9,"")</f>
        <v>2.5000000000000001E-2</v>
      </c>
      <c r="AC697" s="23">
        <f>IFERROR((AA697+AB697)*SETTINGS!$C$10,"")</f>
        <v>2.6250000000000002E-2</v>
      </c>
    </row>
    <row r="698" spans="1:29" ht="16" x14ac:dyDescent="0.2">
      <c r="A698" s="25"/>
      <c r="H698" t="str">
        <f>IFERROR(VLOOKUP(G698,FILAMENTI_DB!$A:$C,3,FALSE),"")</f>
        <v/>
      </c>
      <c r="I698" t="str">
        <f>IFERROR(VLOOKUP(G698,FILAMENTI_DB!$A:$E,4,FALSE),"")</f>
        <v/>
      </c>
      <c r="J698" s="26"/>
      <c r="K698" s="27"/>
      <c r="L698" s="27"/>
      <c r="M698" s="27">
        <f t="shared" si="62"/>
        <v>0</v>
      </c>
      <c r="N698" s="26">
        <f t="shared" si="63"/>
        <v>0</v>
      </c>
      <c r="O698" s="26"/>
      <c r="P698" s="26"/>
      <c r="Q698" s="23"/>
      <c r="R698" s="23">
        <f t="shared" si="64"/>
        <v>0</v>
      </c>
      <c r="S698" s="23"/>
      <c r="T698" s="23">
        <f t="shared" si="65"/>
        <v>0</v>
      </c>
      <c r="U698" s="28" t="str">
        <f t="shared" si="66"/>
        <v/>
      </c>
      <c r="V698" s="10" t="str">
        <f>IFERROR(N698*VLOOKUP(G698,FILAMENTI_DB!$A:$J,10,FALSE),"")</f>
        <v/>
      </c>
      <c r="W698" s="23" t="str">
        <f>IFERROR((VLOOKUP(F698,STAMPANTI_DB!$A:$C,3,FALSE)/1000)*O698*SETTINGS!$C$6,"")</f>
        <v/>
      </c>
      <c r="X698" s="23" t="str">
        <f>IFERROR(O698*VLOOKUP(F698,STAMPANTI_DB!$A:$I,9,FALSE),"")</f>
        <v/>
      </c>
      <c r="Y698" s="23">
        <f>IFERROR(P698*SETTINGS!$C$7,"")</f>
        <v>0</v>
      </c>
      <c r="Z698" s="23">
        <f>SETTINGS!$C$11</f>
        <v>0.5</v>
      </c>
      <c r="AA698" s="23">
        <f t="shared" si="67"/>
        <v>0.5</v>
      </c>
      <c r="AB698" s="23">
        <f>IFERROR(AA698*SETTINGS!$C$9,"")</f>
        <v>2.5000000000000001E-2</v>
      </c>
      <c r="AC698" s="23">
        <f>IFERROR((AA698+AB698)*SETTINGS!$C$10,"")</f>
        <v>2.6250000000000002E-2</v>
      </c>
    </row>
    <row r="699" spans="1:29" ht="16" x14ac:dyDescent="0.2">
      <c r="A699" s="25"/>
      <c r="H699" t="str">
        <f>IFERROR(VLOOKUP(G699,FILAMENTI_DB!$A:$C,3,FALSE),"")</f>
        <v/>
      </c>
      <c r="I699" t="str">
        <f>IFERROR(VLOOKUP(G699,FILAMENTI_DB!$A:$E,4,FALSE),"")</f>
        <v/>
      </c>
      <c r="J699" s="26"/>
      <c r="K699" s="27"/>
      <c r="L699" s="27"/>
      <c r="M699" s="27">
        <f t="shared" si="62"/>
        <v>0</v>
      </c>
      <c r="N699" s="26">
        <f t="shared" si="63"/>
        <v>0</v>
      </c>
      <c r="O699" s="26"/>
      <c r="P699" s="26"/>
      <c r="Q699" s="23"/>
      <c r="R699" s="23">
        <f t="shared" si="64"/>
        <v>0</v>
      </c>
      <c r="S699" s="23"/>
      <c r="T699" s="23">
        <f t="shared" si="65"/>
        <v>0</v>
      </c>
      <c r="U699" s="28" t="str">
        <f t="shared" si="66"/>
        <v/>
      </c>
      <c r="V699" s="10" t="str">
        <f>IFERROR(N699*VLOOKUP(G699,FILAMENTI_DB!$A:$J,10,FALSE),"")</f>
        <v/>
      </c>
      <c r="W699" s="23" t="str">
        <f>IFERROR((VLOOKUP(F699,STAMPANTI_DB!$A:$C,3,FALSE)/1000)*O699*SETTINGS!$C$6,"")</f>
        <v/>
      </c>
      <c r="X699" s="23" t="str">
        <f>IFERROR(O699*VLOOKUP(F699,STAMPANTI_DB!$A:$I,9,FALSE),"")</f>
        <v/>
      </c>
      <c r="Y699" s="23">
        <f>IFERROR(P699*SETTINGS!$C$7,"")</f>
        <v>0</v>
      </c>
      <c r="Z699" s="23">
        <f>SETTINGS!$C$11</f>
        <v>0.5</v>
      </c>
      <c r="AA699" s="23">
        <f t="shared" si="67"/>
        <v>0.5</v>
      </c>
      <c r="AB699" s="23">
        <f>IFERROR(AA699*SETTINGS!$C$9,"")</f>
        <v>2.5000000000000001E-2</v>
      </c>
      <c r="AC699" s="23">
        <f>IFERROR((AA699+AB699)*SETTINGS!$C$10,"")</f>
        <v>2.6250000000000002E-2</v>
      </c>
    </row>
    <row r="700" spans="1:29" ht="16" x14ac:dyDescent="0.2">
      <c r="A700" s="25"/>
      <c r="H700" t="str">
        <f>IFERROR(VLOOKUP(G700,FILAMENTI_DB!$A:$C,3,FALSE),"")</f>
        <v/>
      </c>
      <c r="I700" t="str">
        <f>IFERROR(VLOOKUP(G700,FILAMENTI_DB!$A:$E,4,FALSE),"")</f>
        <v/>
      </c>
      <c r="J700" s="26"/>
      <c r="K700" s="27"/>
      <c r="L700" s="27"/>
      <c r="M700" s="27">
        <f t="shared" si="62"/>
        <v>0</v>
      </c>
      <c r="N700" s="26">
        <f t="shared" si="63"/>
        <v>0</v>
      </c>
      <c r="O700" s="26"/>
      <c r="P700" s="26"/>
      <c r="Q700" s="23"/>
      <c r="R700" s="23">
        <f t="shared" si="64"/>
        <v>0</v>
      </c>
      <c r="S700" s="23"/>
      <c r="T700" s="23">
        <f t="shared" si="65"/>
        <v>0</v>
      </c>
      <c r="U700" s="28" t="str">
        <f t="shared" si="66"/>
        <v/>
      </c>
      <c r="V700" s="10" t="str">
        <f>IFERROR(N700*VLOOKUP(G700,FILAMENTI_DB!$A:$J,10,FALSE),"")</f>
        <v/>
      </c>
      <c r="W700" s="23" t="str">
        <f>IFERROR((VLOOKUP(F700,STAMPANTI_DB!$A:$C,3,FALSE)/1000)*O700*SETTINGS!$C$6,"")</f>
        <v/>
      </c>
      <c r="X700" s="23" t="str">
        <f>IFERROR(O700*VLOOKUP(F700,STAMPANTI_DB!$A:$I,9,FALSE),"")</f>
        <v/>
      </c>
      <c r="Y700" s="23">
        <f>IFERROR(P700*SETTINGS!$C$7,"")</f>
        <v>0</v>
      </c>
      <c r="Z700" s="23">
        <f>SETTINGS!$C$11</f>
        <v>0.5</v>
      </c>
      <c r="AA700" s="23">
        <f t="shared" si="67"/>
        <v>0.5</v>
      </c>
      <c r="AB700" s="23">
        <f>IFERROR(AA700*SETTINGS!$C$9,"")</f>
        <v>2.5000000000000001E-2</v>
      </c>
      <c r="AC700" s="23">
        <f>IFERROR((AA700+AB700)*SETTINGS!$C$10,"")</f>
        <v>2.6250000000000002E-2</v>
      </c>
    </row>
    <row r="701" spans="1:29" ht="16" x14ac:dyDescent="0.2">
      <c r="A701" s="25"/>
      <c r="H701" t="str">
        <f>IFERROR(VLOOKUP(G701,FILAMENTI_DB!$A:$C,3,FALSE),"")</f>
        <v/>
      </c>
      <c r="I701" t="str">
        <f>IFERROR(VLOOKUP(G701,FILAMENTI_DB!$A:$E,4,FALSE),"")</f>
        <v/>
      </c>
      <c r="J701" s="26"/>
      <c r="K701" s="27"/>
      <c r="L701" s="27"/>
      <c r="M701" s="27">
        <f t="shared" si="62"/>
        <v>0</v>
      </c>
      <c r="N701" s="26">
        <f t="shared" si="63"/>
        <v>0</v>
      </c>
      <c r="O701" s="26"/>
      <c r="P701" s="26"/>
      <c r="Q701" s="23"/>
      <c r="R701" s="23">
        <f t="shared" si="64"/>
        <v>0</v>
      </c>
      <c r="S701" s="23"/>
      <c r="T701" s="23">
        <f t="shared" si="65"/>
        <v>0</v>
      </c>
      <c r="U701" s="28" t="str">
        <f t="shared" si="66"/>
        <v/>
      </c>
      <c r="V701" s="10" t="str">
        <f>IFERROR(N701*VLOOKUP(G701,FILAMENTI_DB!$A:$J,10,FALSE),"")</f>
        <v/>
      </c>
      <c r="W701" s="23" t="str">
        <f>IFERROR((VLOOKUP(F701,STAMPANTI_DB!$A:$C,3,FALSE)/1000)*O701*SETTINGS!$C$6,"")</f>
        <v/>
      </c>
      <c r="X701" s="23" t="str">
        <f>IFERROR(O701*VLOOKUP(F701,STAMPANTI_DB!$A:$I,9,FALSE),"")</f>
        <v/>
      </c>
      <c r="Y701" s="23">
        <f>IFERROR(P701*SETTINGS!$C$7,"")</f>
        <v>0</v>
      </c>
      <c r="Z701" s="23">
        <f>SETTINGS!$C$11</f>
        <v>0.5</v>
      </c>
      <c r="AA701" s="23">
        <f t="shared" si="67"/>
        <v>0.5</v>
      </c>
      <c r="AB701" s="23">
        <f>IFERROR(AA701*SETTINGS!$C$9,"")</f>
        <v>2.5000000000000001E-2</v>
      </c>
      <c r="AC701" s="23">
        <f>IFERROR((AA701+AB701)*SETTINGS!$C$10,"")</f>
        <v>2.6250000000000002E-2</v>
      </c>
    </row>
    <row r="702" spans="1:29" ht="16" x14ac:dyDescent="0.2">
      <c r="A702" s="25"/>
      <c r="H702" t="str">
        <f>IFERROR(VLOOKUP(G702,FILAMENTI_DB!$A:$C,3,FALSE),"")</f>
        <v/>
      </c>
      <c r="I702" t="str">
        <f>IFERROR(VLOOKUP(G702,FILAMENTI_DB!$A:$E,4,FALSE),"")</f>
        <v/>
      </c>
      <c r="J702" s="26"/>
      <c r="K702" s="27"/>
      <c r="L702" s="27"/>
      <c r="M702" s="27">
        <f t="shared" si="62"/>
        <v>0</v>
      </c>
      <c r="N702" s="26">
        <f t="shared" si="63"/>
        <v>0</v>
      </c>
      <c r="O702" s="26"/>
      <c r="P702" s="26"/>
      <c r="Q702" s="23"/>
      <c r="R702" s="23">
        <f t="shared" si="64"/>
        <v>0</v>
      </c>
      <c r="S702" s="23"/>
      <c r="T702" s="23">
        <f t="shared" si="65"/>
        <v>0</v>
      </c>
      <c r="U702" s="28" t="str">
        <f t="shared" si="66"/>
        <v/>
      </c>
      <c r="V702" s="10" t="str">
        <f>IFERROR(N702*VLOOKUP(G702,FILAMENTI_DB!$A:$J,10,FALSE),"")</f>
        <v/>
      </c>
      <c r="W702" s="23" t="str">
        <f>IFERROR((VLOOKUP(F702,STAMPANTI_DB!$A:$C,3,FALSE)/1000)*O702*SETTINGS!$C$6,"")</f>
        <v/>
      </c>
      <c r="X702" s="23" t="str">
        <f>IFERROR(O702*VLOOKUP(F702,STAMPANTI_DB!$A:$I,9,FALSE),"")</f>
        <v/>
      </c>
      <c r="Y702" s="23">
        <f>IFERROR(P702*SETTINGS!$C$7,"")</f>
        <v>0</v>
      </c>
      <c r="Z702" s="23">
        <f>SETTINGS!$C$11</f>
        <v>0.5</v>
      </c>
      <c r="AA702" s="23">
        <f t="shared" si="67"/>
        <v>0.5</v>
      </c>
      <c r="AB702" s="23">
        <f>IFERROR(AA702*SETTINGS!$C$9,"")</f>
        <v>2.5000000000000001E-2</v>
      </c>
      <c r="AC702" s="23">
        <f>IFERROR((AA702+AB702)*SETTINGS!$C$10,"")</f>
        <v>2.6250000000000002E-2</v>
      </c>
    </row>
    <row r="703" spans="1:29" ht="16" x14ac:dyDescent="0.2">
      <c r="A703" s="25"/>
      <c r="H703" t="str">
        <f>IFERROR(VLOOKUP(G703,FILAMENTI_DB!$A:$C,3,FALSE),"")</f>
        <v/>
      </c>
      <c r="I703" t="str">
        <f>IFERROR(VLOOKUP(G703,FILAMENTI_DB!$A:$E,4,FALSE),"")</f>
        <v/>
      </c>
      <c r="J703" s="26"/>
      <c r="K703" s="27"/>
      <c r="L703" s="27"/>
      <c r="M703" s="27">
        <f t="shared" si="62"/>
        <v>0</v>
      </c>
      <c r="N703" s="26">
        <f t="shared" si="63"/>
        <v>0</v>
      </c>
      <c r="O703" s="26"/>
      <c r="P703" s="26"/>
      <c r="Q703" s="23"/>
      <c r="R703" s="23">
        <f t="shared" si="64"/>
        <v>0</v>
      </c>
      <c r="S703" s="23"/>
      <c r="T703" s="23">
        <f t="shared" si="65"/>
        <v>0</v>
      </c>
      <c r="U703" s="28" t="str">
        <f t="shared" si="66"/>
        <v/>
      </c>
      <c r="V703" s="10" t="str">
        <f>IFERROR(N703*VLOOKUP(G703,FILAMENTI_DB!$A:$J,10,FALSE),"")</f>
        <v/>
      </c>
      <c r="W703" s="23" t="str">
        <f>IFERROR((VLOOKUP(F703,STAMPANTI_DB!$A:$C,3,FALSE)/1000)*O703*SETTINGS!$C$6,"")</f>
        <v/>
      </c>
      <c r="X703" s="23" t="str">
        <f>IFERROR(O703*VLOOKUP(F703,STAMPANTI_DB!$A:$I,9,FALSE),"")</f>
        <v/>
      </c>
      <c r="Y703" s="23">
        <f>IFERROR(P703*SETTINGS!$C$7,"")</f>
        <v>0</v>
      </c>
      <c r="Z703" s="23">
        <f>SETTINGS!$C$11</f>
        <v>0.5</v>
      </c>
      <c r="AA703" s="23">
        <f t="shared" si="67"/>
        <v>0.5</v>
      </c>
      <c r="AB703" s="23">
        <f>IFERROR(AA703*SETTINGS!$C$9,"")</f>
        <v>2.5000000000000001E-2</v>
      </c>
      <c r="AC703" s="23">
        <f>IFERROR((AA703+AB703)*SETTINGS!$C$10,"")</f>
        <v>2.6250000000000002E-2</v>
      </c>
    </row>
    <row r="704" spans="1:29" ht="16" x14ac:dyDescent="0.2">
      <c r="A704" s="25"/>
      <c r="H704" t="str">
        <f>IFERROR(VLOOKUP(G704,FILAMENTI_DB!$A:$C,3,FALSE),"")</f>
        <v/>
      </c>
      <c r="I704" t="str">
        <f>IFERROR(VLOOKUP(G704,FILAMENTI_DB!$A:$E,4,FALSE),"")</f>
        <v/>
      </c>
      <c r="J704" s="26"/>
      <c r="K704" s="27"/>
      <c r="L704" s="27"/>
      <c r="M704" s="27">
        <f t="shared" si="62"/>
        <v>0</v>
      </c>
      <c r="N704" s="26">
        <f t="shared" si="63"/>
        <v>0</v>
      </c>
      <c r="O704" s="26"/>
      <c r="P704" s="26"/>
      <c r="Q704" s="23"/>
      <c r="R704" s="23">
        <f t="shared" si="64"/>
        <v>0</v>
      </c>
      <c r="S704" s="23"/>
      <c r="T704" s="23">
        <f t="shared" si="65"/>
        <v>0</v>
      </c>
      <c r="U704" s="28" t="str">
        <f t="shared" si="66"/>
        <v/>
      </c>
      <c r="V704" s="10" t="str">
        <f>IFERROR(N704*VLOOKUP(G704,FILAMENTI_DB!$A:$J,10,FALSE),"")</f>
        <v/>
      </c>
      <c r="W704" s="23" t="str">
        <f>IFERROR((VLOOKUP(F704,STAMPANTI_DB!$A:$C,3,FALSE)/1000)*O704*SETTINGS!$C$6,"")</f>
        <v/>
      </c>
      <c r="X704" s="23" t="str">
        <f>IFERROR(O704*VLOOKUP(F704,STAMPANTI_DB!$A:$I,9,FALSE),"")</f>
        <v/>
      </c>
      <c r="Y704" s="23">
        <f>IFERROR(P704*SETTINGS!$C$7,"")</f>
        <v>0</v>
      </c>
      <c r="Z704" s="23">
        <f>SETTINGS!$C$11</f>
        <v>0.5</v>
      </c>
      <c r="AA704" s="23">
        <f t="shared" si="67"/>
        <v>0.5</v>
      </c>
      <c r="AB704" s="23">
        <f>IFERROR(AA704*SETTINGS!$C$9,"")</f>
        <v>2.5000000000000001E-2</v>
      </c>
      <c r="AC704" s="23">
        <f>IFERROR((AA704+AB704)*SETTINGS!$C$10,"")</f>
        <v>2.6250000000000002E-2</v>
      </c>
    </row>
    <row r="705" spans="1:29" ht="16" x14ac:dyDescent="0.2">
      <c r="A705" s="25"/>
      <c r="H705" t="str">
        <f>IFERROR(VLOOKUP(G705,FILAMENTI_DB!$A:$C,3,FALSE),"")</f>
        <v/>
      </c>
      <c r="I705" t="str">
        <f>IFERROR(VLOOKUP(G705,FILAMENTI_DB!$A:$E,4,FALSE),"")</f>
        <v/>
      </c>
      <c r="J705" s="26"/>
      <c r="K705" s="27"/>
      <c r="L705" s="27"/>
      <c r="M705" s="27">
        <f t="shared" si="62"/>
        <v>0</v>
      </c>
      <c r="N705" s="26">
        <f t="shared" si="63"/>
        <v>0</v>
      </c>
      <c r="O705" s="26"/>
      <c r="P705" s="26"/>
      <c r="Q705" s="23"/>
      <c r="R705" s="23">
        <f t="shared" si="64"/>
        <v>0</v>
      </c>
      <c r="S705" s="23"/>
      <c r="T705" s="23">
        <f t="shared" si="65"/>
        <v>0</v>
      </c>
      <c r="U705" s="28" t="str">
        <f t="shared" si="66"/>
        <v/>
      </c>
      <c r="V705" s="10" t="str">
        <f>IFERROR(N705*VLOOKUP(G705,FILAMENTI_DB!$A:$J,10,FALSE),"")</f>
        <v/>
      </c>
      <c r="W705" s="23" t="str">
        <f>IFERROR((VLOOKUP(F705,STAMPANTI_DB!$A:$C,3,FALSE)/1000)*O705*SETTINGS!$C$6,"")</f>
        <v/>
      </c>
      <c r="X705" s="23" t="str">
        <f>IFERROR(O705*VLOOKUP(F705,STAMPANTI_DB!$A:$I,9,FALSE),"")</f>
        <v/>
      </c>
      <c r="Y705" s="23">
        <f>IFERROR(P705*SETTINGS!$C$7,"")</f>
        <v>0</v>
      </c>
      <c r="Z705" s="23">
        <f>SETTINGS!$C$11</f>
        <v>0.5</v>
      </c>
      <c r="AA705" s="23">
        <f t="shared" si="67"/>
        <v>0.5</v>
      </c>
      <c r="AB705" s="23">
        <f>IFERROR(AA705*SETTINGS!$C$9,"")</f>
        <v>2.5000000000000001E-2</v>
      </c>
      <c r="AC705" s="23">
        <f>IFERROR((AA705+AB705)*SETTINGS!$C$10,"")</f>
        <v>2.6250000000000002E-2</v>
      </c>
    </row>
    <row r="706" spans="1:29" ht="16" x14ac:dyDescent="0.2">
      <c r="A706" s="25"/>
      <c r="H706" t="str">
        <f>IFERROR(VLOOKUP(G706,FILAMENTI_DB!$A:$C,3,FALSE),"")</f>
        <v/>
      </c>
      <c r="I706" t="str">
        <f>IFERROR(VLOOKUP(G706,FILAMENTI_DB!$A:$E,4,FALSE),"")</f>
        <v/>
      </c>
      <c r="J706" s="26"/>
      <c r="K706" s="27"/>
      <c r="L706" s="27"/>
      <c r="M706" s="27">
        <f t="shared" si="62"/>
        <v>0</v>
      </c>
      <c r="N706" s="26">
        <f t="shared" si="63"/>
        <v>0</v>
      </c>
      <c r="O706" s="26"/>
      <c r="P706" s="26"/>
      <c r="Q706" s="23"/>
      <c r="R706" s="23">
        <f t="shared" si="64"/>
        <v>0</v>
      </c>
      <c r="S706" s="23"/>
      <c r="T706" s="23">
        <f t="shared" si="65"/>
        <v>0</v>
      </c>
      <c r="U706" s="28" t="str">
        <f t="shared" si="66"/>
        <v/>
      </c>
      <c r="V706" s="10" t="str">
        <f>IFERROR(N706*VLOOKUP(G706,FILAMENTI_DB!$A:$J,10,FALSE),"")</f>
        <v/>
      </c>
      <c r="W706" s="23" t="str">
        <f>IFERROR((VLOOKUP(F706,STAMPANTI_DB!$A:$C,3,FALSE)/1000)*O706*SETTINGS!$C$6,"")</f>
        <v/>
      </c>
      <c r="X706" s="23" t="str">
        <f>IFERROR(O706*VLOOKUP(F706,STAMPANTI_DB!$A:$I,9,FALSE),"")</f>
        <v/>
      </c>
      <c r="Y706" s="23">
        <f>IFERROR(P706*SETTINGS!$C$7,"")</f>
        <v>0</v>
      </c>
      <c r="Z706" s="23">
        <f>SETTINGS!$C$11</f>
        <v>0.5</v>
      </c>
      <c r="AA706" s="23">
        <f t="shared" si="67"/>
        <v>0.5</v>
      </c>
      <c r="AB706" s="23">
        <f>IFERROR(AA706*SETTINGS!$C$9,"")</f>
        <v>2.5000000000000001E-2</v>
      </c>
      <c r="AC706" s="23">
        <f>IFERROR((AA706+AB706)*SETTINGS!$C$10,"")</f>
        <v>2.6250000000000002E-2</v>
      </c>
    </row>
    <row r="707" spans="1:29" ht="16" x14ac:dyDescent="0.2">
      <c r="A707" s="25"/>
      <c r="H707" t="str">
        <f>IFERROR(VLOOKUP(G707,FILAMENTI_DB!$A:$C,3,FALSE),"")</f>
        <v/>
      </c>
      <c r="I707" t="str">
        <f>IFERROR(VLOOKUP(G707,FILAMENTI_DB!$A:$E,4,FALSE),"")</f>
        <v/>
      </c>
      <c r="J707" s="26"/>
      <c r="K707" s="27"/>
      <c r="L707" s="27"/>
      <c r="M707" s="27">
        <f t="shared" si="62"/>
        <v>0</v>
      </c>
      <c r="N707" s="26">
        <f t="shared" si="63"/>
        <v>0</v>
      </c>
      <c r="O707" s="26"/>
      <c r="P707" s="26"/>
      <c r="Q707" s="23"/>
      <c r="R707" s="23">
        <f t="shared" si="64"/>
        <v>0</v>
      </c>
      <c r="S707" s="23"/>
      <c r="T707" s="23">
        <f t="shared" si="65"/>
        <v>0</v>
      </c>
      <c r="U707" s="28" t="str">
        <f t="shared" si="66"/>
        <v/>
      </c>
      <c r="V707" s="10" t="str">
        <f>IFERROR(N707*VLOOKUP(G707,FILAMENTI_DB!$A:$J,10,FALSE),"")</f>
        <v/>
      </c>
      <c r="W707" s="23" t="str">
        <f>IFERROR((VLOOKUP(F707,STAMPANTI_DB!$A:$C,3,FALSE)/1000)*O707*SETTINGS!$C$6,"")</f>
        <v/>
      </c>
      <c r="X707" s="23" t="str">
        <f>IFERROR(O707*VLOOKUP(F707,STAMPANTI_DB!$A:$I,9,FALSE),"")</f>
        <v/>
      </c>
      <c r="Y707" s="23">
        <f>IFERROR(P707*SETTINGS!$C$7,"")</f>
        <v>0</v>
      </c>
      <c r="Z707" s="23">
        <f>SETTINGS!$C$11</f>
        <v>0.5</v>
      </c>
      <c r="AA707" s="23">
        <f t="shared" si="67"/>
        <v>0.5</v>
      </c>
      <c r="AB707" s="23">
        <f>IFERROR(AA707*SETTINGS!$C$9,"")</f>
        <v>2.5000000000000001E-2</v>
      </c>
      <c r="AC707" s="23">
        <f>IFERROR((AA707+AB707)*SETTINGS!$C$10,"")</f>
        <v>2.6250000000000002E-2</v>
      </c>
    </row>
    <row r="708" spans="1:29" ht="16" x14ac:dyDescent="0.2">
      <c r="A708" s="25"/>
      <c r="H708" t="str">
        <f>IFERROR(VLOOKUP(G708,FILAMENTI_DB!$A:$C,3,FALSE),"")</f>
        <v/>
      </c>
      <c r="I708" t="str">
        <f>IFERROR(VLOOKUP(G708,FILAMENTI_DB!$A:$E,4,FALSE),"")</f>
        <v/>
      </c>
      <c r="J708" s="26"/>
      <c r="K708" s="27"/>
      <c r="L708" s="27"/>
      <c r="M708" s="27">
        <f t="shared" si="62"/>
        <v>0</v>
      </c>
      <c r="N708" s="26">
        <f t="shared" si="63"/>
        <v>0</v>
      </c>
      <c r="O708" s="26"/>
      <c r="P708" s="26"/>
      <c r="Q708" s="23"/>
      <c r="R708" s="23">
        <f t="shared" si="64"/>
        <v>0</v>
      </c>
      <c r="S708" s="23"/>
      <c r="T708" s="23">
        <f t="shared" si="65"/>
        <v>0</v>
      </c>
      <c r="U708" s="28" t="str">
        <f t="shared" si="66"/>
        <v/>
      </c>
      <c r="V708" s="10" t="str">
        <f>IFERROR(N708*VLOOKUP(G708,FILAMENTI_DB!$A:$J,10,FALSE),"")</f>
        <v/>
      </c>
      <c r="W708" s="23" t="str">
        <f>IFERROR((VLOOKUP(F708,STAMPANTI_DB!$A:$C,3,FALSE)/1000)*O708*SETTINGS!$C$6,"")</f>
        <v/>
      </c>
      <c r="X708" s="23" t="str">
        <f>IFERROR(O708*VLOOKUP(F708,STAMPANTI_DB!$A:$I,9,FALSE),"")</f>
        <v/>
      </c>
      <c r="Y708" s="23">
        <f>IFERROR(P708*SETTINGS!$C$7,"")</f>
        <v>0</v>
      </c>
      <c r="Z708" s="23">
        <f>SETTINGS!$C$11</f>
        <v>0.5</v>
      </c>
      <c r="AA708" s="23">
        <f t="shared" si="67"/>
        <v>0.5</v>
      </c>
      <c r="AB708" s="23">
        <f>IFERROR(AA708*SETTINGS!$C$9,"")</f>
        <v>2.5000000000000001E-2</v>
      </c>
      <c r="AC708" s="23">
        <f>IFERROR((AA708+AB708)*SETTINGS!$C$10,"")</f>
        <v>2.6250000000000002E-2</v>
      </c>
    </row>
    <row r="709" spans="1:29" ht="16" x14ac:dyDescent="0.2">
      <c r="A709" s="25"/>
      <c r="H709" t="str">
        <f>IFERROR(VLOOKUP(G709,FILAMENTI_DB!$A:$C,3,FALSE),"")</f>
        <v/>
      </c>
      <c r="I709" t="str">
        <f>IFERROR(VLOOKUP(G709,FILAMENTI_DB!$A:$E,4,FALSE),"")</f>
        <v/>
      </c>
      <c r="J709" s="26"/>
      <c r="K709" s="27"/>
      <c r="L709" s="27"/>
      <c r="M709" s="27">
        <f t="shared" ref="M709:M772" si="68">IFERROR(K709+L709,"")</f>
        <v>0</v>
      </c>
      <c r="N709" s="26">
        <f t="shared" ref="N709:N772" si="69">IFERROR(J709*M709,"")</f>
        <v>0</v>
      </c>
      <c r="O709" s="26"/>
      <c r="P709" s="26"/>
      <c r="Q709" s="23"/>
      <c r="R709" s="23">
        <f t="shared" ref="R709:R772" si="70">IFERROR(Q709*K709,"")</f>
        <v>0</v>
      </c>
      <c r="S709" s="23"/>
      <c r="T709" s="23">
        <f t="shared" ref="T709:T772" si="71">IFERROR(R709-S709,"")</f>
        <v>0</v>
      </c>
      <c r="U709" s="28" t="str">
        <f t="shared" ref="U709:U772" si="72">IFERROR(T709/R709,"")</f>
        <v/>
      </c>
      <c r="V709" s="10" t="str">
        <f>IFERROR(N709*VLOOKUP(G709,FILAMENTI_DB!$A:$J,10,FALSE),"")</f>
        <v/>
      </c>
      <c r="W709" s="23" t="str">
        <f>IFERROR((VLOOKUP(F709,STAMPANTI_DB!$A:$C,3,FALSE)/1000)*O709*SETTINGS!$C$6,"")</f>
        <v/>
      </c>
      <c r="X709" s="23" t="str">
        <f>IFERROR(O709*VLOOKUP(F709,STAMPANTI_DB!$A:$I,9,FALSE),"")</f>
        <v/>
      </c>
      <c r="Y709" s="23">
        <f>IFERROR(P709*SETTINGS!$C$7,"")</f>
        <v>0</v>
      </c>
      <c r="Z709" s="23">
        <f>SETTINGS!$C$11</f>
        <v>0.5</v>
      </c>
      <c r="AA709" s="23">
        <f t="shared" ref="AA709:AA772" si="73">IFERROR(SUM(V709:Z709),"")</f>
        <v>0.5</v>
      </c>
      <c r="AB709" s="23">
        <f>IFERROR(AA709*SETTINGS!$C$9,"")</f>
        <v>2.5000000000000001E-2</v>
      </c>
      <c r="AC709" s="23">
        <f>IFERROR((AA709+AB709)*SETTINGS!$C$10,"")</f>
        <v>2.6250000000000002E-2</v>
      </c>
    </row>
    <row r="710" spans="1:29" ht="16" x14ac:dyDescent="0.2">
      <c r="A710" s="25"/>
      <c r="H710" t="str">
        <f>IFERROR(VLOOKUP(G710,FILAMENTI_DB!$A:$C,3,FALSE),"")</f>
        <v/>
      </c>
      <c r="I710" t="str">
        <f>IFERROR(VLOOKUP(G710,FILAMENTI_DB!$A:$E,4,FALSE),"")</f>
        <v/>
      </c>
      <c r="J710" s="26"/>
      <c r="K710" s="27"/>
      <c r="L710" s="27"/>
      <c r="M710" s="27">
        <f t="shared" si="68"/>
        <v>0</v>
      </c>
      <c r="N710" s="26">
        <f t="shared" si="69"/>
        <v>0</v>
      </c>
      <c r="O710" s="26"/>
      <c r="P710" s="26"/>
      <c r="Q710" s="23"/>
      <c r="R710" s="23">
        <f t="shared" si="70"/>
        <v>0</v>
      </c>
      <c r="S710" s="23"/>
      <c r="T710" s="23">
        <f t="shared" si="71"/>
        <v>0</v>
      </c>
      <c r="U710" s="28" t="str">
        <f t="shared" si="72"/>
        <v/>
      </c>
      <c r="V710" s="10" t="str">
        <f>IFERROR(N710*VLOOKUP(G710,FILAMENTI_DB!$A:$J,10,FALSE),"")</f>
        <v/>
      </c>
      <c r="W710" s="23" t="str">
        <f>IFERROR((VLOOKUP(F710,STAMPANTI_DB!$A:$C,3,FALSE)/1000)*O710*SETTINGS!$C$6,"")</f>
        <v/>
      </c>
      <c r="X710" s="23" t="str">
        <f>IFERROR(O710*VLOOKUP(F710,STAMPANTI_DB!$A:$I,9,FALSE),"")</f>
        <v/>
      </c>
      <c r="Y710" s="23">
        <f>IFERROR(P710*SETTINGS!$C$7,"")</f>
        <v>0</v>
      </c>
      <c r="Z710" s="23">
        <f>SETTINGS!$C$11</f>
        <v>0.5</v>
      </c>
      <c r="AA710" s="23">
        <f t="shared" si="73"/>
        <v>0.5</v>
      </c>
      <c r="AB710" s="23">
        <f>IFERROR(AA710*SETTINGS!$C$9,"")</f>
        <v>2.5000000000000001E-2</v>
      </c>
      <c r="AC710" s="23">
        <f>IFERROR((AA710+AB710)*SETTINGS!$C$10,"")</f>
        <v>2.6250000000000002E-2</v>
      </c>
    </row>
    <row r="711" spans="1:29" ht="16" x14ac:dyDescent="0.2">
      <c r="A711" s="25"/>
      <c r="H711" t="str">
        <f>IFERROR(VLOOKUP(G711,FILAMENTI_DB!$A:$C,3,FALSE),"")</f>
        <v/>
      </c>
      <c r="I711" t="str">
        <f>IFERROR(VLOOKUP(G711,FILAMENTI_DB!$A:$E,4,FALSE),"")</f>
        <v/>
      </c>
      <c r="J711" s="26"/>
      <c r="K711" s="27"/>
      <c r="L711" s="27"/>
      <c r="M711" s="27">
        <f t="shared" si="68"/>
        <v>0</v>
      </c>
      <c r="N711" s="26">
        <f t="shared" si="69"/>
        <v>0</v>
      </c>
      <c r="O711" s="26"/>
      <c r="P711" s="26"/>
      <c r="Q711" s="23"/>
      <c r="R711" s="23">
        <f t="shared" si="70"/>
        <v>0</v>
      </c>
      <c r="S711" s="23"/>
      <c r="T711" s="23">
        <f t="shared" si="71"/>
        <v>0</v>
      </c>
      <c r="U711" s="28" t="str">
        <f t="shared" si="72"/>
        <v/>
      </c>
      <c r="V711" s="10" t="str">
        <f>IFERROR(N711*VLOOKUP(G711,FILAMENTI_DB!$A:$J,10,FALSE),"")</f>
        <v/>
      </c>
      <c r="W711" s="23" t="str">
        <f>IFERROR((VLOOKUP(F711,STAMPANTI_DB!$A:$C,3,FALSE)/1000)*O711*SETTINGS!$C$6,"")</f>
        <v/>
      </c>
      <c r="X711" s="23" t="str">
        <f>IFERROR(O711*VLOOKUP(F711,STAMPANTI_DB!$A:$I,9,FALSE),"")</f>
        <v/>
      </c>
      <c r="Y711" s="23">
        <f>IFERROR(P711*SETTINGS!$C$7,"")</f>
        <v>0</v>
      </c>
      <c r="Z711" s="23">
        <f>SETTINGS!$C$11</f>
        <v>0.5</v>
      </c>
      <c r="AA711" s="23">
        <f t="shared" si="73"/>
        <v>0.5</v>
      </c>
      <c r="AB711" s="23">
        <f>IFERROR(AA711*SETTINGS!$C$9,"")</f>
        <v>2.5000000000000001E-2</v>
      </c>
      <c r="AC711" s="23">
        <f>IFERROR((AA711+AB711)*SETTINGS!$C$10,"")</f>
        <v>2.6250000000000002E-2</v>
      </c>
    </row>
    <row r="712" spans="1:29" ht="16" x14ac:dyDescent="0.2">
      <c r="A712" s="25"/>
      <c r="H712" t="str">
        <f>IFERROR(VLOOKUP(G712,FILAMENTI_DB!$A:$C,3,FALSE),"")</f>
        <v/>
      </c>
      <c r="I712" t="str">
        <f>IFERROR(VLOOKUP(G712,FILAMENTI_DB!$A:$E,4,FALSE),"")</f>
        <v/>
      </c>
      <c r="J712" s="26"/>
      <c r="K712" s="27"/>
      <c r="L712" s="27"/>
      <c r="M712" s="27">
        <f t="shared" si="68"/>
        <v>0</v>
      </c>
      <c r="N712" s="26">
        <f t="shared" si="69"/>
        <v>0</v>
      </c>
      <c r="O712" s="26"/>
      <c r="P712" s="26"/>
      <c r="Q712" s="23"/>
      <c r="R712" s="23">
        <f t="shared" si="70"/>
        <v>0</v>
      </c>
      <c r="S712" s="23"/>
      <c r="T712" s="23">
        <f t="shared" si="71"/>
        <v>0</v>
      </c>
      <c r="U712" s="28" t="str">
        <f t="shared" si="72"/>
        <v/>
      </c>
      <c r="V712" s="10" t="str">
        <f>IFERROR(N712*VLOOKUP(G712,FILAMENTI_DB!$A:$J,10,FALSE),"")</f>
        <v/>
      </c>
      <c r="W712" s="23" t="str">
        <f>IFERROR((VLOOKUP(F712,STAMPANTI_DB!$A:$C,3,FALSE)/1000)*O712*SETTINGS!$C$6,"")</f>
        <v/>
      </c>
      <c r="X712" s="23" t="str">
        <f>IFERROR(O712*VLOOKUP(F712,STAMPANTI_DB!$A:$I,9,FALSE),"")</f>
        <v/>
      </c>
      <c r="Y712" s="23">
        <f>IFERROR(P712*SETTINGS!$C$7,"")</f>
        <v>0</v>
      </c>
      <c r="Z712" s="23">
        <f>SETTINGS!$C$11</f>
        <v>0.5</v>
      </c>
      <c r="AA712" s="23">
        <f t="shared" si="73"/>
        <v>0.5</v>
      </c>
      <c r="AB712" s="23">
        <f>IFERROR(AA712*SETTINGS!$C$9,"")</f>
        <v>2.5000000000000001E-2</v>
      </c>
      <c r="AC712" s="23">
        <f>IFERROR((AA712+AB712)*SETTINGS!$C$10,"")</f>
        <v>2.6250000000000002E-2</v>
      </c>
    </row>
    <row r="713" spans="1:29" ht="16" x14ac:dyDescent="0.2">
      <c r="A713" s="25"/>
      <c r="H713" t="str">
        <f>IFERROR(VLOOKUP(G713,FILAMENTI_DB!$A:$C,3,FALSE),"")</f>
        <v/>
      </c>
      <c r="I713" t="str">
        <f>IFERROR(VLOOKUP(G713,FILAMENTI_DB!$A:$E,4,FALSE),"")</f>
        <v/>
      </c>
      <c r="J713" s="26"/>
      <c r="K713" s="27"/>
      <c r="L713" s="27"/>
      <c r="M713" s="27">
        <f t="shared" si="68"/>
        <v>0</v>
      </c>
      <c r="N713" s="26">
        <f t="shared" si="69"/>
        <v>0</v>
      </c>
      <c r="O713" s="26"/>
      <c r="P713" s="26"/>
      <c r="Q713" s="23"/>
      <c r="R713" s="23">
        <f t="shared" si="70"/>
        <v>0</v>
      </c>
      <c r="S713" s="23"/>
      <c r="T713" s="23">
        <f t="shared" si="71"/>
        <v>0</v>
      </c>
      <c r="U713" s="28" t="str">
        <f t="shared" si="72"/>
        <v/>
      </c>
      <c r="V713" s="10" t="str">
        <f>IFERROR(N713*VLOOKUP(G713,FILAMENTI_DB!$A:$J,10,FALSE),"")</f>
        <v/>
      </c>
      <c r="W713" s="23" t="str">
        <f>IFERROR((VLOOKUP(F713,STAMPANTI_DB!$A:$C,3,FALSE)/1000)*O713*SETTINGS!$C$6,"")</f>
        <v/>
      </c>
      <c r="X713" s="23" t="str">
        <f>IFERROR(O713*VLOOKUP(F713,STAMPANTI_DB!$A:$I,9,FALSE),"")</f>
        <v/>
      </c>
      <c r="Y713" s="23">
        <f>IFERROR(P713*SETTINGS!$C$7,"")</f>
        <v>0</v>
      </c>
      <c r="Z713" s="23">
        <f>SETTINGS!$C$11</f>
        <v>0.5</v>
      </c>
      <c r="AA713" s="23">
        <f t="shared" si="73"/>
        <v>0.5</v>
      </c>
      <c r="AB713" s="23">
        <f>IFERROR(AA713*SETTINGS!$C$9,"")</f>
        <v>2.5000000000000001E-2</v>
      </c>
      <c r="AC713" s="23">
        <f>IFERROR((AA713+AB713)*SETTINGS!$C$10,"")</f>
        <v>2.6250000000000002E-2</v>
      </c>
    </row>
    <row r="714" spans="1:29" ht="16" x14ac:dyDescent="0.2">
      <c r="A714" s="25"/>
      <c r="H714" t="str">
        <f>IFERROR(VLOOKUP(G714,FILAMENTI_DB!$A:$C,3,FALSE),"")</f>
        <v/>
      </c>
      <c r="I714" t="str">
        <f>IFERROR(VLOOKUP(G714,FILAMENTI_DB!$A:$E,4,FALSE),"")</f>
        <v/>
      </c>
      <c r="J714" s="26"/>
      <c r="K714" s="27"/>
      <c r="L714" s="27"/>
      <c r="M714" s="27">
        <f t="shared" si="68"/>
        <v>0</v>
      </c>
      <c r="N714" s="26">
        <f t="shared" si="69"/>
        <v>0</v>
      </c>
      <c r="O714" s="26"/>
      <c r="P714" s="26"/>
      <c r="Q714" s="23"/>
      <c r="R714" s="23">
        <f t="shared" si="70"/>
        <v>0</v>
      </c>
      <c r="S714" s="23"/>
      <c r="T714" s="23">
        <f t="shared" si="71"/>
        <v>0</v>
      </c>
      <c r="U714" s="28" t="str">
        <f t="shared" si="72"/>
        <v/>
      </c>
      <c r="V714" s="10" t="str">
        <f>IFERROR(N714*VLOOKUP(G714,FILAMENTI_DB!$A:$J,10,FALSE),"")</f>
        <v/>
      </c>
      <c r="W714" s="23" t="str">
        <f>IFERROR((VLOOKUP(F714,STAMPANTI_DB!$A:$C,3,FALSE)/1000)*O714*SETTINGS!$C$6,"")</f>
        <v/>
      </c>
      <c r="X714" s="23" t="str">
        <f>IFERROR(O714*VLOOKUP(F714,STAMPANTI_DB!$A:$I,9,FALSE),"")</f>
        <v/>
      </c>
      <c r="Y714" s="23">
        <f>IFERROR(P714*SETTINGS!$C$7,"")</f>
        <v>0</v>
      </c>
      <c r="Z714" s="23">
        <f>SETTINGS!$C$11</f>
        <v>0.5</v>
      </c>
      <c r="AA714" s="23">
        <f t="shared" si="73"/>
        <v>0.5</v>
      </c>
      <c r="AB714" s="23">
        <f>IFERROR(AA714*SETTINGS!$C$9,"")</f>
        <v>2.5000000000000001E-2</v>
      </c>
      <c r="AC714" s="23">
        <f>IFERROR((AA714+AB714)*SETTINGS!$C$10,"")</f>
        <v>2.6250000000000002E-2</v>
      </c>
    </row>
    <row r="715" spans="1:29" ht="16" x14ac:dyDescent="0.2">
      <c r="A715" s="25"/>
      <c r="H715" t="str">
        <f>IFERROR(VLOOKUP(G715,FILAMENTI_DB!$A:$C,3,FALSE),"")</f>
        <v/>
      </c>
      <c r="I715" t="str">
        <f>IFERROR(VLOOKUP(G715,FILAMENTI_DB!$A:$E,4,FALSE),"")</f>
        <v/>
      </c>
      <c r="J715" s="26"/>
      <c r="K715" s="27"/>
      <c r="L715" s="27"/>
      <c r="M715" s="27">
        <f t="shared" si="68"/>
        <v>0</v>
      </c>
      <c r="N715" s="26">
        <f t="shared" si="69"/>
        <v>0</v>
      </c>
      <c r="O715" s="26"/>
      <c r="P715" s="26"/>
      <c r="Q715" s="23"/>
      <c r="R715" s="23">
        <f t="shared" si="70"/>
        <v>0</v>
      </c>
      <c r="S715" s="23"/>
      <c r="T715" s="23">
        <f t="shared" si="71"/>
        <v>0</v>
      </c>
      <c r="U715" s="28" t="str">
        <f t="shared" si="72"/>
        <v/>
      </c>
      <c r="V715" s="10" t="str">
        <f>IFERROR(N715*VLOOKUP(G715,FILAMENTI_DB!$A:$J,10,FALSE),"")</f>
        <v/>
      </c>
      <c r="W715" s="23" t="str">
        <f>IFERROR((VLOOKUP(F715,STAMPANTI_DB!$A:$C,3,FALSE)/1000)*O715*SETTINGS!$C$6,"")</f>
        <v/>
      </c>
      <c r="X715" s="23" t="str">
        <f>IFERROR(O715*VLOOKUP(F715,STAMPANTI_DB!$A:$I,9,FALSE),"")</f>
        <v/>
      </c>
      <c r="Y715" s="23">
        <f>IFERROR(P715*SETTINGS!$C$7,"")</f>
        <v>0</v>
      </c>
      <c r="Z715" s="23">
        <f>SETTINGS!$C$11</f>
        <v>0.5</v>
      </c>
      <c r="AA715" s="23">
        <f t="shared" si="73"/>
        <v>0.5</v>
      </c>
      <c r="AB715" s="23">
        <f>IFERROR(AA715*SETTINGS!$C$9,"")</f>
        <v>2.5000000000000001E-2</v>
      </c>
      <c r="AC715" s="23">
        <f>IFERROR((AA715+AB715)*SETTINGS!$C$10,"")</f>
        <v>2.6250000000000002E-2</v>
      </c>
    </row>
    <row r="716" spans="1:29" ht="16" x14ac:dyDescent="0.2">
      <c r="A716" s="25"/>
      <c r="H716" t="str">
        <f>IFERROR(VLOOKUP(G716,FILAMENTI_DB!$A:$C,3,FALSE),"")</f>
        <v/>
      </c>
      <c r="I716" t="str">
        <f>IFERROR(VLOOKUP(G716,FILAMENTI_DB!$A:$E,4,FALSE),"")</f>
        <v/>
      </c>
      <c r="J716" s="26"/>
      <c r="K716" s="27"/>
      <c r="L716" s="27"/>
      <c r="M716" s="27">
        <f t="shared" si="68"/>
        <v>0</v>
      </c>
      <c r="N716" s="26">
        <f t="shared" si="69"/>
        <v>0</v>
      </c>
      <c r="O716" s="26"/>
      <c r="P716" s="26"/>
      <c r="Q716" s="23"/>
      <c r="R716" s="23">
        <f t="shared" si="70"/>
        <v>0</v>
      </c>
      <c r="S716" s="23"/>
      <c r="T716" s="23">
        <f t="shared" si="71"/>
        <v>0</v>
      </c>
      <c r="U716" s="28" t="str">
        <f t="shared" si="72"/>
        <v/>
      </c>
      <c r="V716" s="10" t="str">
        <f>IFERROR(N716*VLOOKUP(G716,FILAMENTI_DB!$A:$J,10,FALSE),"")</f>
        <v/>
      </c>
      <c r="W716" s="23" t="str">
        <f>IFERROR((VLOOKUP(F716,STAMPANTI_DB!$A:$C,3,FALSE)/1000)*O716*SETTINGS!$C$6,"")</f>
        <v/>
      </c>
      <c r="X716" s="23" t="str">
        <f>IFERROR(O716*VLOOKUP(F716,STAMPANTI_DB!$A:$I,9,FALSE),"")</f>
        <v/>
      </c>
      <c r="Y716" s="23">
        <f>IFERROR(P716*SETTINGS!$C$7,"")</f>
        <v>0</v>
      </c>
      <c r="Z716" s="23">
        <f>SETTINGS!$C$11</f>
        <v>0.5</v>
      </c>
      <c r="AA716" s="23">
        <f t="shared" si="73"/>
        <v>0.5</v>
      </c>
      <c r="AB716" s="23">
        <f>IFERROR(AA716*SETTINGS!$C$9,"")</f>
        <v>2.5000000000000001E-2</v>
      </c>
      <c r="AC716" s="23">
        <f>IFERROR((AA716+AB716)*SETTINGS!$C$10,"")</f>
        <v>2.6250000000000002E-2</v>
      </c>
    </row>
    <row r="717" spans="1:29" ht="16" x14ac:dyDescent="0.2">
      <c r="A717" s="25"/>
      <c r="H717" t="str">
        <f>IFERROR(VLOOKUP(G717,FILAMENTI_DB!$A:$C,3,FALSE),"")</f>
        <v/>
      </c>
      <c r="I717" t="str">
        <f>IFERROR(VLOOKUP(G717,FILAMENTI_DB!$A:$E,4,FALSE),"")</f>
        <v/>
      </c>
      <c r="J717" s="26"/>
      <c r="K717" s="27"/>
      <c r="L717" s="27"/>
      <c r="M717" s="27">
        <f t="shared" si="68"/>
        <v>0</v>
      </c>
      <c r="N717" s="26">
        <f t="shared" si="69"/>
        <v>0</v>
      </c>
      <c r="O717" s="26"/>
      <c r="P717" s="26"/>
      <c r="Q717" s="23"/>
      <c r="R717" s="23">
        <f t="shared" si="70"/>
        <v>0</v>
      </c>
      <c r="S717" s="23"/>
      <c r="T717" s="23">
        <f t="shared" si="71"/>
        <v>0</v>
      </c>
      <c r="U717" s="28" t="str">
        <f t="shared" si="72"/>
        <v/>
      </c>
      <c r="V717" s="10" t="str">
        <f>IFERROR(N717*VLOOKUP(G717,FILAMENTI_DB!$A:$J,10,FALSE),"")</f>
        <v/>
      </c>
      <c r="W717" s="23" t="str">
        <f>IFERROR((VLOOKUP(F717,STAMPANTI_DB!$A:$C,3,FALSE)/1000)*O717*SETTINGS!$C$6,"")</f>
        <v/>
      </c>
      <c r="X717" s="23" t="str">
        <f>IFERROR(O717*VLOOKUP(F717,STAMPANTI_DB!$A:$I,9,FALSE),"")</f>
        <v/>
      </c>
      <c r="Y717" s="23">
        <f>IFERROR(P717*SETTINGS!$C$7,"")</f>
        <v>0</v>
      </c>
      <c r="Z717" s="23">
        <f>SETTINGS!$C$11</f>
        <v>0.5</v>
      </c>
      <c r="AA717" s="23">
        <f t="shared" si="73"/>
        <v>0.5</v>
      </c>
      <c r="AB717" s="23">
        <f>IFERROR(AA717*SETTINGS!$C$9,"")</f>
        <v>2.5000000000000001E-2</v>
      </c>
      <c r="AC717" s="23">
        <f>IFERROR((AA717+AB717)*SETTINGS!$C$10,"")</f>
        <v>2.6250000000000002E-2</v>
      </c>
    </row>
    <row r="718" spans="1:29" ht="16" x14ac:dyDescent="0.2">
      <c r="A718" s="25"/>
      <c r="H718" t="str">
        <f>IFERROR(VLOOKUP(G718,FILAMENTI_DB!$A:$C,3,FALSE),"")</f>
        <v/>
      </c>
      <c r="I718" t="str">
        <f>IFERROR(VLOOKUP(G718,FILAMENTI_DB!$A:$E,4,FALSE),"")</f>
        <v/>
      </c>
      <c r="J718" s="26"/>
      <c r="K718" s="27"/>
      <c r="L718" s="27"/>
      <c r="M718" s="27">
        <f t="shared" si="68"/>
        <v>0</v>
      </c>
      <c r="N718" s="26">
        <f t="shared" si="69"/>
        <v>0</v>
      </c>
      <c r="O718" s="26"/>
      <c r="P718" s="26"/>
      <c r="Q718" s="23"/>
      <c r="R718" s="23">
        <f t="shared" si="70"/>
        <v>0</v>
      </c>
      <c r="S718" s="23"/>
      <c r="T718" s="23">
        <f t="shared" si="71"/>
        <v>0</v>
      </c>
      <c r="U718" s="28" t="str">
        <f t="shared" si="72"/>
        <v/>
      </c>
      <c r="V718" s="10" t="str">
        <f>IFERROR(N718*VLOOKUP(G718,FILAMENTI_DB!$A:$J,10,FALSE),"")</f>
        <v/>
      </c>
      <c r="W718" s="23" t="str">
        <f>IFERROR((VLOOKUP(F718,STAMPANTI_DB!$A:$C,3,FALSE)/1000)*O718*SETTINGS!$C$6,"")</f>
        <v/>
      </c>
      <c r="X718" s="23" t="str">
        <f>IFERROR(O718*VLOOKUP(F718,STAMPANTI_DB!$A:$I,9,FALSE),"")</f>
        <v/>
      </c>
      <c r="Y718" s="23">
        <f>IFERROR(P718*SETTINGS!$C$7,"")</f>
        <v>0</v>
      </c>
      <c r="Z718" s="23">
        <f>SETTINGS!$C$11</f>
        <v>0.5</v>
      </c>
      <c r="AA718" s="23">
        <f t="shared" si="73"/>
        <v>0.5</v>
      </c>
      <c r="AB718" s="23">
        <f>IFERROR(AA718*SETTINGS!$C$9,"")</f>
        <v>2.5000000000000001E-2</v>
      </c>
      <c r="AC718" s="23">
        <f>IFERROR((AA718+AB718)*SETTINGS!$C$10,"")</f>
        <v>2.6250000000000002E-2</v>
      </c>
    </row>
    <row r="719" spans="1:29" ht="16" x14ac:dyDescent="0.2">
      <c r="A719" s="25"/>
      <c r="H719" t="str">
        <f>IFERROR(VLOOKUP(G719,FILAMENTI_DB!$A:$C,3,FALSE),"")</f>
        <v/>
      </c>
      <c r="I719" t="str">
        <f>IFERROR(VLOOKUP(G719,FILAMENTI_DB!$A:$E,4,FALSE),"")</f>
        <v/>
      </c>
      <c r="J719" s="26"/>
      <c r="K719" s="27"/>
      <c r="L719" s="27"/>
      <c r="M719" s="27">
        <f t="shared" si="68"/>
        <v>0</v>
      </c>
      <c r="N719" s="26">
        <f t="shared" si="69"/>
        <v>0</v>
      </c>
      <c r="O719" s="26"/>
      <c r="P719" s="26"/>
      <c r="Q719" s="23"/>
      <c r="R719" s="23">
        <f t="shared" si="70"/>
        <v>0</v>
      </c>
      <c r="S719" s="23"/>
      <c r="T719" s="23">
        <f t="shared" si="71"/>
        <v>0</v>
      </c>
      <c r="U719" s="28" t="str">
        <f t="shared" si="72"/>
        <v/>
      </c>
      <c r="V719" s="10" t="str">
        <f>IFERROR(N719*VLOOKUP(G719,FILAMENTI_DB!$A:$J,10,FALSE),"")</f>
        <v/>
      </c>
      <c r="W719" s="23" t="str">
        <f>IFERROR((VLOOKUP(F719,STAMPANTI_DB!$A:$C,3,FALSE)/1000)*O719*SETTINGS!$C$6,"")</f>
        <v/>
      </c>
      <c r="X719" s="23" t="str">
        <f>IFERROR(O719*VLOOKUP(F719,STAMPANTI_DB!$A:$I,9,FALSE),"")</f>
        <v/>
      </c>
      <c r="Y719" s="23">
        <f>IFERROR(P719*SETTINGS!$C$7,"")</f>
        <v>0</v>
      </c>
      <c r="Z719" s="23">
        <f>SETTINGS!$C$11</f>
        <v>0.5</v>
      </c>
      <c r="AA719" s="23">
        <f t="shared" si="73"/>
        <v>0.5</v>
      </c>
      <c r="AB719" s="23">
        <f>IFERROR(AA719*SETTINGS!$C$9,"")</f>
        <v>2.5000000000000001E-2</v>
      </c>
      <c r="AC719" s="23">
        <f>IFERROR((AA719+AB719)*SETTINGS!$C$10,"")</f>
        <v>2.6250000000000002E-2</v>
      </c>
    </row>
    <row r="720" spans="1:29" ht="16" x14ac:dyDescent="0.2">
      <c r="A720" s="25"/>
      <c r="H720" t="str">
        <f>IFERROR(VLOOKUP(G720,FILAMENTI_DB!$A:$C,3,FALSE),"")</f>
        <v/>
      </c>
      <c r="I720" t="str">
        <f>IFERROR(VLOOKUP(G720,FILAMENTI_DB!$A:$E,4,FALSE),"")</f>
        <v/>
      </c>
      <c r="J720" s="26"/>
      <c r="K720" s="27"/>
      <c r="L720" s="27"/>
      <c r="M720" s="27">
        <f t="shared" si="68"/>
        <v>0</v>
      </c>
      <c r="N720" s="26">
        <f t="shared" si="69"/>
        <v>0</v>
      </c>
      <c r="O720" s="26"/>
      <c r="P720" s="26"/>
      <c r="Q720" s="23"/>
      <c r="R720" s="23">
        <f t="shared" si="70"/>
        <v>0</v>
      </c>
      <c r="S720" s="23"/>
      <c r="T720" s="23">
        <f t="shared" si="71"/>
        <v>0</v>
      </c>
      <c r="U720" s="28" t="str">
        <f t="shared" si="72"/>
        <v/>
      </c>
      <c r="V720" s="10" t="str">
        <f>IFERROR(N720*VLOOKUP(G720,FILAMENTI_DB!$A:$J,10,FALSE),"")</f>
        <v/>
      </c>
      <c r="W720" s="23" t="str">
        <f>IFERROR((VLOOKUP(F720,STAMPANTI_DB!$A:$C,3,FALSE)/1000)*O720*SETTINGS!$C$6,"")</f>
        <v/>
      </c>
      <c r="X720" s="23" t="str">
        <f>IFERROR(O720*VLOOKUP(F720,STAMPANTI_DB!$A:$I,9,FALSE),"")</f>
        <v/>
      </c>
      <c r="Y720" s="23">
        <f>IFERROR(P720*SETTINGS!$C$7,"")</f>
        <v>0</v>
      </c>
      <c r="Z720" s="23">
        <f>SETTINGS!$C$11</f>
        <v>0.5</v>
      </c>
      <c r="AA720" s="23">
        <f t="shared" si="73"/>
        <v>0.5</v>
      </c>
      <c r="AB720" s="23">
        <f>IFERROR(AA720*SETTINGS!$C$9,"")</f>
        <v>2.5000000000000001E-2</v>
      </c>
      <c r="AC720" s="23">
        <f>IFERROR((AA720+AB720)*SETTINGS!$C$10,"")</f>
        <v>2.6250000000000002E-2</v>
      </c>
    </row>
    <row r="721" spans="1:29" ht="16" x14ac:dyDescent="0.2">
      <c r="A721" s="25"/>
      <c r="H721" t="str">
        <f>IFERROR(VLOOKUP(G721,FILAMENTI_DB!$A:$C,3,FALSE),"")</f>
        <v/>
      </c>
      <c r="I721" t="str">
        <f>IFERROR(VLOOKUP(G721,FILAMENTI_DB!$A:$E,4,FALSE),"")</f>
        <v/>
      </c>
      <c r="J721" s="26"/>
      <c r="K721" s="27"/>
      <c r="L721" s="27"/>
      <c r="M721" s="27">
        <f t="shared" si="68"/>
        <v>0</v>
      </c>
      <c r="N721" s="26">
        <f t="shared" si="69"/>
        <v>0</v>
      </c>
      <c r="O721" s="26"/>
      <c r="P721" s="26"/>
      <c r="Q721" s="23"/>
      <c r="R721" s="23">
        <f t="shared" si="70"/>
        <v>0</v>
      </c>
      <c r="S721" s="23"/>
      <c r="T721" s="23">
        <f t="shared" si="71"/>
        <v>0</v>
      </c>
      <c r="U721" s="28" t="str">
        <f t="shared" si="72"/>
        <v/>
      </c>
      <c r="V721" s="10" t="str">
        <f>IFERROR(N721*VLOOKUP(G721,FILAMENTI_DB!$A:$J,10,FALSE),"")</f>
        <v/>
      </c>
      <c r="W721" s="23" t="str">
        <f>IFERROR((VLOOKUP(F721,STAMPANTI_DB!$A:$C,3,FALSE)/1000)*O721*SETTINGS!$C$6,"")</f>
        <v/>
      </c>
      <c r="X721" s="23" t="str">
        <f>IFERROR(O721*VLOOKUP(F721,STAMPANTI_DB!$A:$I,9,FALSE),"")</f>
        <v/>
      </c>
      <c r="Y721" s="23">
        <f>IFERROR(P721*SETTINGS!$C$7,"")</f>
        <v>0</v>
      </c>
      <c r="Z721" s="23">
        <f>SETTINGS!$C$11</f>
        <v>0.5</v>
      </c>
      <c r="AA721" s="23">
        <f t="shared" si="73"/>
        <v>0.5</v>
      </c>
      <c r="AB721" s="23">
        <f>IFERROR(AA721*SETTINGS!$C$9,"")</f>
        <v>2.5000000000000001E-2</v>
      </c>
      <c r="AC721" s="23">
        <f>IFERROR((AA721+AB721)*SETTINGS!$C$10,"")</f>
        <v>2.6250000000000002E-2</v>
      </c>
    </row>
    <row r="722" spans="1:29" ht="16" x14ac:dyDescent="0.2">
      <c r="A722" s="25"/>
      <c r="H722" t="str">
        <f>IFERROR(VLOOKUP(G722,FILAMENTI_DB!$A:$C,3,FALSE),"")</f>
        <v/>
      </c>
      <c r="I722" t="str">
        <f>IFERROR(VLOOKUP(G722,FILAMENTI_DB!$A:$E,4,FALSE),"")</f>
        <v/>
      </c>
      <c r="J722" s="26"/>
      <c r="K722" s="27"/>
      <c r="L722" s="27"/>
      <c r="M722" s="27">
        <f t="shared" si="68"/>
        <v>0</v>
      </c>
      <c r="N722" s="26">
        <f t="shared" si="69"/>
        <v>0</v>
      </c>
      <c r="O722" s="26"/>
      <c r="P722" s="26"/>
      <c r="Q722" s="23"/>
      <c r="R722" s="23">
        <f t="shared" si="70"/>
        <v>0</v>
      </c>
      <c r="S722" s="23"/>
      <c r="T722" s="23">
        <f t="shared" si="71"/>
        <v>0</v>
      </c>
      <c r="U722" s="28" t="str">
        <f t="shared" si="72"/>
        <v/>
      </c>
      <c r="V722" s="10" t="str">
        <f>IFERROR(N722*VLOOKUP(G722,FILAMENTI_DB!$A:$J,10,FALSE),"")</f>
        <v/>
      </c>
      <c r="W722" s="23" t="str">
        <f>IFERROR((VLOOKUP(F722,STAMPANTI_DB!$A:$C,3,FALSE)/1000)*O722*SETTINGS!$C$6,"")</f>
        <v/>
      </c>
      <c r="X722" s="23" t="str">
        <f>IFERROR(O722*VLOOKUP(F722,STAMPANTI_DB!$A:$I,9,FALSE),"")</f>
        <v/>
      </c>
      <c r="Y722" s="23">
        <f>IFERROR(P722*SETTINGS!$C$7,"")</f>
        <v>0</v>
      </c>
      <c r="Z722" s="23">
        <f>SETTINGS!$C$11</f>
        <v>0.5</v>
      </c>
      <c r="AA722" s="23">
        <f t="shared" si="73"/>
        <v>0.5</v>
      </c>
      <c r="AB722" s="23">
        <f>IFERROR(AA722*SETTINGS!$C$9,"")</f>
        <v>2.5000000000000001E-2</v>
      </c>
      <c r="AC722" s="23">
        <f>IFERROR((AA722+AB722)*SETTINGS!$C$10,"")</f>
        <v>2.6250000000000002E-2</v>
      </c>
    </row>
    <row r="723" spans="1:29" ht="16" x14ac:dyDescent="0.2">
      <c r="A723" s="25"/>
      <c r="H723" t="str">
        <f>IFERROR(VLOOKUP(G723,FILAMENTI_DB!$A:$C,3,FALSE),"")</f>
        <v/>
      </c>
      <c r="I723" t="str">
        <f>IFERROR(VLOOKUP(G723,FILAMENTI_DB!$A:$E,4,FALSE),"")</f>
        <v/>
      </c>
      <c r="J723" s="26"/>
      <c r="K723" s="27"/>
      <c r="L723" s="27"/>
      <c r="M723" s="27">
        <f t="shared" si="68"/>
        <v>0</v>
      </c>
      <c r="N723" s="26">
        <f t="shared" si="69"/>
        <v>0</v>
      </c>
      <c r="O723" s="26"/>
      <c r="P723" s="26"/>
      <c r="Q723" s="23"/>
      <c r="R723" s="23">
        <f t="shared" si="70"/>
        <v>0</v>
      </c>
      <c r="S723" s="23"/>
      <c r="T723" s="23">
        <f t="shared" si="71"/>
        <v>0</v>
      </c>
      <c r="U723" s="28" t="str">
        <f t="shared" si="72"/>
        <v/>
      </c>
      <c r="V723" s="10" t="str">
        <f>IFERROR(N723*VLOOKUP(G723,FILAMENTI_DB!$A:$J,10,FALSE),"")</f>
        <v/>
      </c>
      <c r="W723" s="23" t="str">
        <f>IFERROR((VLOOKUP(F723,STAMPANTI_DB!$A:$C,3,FALSE)/1000)*O723*SETTINGS!$C$6,"")</f>
        <v/>
      </c>
      <c r="X723" s="23" t="str">
        <f>IFERROR(O723*VLOOKUP(F723,STAMPANTI_DB!$A:$I,9,FALSE),"")</f>
        <v/>
      </c>
      <c r="Y723" s="23">
        <f>IFERROR(P723*SETTINGS!$C$7,"")</f>
        <v>0</v>
      </c>
      <c r="Z723" s="23">
        <f>SETTINGS!$C$11</f>
        <v>0.5</v>
      </c>
      <c r="AA723" s="23">
        <f t="shared" si="73"/>
        <v>0.5</v>
      </c>
      <c r="AB723" s="23">
        <f>IFERROR(AA723*SETTINGS!$C$9,"")</f>
        <v>2.5000000000000001E-2</v>
      </c>
      <c r="AC723" s="23">
        <f>IFERROR((AA723+AB723)*SETTINGS!$C$10,"")</f>
        <v>2.6250000000000002E-2</v>
      </c>
    </row>
    <row r="724" spans="1:29" ht="16" x14ac:dyDescent="0.2">
      <c r="A724" s="25"/>
      <c r="H724" t="str">
        <f>IFERROR(VLOOKUP(G724,FILAMENTI_DB!$A:$C,3,FALSE),"")</f>
        <v/>
      </c>
      <c r="I724" t="str">
        <f>IFERROR(VLOOKUP(G724,FILAMENTI_DB!$A:$E,4,FALSE),"")</f>
        <v/>
      </c>
      <c r="J724" s="26"/>
      <c r="K724" s="27"/>
      <c r="L724" s="27"/>
      <c r="M724" s="27">
        <f t="shared" si="68"/>
        <v>0</v>
      </c>
      <c r="N724" s="26">
        <f t="shared" si="69"/>
        <v>0</v>
      </c>
      <c r="O724" s="26"/>
      <c r="P724" s="26"/>
      <c r="Q724" s="23"/>
      <c r="R724" s="23">
        <f t="shared" si="70"/>
        <v>0</v>
      </c>
      <c r="S724" s="23"/>
      <c r="T724" s="23">
        <f t="shared" si="71"/>
        <v>0</v>
      </c>
      <c r="U724" s="28" t="str">
        <f t="shared" si="72"/>
        <v/>
      </c>
      <c r="V724" s="10" t="str">
        <f>IFERROR(N724*VLOOKUP(G724,FILAMENTI_DB!$A:$J,10,FALSE),"")</f>
        <v/>
      </c>
      <c r="W724" s="23" t="str">
        <f>IFERROR((VLOOKUP(F724,STAMPANTI_DB!$A:$C,3,FALSE)/1000)*O724*SETTINGS!$C$6,"")</f>
        <v/>
      </c>
      <c r="X724" s="23" t="str">
        <f>IFERROR(O724*VLOOKUP(F724,STAMPANTI_DB!$A:$I,9,FALSE),"")</f>
        <v/>
      </c>
      <c r="Y724" s="23">
        <f>IFERROR(P724*SETTINGS!$C$7,"")</f>
        <v>0</v>
      </c>
      <c r="Z724" s="23">
        <f>SETTINGS!$C$11</f>
        <v>0.5</v>
      </c>
      <c r="AA724" s="23">
        <f t="shared" si="73"/>
        <v>0.5</v>
      </c>
      <c r="AB724" s="23">
        <f>IFERROR(AA724*SETTINGS!$C$9,"")</f>
        <v>2.5000000000000001E-2</v>
      </c>
      <c r="AC724" s="23">
        <f>IFERROR((AA724+AB724)*SETTINGS!$C$10,"")</f>
        <v>2.6250000000000002E-2</v>
      </c>
    </row>
    <row r="725" spans="1:29" ht="16" x14ac:dyDescent="0.2">
      <c r="A725" s="25"/>
      <c r="H725" t="str">
        <f>IFERROR(VLOOKUP(G725,FILAMENTI_DB!$A:$C,3,FALSE),"")</f>
        <v/>
      </c>
      <c r="I725" t="str">
        <f>IFERROR(VLOOKUP(G725,FILAMENTI_DB!$A:$E,4,FALSE),"")</f>
        <v/>
      </c>
      <c r="J725" s="26"/>
      <c r="K725" s="27"/>
      <c r="L725" s="27"/>
      <c r="M725" s="27">
        <f t="shared" si="68"/>
        <v>0</v>
      </c>
      <c r="N725" s="26">
        <f t="shared" si="69"/>
        <v>0</v>
      </c>
      <c r="O725" s="26"/>
      <c r="P725" s="26"/>
      <c r="Q725" s="23"/>
      <c r="R725" s="23">
        <f t="shared" si="70"/>
        <v>0</v>
      </c>
      <c r="S725" s="23"/>
      <c r="T725" s="23">
        <f t="shared" si="71"/>
        <v>0</v>
      </c>
      <c r="U725" s="28" t="str">
        <f t="shared" si="72"/>
        <v/>
      </c>
      <c r="V725" s="10" t="str">
        <f>IFERROR(N725*VLOOKUP(G725,FILAMENTI_DB!$A:$J,10,FALSE),"")</f>
        <v/>
      </c>
      <c r="W725" s="23" t="str">
        <f>IFERROR((VLOOKUP(F725,STAMPANTI_DB!$A:$C,3,FALSE)/1000)*O725*SETTINGS!$C$6,"")</f>
        <v/>
      </c>
      <c r="X725" s="23" t="str">
        <f>IFERROR(O725*VLOOKUP(F725,STAMPANTI_DB!$A:$I,9,FALSE),"")</f>
        <v/>
      </c>
      <c r="Y725" s="23">
        <f>IFERROR(P725*SETTINGS!$C$7,"")</f>
        <v>0</v>
      </c>
      <c r="Z725" s="23">
        <f>SETTINGS!$C$11</f>
        <v>0.5</v>
      </c>
      <c r="AA725" s="23">
        <f t="shared" si="73"/>
        <v>0.5</v>
      </c>
      <c r="AB725" s="23">
        <f>IFERROR(AA725*SETTINGS!$C$9,"")</f>
        <v>2.5000000000000001E-2</v>
      </c>
      <c r="AC725" s="23">
        <f>IFERROR((AA725+AB725)*SETTINGS!$C$10,"")</f>
        <v>2.6250000000000002E-2</v>
      </c>
    </row>
    <row r="726" spans="1:29" ht="16" x14ac:dyDescent="0.2">
      <c r="A726" s="25"/>
      <c r="H726" t="str">
        <f>IFERROR(VLOOKUP(G726,FILAMENTI_DB!$A:$C,3,FALSE),"")</f>
        <v/>
      </c>
      <c r="I726" t="str">
        <f>IFERROR(VLOOKUP(G726,FILAMENTI_DB!$A:$E,4,FALSE),"")</f>
        <v/>
      </c>
      <c r="J726" s="26"/>
      <c r="K726" s="27"/>
      <c r="L726" s="27"/>
      <c r="M726" s="27">
        <f t="shared" si="68"/>
        <v>0</v>
      </c>
      <c r="N726" s="26">
        <f t="shared" si="69"/>
        <v>0</v>
      </c>
      <c r="O726" s="26"/>
      <c r="P726" s="26"/>
      <c r="Q726" s="23"/>
      <c r="R726" s="23">
        <f t="shared" si="70"/>
        <v>0</v>
      </c>
      <c r="S726" s="23"/>
      <c r="T726" s="23">
        <f t="shared" si="71"/>
        <v>0</v>
      </c>
      <c r="U726" s="28" t="str">
        <f t="shared" si="72"/>
        <v/>
      </c>
      <c r="V726" s="10" t="str">
        <f>IFERROR(N726*VLOOKUP(G726,FILAMENTI_DB!$A:$J,10,FALSE),"")</f>
        <v/>
      </c>
      <c r="W726" s="23" t="str">
        <f>IFERROR((VLOOKUP(F726,STAMPANTI_DB!$A:$C,3,FALSE)/1000)*O726*SETTINGS!$C$6,"")</f>
        <v/>
      </c>
      <c r="X726" s="23" t="str">
        <f>IFERROR(O726*VLOOKUP(F726,STAMPANTI_DB!$A:$I,9,FALSE),"")</f>
        <v/>
      </c>
      <c r="Y726" s="23">
        <f>IFERROR(P726*SETTINGS!$C$7,"")</f>
        <v>0</v>
      </c>
      <c r="Z726" s="23">
        <f>SETTINGS!$C$11</f>
        <v>0.5</v>
      </c>
      <c r="AA726" s="23">
        <f t="shared" si="73"/>
        <v>0.5</v>
      </c>
      <c r="AB726" s="23">
        <f>IFERROR(AA726*SETTINGS!$C$9,"")</f>
        <v>2.5000000000000001E-2</v>
      </c>
      <c r="AC726" s="23">
        <f>IFERROR((AA726+AB726)*SETTINGS!$C$10,"")</f>
        <v>2.6250000000000002E-2</v>
      </c>
    </row>
    <row r="727" spans="1:29" ht="16" x14ac:dyDescent="0.2">
      <c r="A727" s="25"/>
      <c r="H727" t="str">
        <f>IFERROR(VLOOKUP(G727,FILAMENTI_DB!$A:$C,3,FALSE),"")</f>
        <v/>
      </c>
      <c r="I727" t="str">
        <f>IFERROR(VLOOKUP(G727,FILAMENTI_DB!$A:$E,4,FALSE),"")</f>
        <v/>
      </c>
      <c r="J727" s="26"/>
      <c r="K727" s="27"/>
      <c r="L727" s="27"/>
      <c r="M727" s="27">
        <f t="shared" si="68"/>
        <v>0</v>
      </c>
      <c r="N727" s="26">
        <f t="shared" si="69"/>
        <v>0</v>
      </c>
      <c r="O727" s="26"/>
      <c r="P727" s="26"/>
      <c r="Q727" s="23"/>
      <c r="R727" s="23">
        <f t="shared" si="70"/>
        <v>0</v>
      </c>
      <c r="S727" s="23"/>
      <c r="T727" s="23">
        <f t="shared" si="71"/>
        <v>0</v>
      </c>
      <c r="U727" s="28" t="str">
        <f t="shared" si="72"/>
        <v/>
      </c>
      <c r="V727" s="10" t="str">
        <f>IFERROR(N727*VLOOKUP(G727,FILAMENTI_DB!$A:$J,10,FALSE),"")</f>
        <v/>
      </c>
      <c r="W727" s="23" t="str">
        <f>IFERROR((VLOOKUP(F727,STAMPANTI_DB!$A:$C,3,FALSE)/1000)*O727*SETTINGS!$C$6,"")</f>
        <v/>
      </c>
      <c r="X727" s="23" t="str">
        <f>IFERROR(O727*VLOOKUP(F727,STAMPANTI_DB!$A:$I,9,FALSE),"")</f>
        <v/>
      </c>
      <c r="Y727" s="23">
        <f>IFERROR(P727*SETTINGS!$C$7,"")</f>
        <v>0</v>
      </c>
      <c r="Z727" s="23">
        <f>SETTINGS!$C$11</f>
        <v>0.5</v>
      </c>
      <c r="AA727" s="23">
        <f t="shared" si="73"/>
        <v>0.5</v>
      </c>
      <c r="AB727" s="23">
        <f>IFERROR(AA727*SETTINGS!$C$9,"")</f>
        <v>2.5000000000000001E-2</v>
      </c>
      <c r="AC727" s="23">
        <f>IFERROR((AA727+AB727)*SETTINGS!$C$10,"")</f>
        <v>2.6250000000000002E-2</v>
      </c>
    </row>
    <row r="728" spans="1:29" ht="16" x14ac:dyDescent="0.2">
      <c r="A728" s="25"/>
      <c r="H728" t="str">
        <f>IFERROR(VLOOKUP(G728,FILAMENTI_DB!$A:$C,3,FALSE),"")</f>
        <v/>
      </c>
      <c r="I728" t="str">
        <f>IFERROR(VLOOKUP(G728,FILAMENTI_DB!$A:$E,4,FALSE),"")</f>
        <v/>
      </c>
      <c r="J728" s="26"/>
      <c r="K728" s="27"/>
      <c r="L728" s="27"/>
      <c r="M728" s="27">
        <f t="shared" si="68"/>
        <v>0</v>
      </c>
      <c r="N728" s="26">
        <f t="shared" si="69"/>
        <v>0</v>
      </c>
      <c r="O728" s="26"/>
      <c r="P728" s="26"/>
      <c r="Q728" s="23"/>
      <c r="R728" s="23">
        <f t="shared" si="70"/>
        <v>0</v>
      </c>
      <c r="S728" s="23"/>
      <c r="T728" s="23">
        <f t="shared" si="71"/>
        <v>0</v>
      </c>
      <c r="U728" s="28" t="str">
        <f t="shared" si="72"/>
        <v/>
      </c>
      <c r="V728" s="10" t="str">
        <f>IFERROR(N728*VLOOKUP(G728,FILAMENTI_DB!$A:$J,10,FALSE),"")</f>
        <v/>
      </c>
      <c r="W728" s="23" t="str">
        <f>IFERROR((VLOOKUP(F728,STAMPANTI_DB!$A:$C,3,FALSE)/1000)*O728*SETTINGS!$C$6,"")</f>
        <v/>
      </c>
      <c r="X728" s="23" t="str">
        <f>IFERROR(O728*VLOOKUP(F728,STAMPANTI_DB!$A:$I,9,FALSE),"")</f>
        <v/>
      </c>
      <c r="Y728" s="23">
        <f>IFERROR(P728*SETTINGS!$C$7,"")</f>
        <v>0</v>
      </c>
      <c r="Z728" s="23">
        <f>SETTINGS!$C$11</f>
        <v>0.5</v>
      </c>
      <c r="AA728" s="23">
        <f t="shared" si="73"/>
        <v>0.5</v>
      </c>
      <c r="AB728" s="23">
        <f>IFERROR(AA728*SETTINGS!$C$9,"")</f>
        <v>2.5000000000000001E-2</v>
      </c>
      <c r="AC728" s="23">
        <f>IFERROR((AA728+AB728)*SETTINGS!$C$10,"")</f>
        <v>2.6250000000000002E-2</v>
      </c>
    </row>
    <row r="729" spans="1:29" ht="16" x14ac:dyDescent="0.2">
      <c r="A729" s="25"/>
      <c r="H729" t="str">
        <f>IFERROR(VLOOKUP(G729,FILAMENTI_DB!$A:$C,3,FALSE),"")</f>
        <v/>
      </c>
      <c r="I729" t="str">
        <f>IFERROR(VLOOKUP(G729,FILAMENTI_DB!$A:$E,4,FALSE),"")</f>
        <v/>
      </c>
      <c r="J729" s="26"/>
      <c r="K729" s="27"/>
      <c r="L729" s="27"/>
      <c r="M729" s="27">
        <f t="shared" si="68"/>
        <v>0</v>
      </c>
      <c r="N729" s="26">
        <f t="shared" si="69"/>
        <v>0</v>
      </c>
      <c r="O729" s="26"/>
      <c r="P729" s="26"/>
      <c r="Q729" s="23"/>
      <c r="R729" s="23">
        <f t="shared" si="70"/>
        <v>0</v>
      </c>
      <c r="S729" s="23"/>
      <c r="T729" s="23">
        <f t="shared" si="71"/>
        <v>0</v>
      </c>
      <c r="U729" s="28" t="str">
        <f t="shared" si="72"/>
        <v/>
      </c>
      <c r="V729" s="10" t="str">
        <f>IFERROR(N729*VLOOKUP(G729,FILAMENTI_DB!$A:$J,10,FALSE),"")</f>
        <v/>
      </c>
      <c r="W729" s="23" t="str">
        <f>IFERROR((VLOOKUP(F729,STAMPANTI_DB!$A:$C,3,FALSE)/1000)*O729*SETTINGS!$C$6,"")</f>
        <v/>
      </c>
      <c r="X729" s="23" t="str">
        <f>IFERROR(O729*VLOOKUP(F729,STAMPANTI_DB!$A:$I,9,FALSE),"")</f>
        <v/>
      </c>
      <c r="Y729" s="23">
        <f>IFERROR(P729*SETTINGS!$C$7,"")</f>
        <v>0</v>
      </c>
      <c r="Z729" s="23">
        <f>SETTINGS!$C$11</f>
        <v>0.5</v>
      </c>
      <c r="AA729" s="23">
        <f t="shared" si="73"/>
        <v>0.5</v>
      </c>
      <c r="AB729" s="23">
        <f>IFERROR(AA729*SETTINGS!$C$9,"")</f>
        <v>2.5000000000000001E-2</v>
      </c>
      <c r="AC729" s="23">
        <f>IFERROR((AA729+AB729)*SETTINGS!$C$10,"")</f>
        <v>2.6250000000000002E-2</v>
      </c>
    </row>
    <row r="730" spans="1:29" ht="16" x14ac:dyDescent="0.2">
      <c r="A730" s="25"/>
      <c r="H730" t="str">
        <f>IFERROR(VLOOKUP(G730,FILAMENTI_DB!$A:$C,3,FALSE),"")</f>
        <v/>
      </c>
      <c r="I730" t="str">
        <f>IFERROR(VLOOKUP(G730,FILAMENTI_DB!$A:$E,4,FALSE),"")</f>
        <v/>
      </c>
      <c r="J730" s="26"/>
      <c r="K730" s="27"/>
      <c r="L730" s="27"/>
      <c r="M730" s="27">
        <f t="shared" si="68"/>
        <v>0</v>
      </c>
      <c r="N730" s="26">
        <f t="shared" si="69"/>
        <v>0</v>
      </c>
      <c r="O730" s="26"/>
      <c r="P730" s="26"/>
      <c r="Q730" s="23"/>
      <c r="R730" s="23">
        <f t="shared" si="70"/>
        <v>0</v>
      </c>
      <c r="S730" s="23"/>
      <c r="T730" s="23">
        <f t="shared" si="71"/>
        <v>0</v>
      </c>
      <c r="U730" s="28" t="str">
        <f t="shared" si="72"/>
        <v/>
      </c>
      <c r="V730" s="10" t="str">
        <f>IFERROR(N730*VLOOKUP(G730,FILAMENTI_DB!$A:$J,10,FALSE),"")</f>
        <v/>
      </c>
      <c r="W730" s="23" t="str">
        <f>IFERROR((VLOOKUP(F730,STAMPANTI_DB!$A:$C,3,FALSE)/1000)*O730*SETTINGS!$C$6,"")</f>
        <v/>
      </c>
      <c r="X730" s="23" t="str">
        <f>IFERROR(O730*VLOOKUP(F730,STAMPANTI_DB!$A:$I,9,FALSE),"")</f>
        <v/>
      </c>
      <c r="Y730" s="23">
        <f>IFERROR(P730*SETTINGS!$C$7,"")</f>
        <v>0</v>
      </c>
      <c r="Z730" s="23">
        <f>SETTINGS!$C$11</f>
        <v>0.5</v>
      </c>
      <c r="AA730" s="23">
        <f t="shared" si="73"/>
        <v>0.5</v>
      </c>
      <c r="AB730" s="23">
        <f>IFERROR(AA730*SETTINGS!$C$9,"")</f>
        <v>2.5000000000000001E-2</v>
      </c>
      <c r="AC730" s="23">
        <f>IFERROR((AA730+AB730)*SETTINGS!$C$10,"")</f>
        <v>2.6250000000000002E-2</v>
      </c>
    </row>
    <row r="731" spans="1:29" ht="16" x14ac:dyDescent="0.2">
      <c r="A731" s="25"/>
      <c r="H731" t="str">
        <f>IFERROR(VLOOKUP(G731,FILAMENTI_DB!$A:$C,3,FALSE),"")</f>
        <v/>
      </c>
      <c r="I731" t="str">
        <f>IFERROR(VLOOKUP(G731,FILAMENTI_DB!$A:$E,4,FALSE),"")</f>
        <v/>
      </c>
      <c r="J731" s="26"/>
      <c r="K731" s="27"/>
      <c r="L731" s="27"/>
      <c r="M731" s="27">
        <f t="shared" si="68"/>
        <v>0</v>
      </c>
      <c r="N731" s="26">
        <f t="shared" si="69"/>
        <v>0</v>
      </c>
      <c r="O731" s="26"/>
      <c r="P731" s="26"/>
      <c r="Q731" s="23"/>
      <c r="R731" s="23">
        <f t="shared" si="70"/>
        <v>0</v>
      </c>
      <c r="S731" s="23"/>
      <c r="T731" s="23">
        <f t="shared" si="71"/>
        <v>0</v>
      </c>
      <c r="U731" s="28" t="str">
        <f t="shared" si="72"/>
        <v/>
      </c>
      <c r="V731" s="10" t="str">
        <f>IFERROR(N731*VLOOKUP(G731,FILAMENTI_DB!$A:$J,10,FALSE),"")</f>
        <v/>
      </c>
      <c r="W731" s="23" t="str">
        <f>IFERROR((VLOOKUP(F731,STAMPANTI_DB!$A:$C,3,FALSE)/1000)*O731*SETTINGS!$C$6,"")</f>
        <v/>
      </c>
      <c r="X731" s="23" t="str">
        <f>IFERROR(O731*VLOOKUP(F731,STAMPANTI_DB!$A:$I,9,FALSE),"")</f>
        <v/>
      </c>
      <c r="Y731" s="23">
        <f>IFERROR(P731*SETTINGS!$C$7,"")</f>
        <v>0</v>
      </c>
      <c r="Z731" s="23">
        <f>SETTINGS!$C$11</f>
        <v>0.5</v>
      </c>
      <c r="AA731" s="23">
        <f t="shared" si="73"/>
        <v>0.5</v>
      </c>
      <c r="AB731" s="23">
        <f>IFERROR(AA731*SETTINGS!$C$9,"")</f>
        <v>2.5000000000000001E-2</v>
      </c>
      <c r="AC731" s="23">
        <f>IFERROR((AA731+AB731)*SETTINGS!$C$10,"")</f>
        <v>2.6250000000000002E-2</v>
      </c>
    </row>
    <row r="732" spans="1:29" ht="16" x14ac:dyDescent="0.2">
      <c r="A732" s="25"/>
      <c r="H732" t="str">
        <f>IFERROR(VLOOKUP(G732,FILAMENTI_DB!$A:$C,3,FALSE),"")</f>
        <v/>
      </c>
      <c r="I732" t="str">
        <f>IFERROR(VLOOKUP(G732,FILAMENTI_DB!$A:$E,4,FALSE),"")</f>
        <v/>
      </c>
      <c r="J732" s="26"/>
      <c r="K732" s="27"/>
      <c r="L732" s="27"/>
      <c r="M732" s="27">
        <f t="shared" si="68"/>
        <v>0</v>
      </c>
      <c r="N732" s="26">
        <f t="shared" si="69"/>
        <v>0</v>
      </c>
      <c r="O732" s="26"/>
      <c r="P732" s="26"/>
      <c r="Q732" s="23"/>
      <c r="R732" s="23">
        <f t="shared" si="70"/>
        <v>0</v>
      </c>
      <c r="S732" s="23"/>
      <c r="T732" s="23">
        <f t="shared" si="71"/>
        <v>0</v>
      </c>
      <c r="U732" s="28" t="str">
        <f t="shared" si="72"/>
        <v/>
      </c>
      <c r="V732" s="10" t="str">
        <f>IFERROR(N732*VLOOKUP(G732,FILAMENTI_DB!$A:$J,10,FALSE),"")</f>
        <v/>
      </c>
      <c r="W732" s="23" t="str">
        <f>IFERROR((VLOOKUP(F732,STAMPANTI_DB!$A:$C,3,FALSE)/1000)*O732*SETTINGS!$C$6,"")</f>
        <v/>
      </c>
      <c r="X732" s="23" t="str">
        <f>IFERROR(O732*VLOOKUP(F732,STAMPANTI_DB!$A:$I,9,FALSE),"")</f>
        <v/>
      </c>
      <c r="Y732" s="23">
        <f>IFERROR(P732*SETTINGS!$C$7,"")</f>
        <v>0</v>
      </c>
      <c r="Z732" s="23">
        <f>SETTINGS!$C$11</f>
        <v>0.5</v>
      </c>
      <c r="AA732" s="23">
        <f t="shared" si="73"/>
        <v>0.5</v>
      </c>
      <c r="AB732" s="23">
        <f>IFERROR(AA732*SETTINGS!$C$9,"")</f>
        <v>2.5000000000000001E-2</v>
      </c>
      <c r="AC732" s="23">
        <f>IFERROR((AA732+AB732)*SETTINGS!$C$10,"")</f>
        <v>2.6250000000000002E-2</v>
      </c>
    </row>
    <row r="733" spans="1:29" ht="16" x14ac:dyDescent="0.2">
      <c r="A733" s="25"/>
      <c r="H733" t="str">
        <f>IFERROR(VLOOKUP(G733,FILAMENTI_DB!$A:$C,3,FALSE),"")</f>
        <v/>
      </c>
      <c r="I733" t="str">
        <f>IFERROR(VLOOKUP(G733,FILAMENTI_DB!$A:$E,4,FALSE),"")</f>
        <v/>
      </c>
      <c r="J733" s="26"/>
      <c r="K733" s="27"/>
      <c r="L733" s="27"/>
      <c r="M733" s="27">
        <f t="shared" si="68"/>
        <v>0</v>
      </c>
      <c r="N733" s="26">
        <f t="shared" si="69"/>
        <v>0</v>
      </c>
      <c r="O733" s="26"/>
      <c r="P733" s="26"/>
      <c r="Q733" s="23"/>
      <c r="R733" s="23">
        <f t="shared" si="70"/>
        <v>0</v>
      </c>
      <c r="S733" s="23"/>
      <c r="T733" s="23">
        <f t="shared" si="71"/>
        <v>0</v>
      </c>
      <c r="U733" s="28" t="str">
        <f t="shared" si="72"/>
        <v/>
      </c>
      <c r="V733" s="10" t="str">
        <f>IFERROR(N733*VLOOKUP(G733,FILAMENTI_DB!$A:$J,10,FALSE),"")</f>
        <v/>
      </c>
      <c r="W733" s="23" t="str">
        <f>IFERROR((VLOOKUP(F733,STAMPANTI_DB!$A:$C,3,FALSE)/1000)*O733*SETTINGS!$C$6,"")</f>
        <v/>
      </c>
      <c r="X733" s="23" t="str">
        <f>IFERROR(O733*VLOOKUP(F733,STAMPANTI_DB!$A:$I,9,FALSE),"")</f>
        <v/>
      </c>
      <c r="Y733" s="23">
        <f>IFERROR(P733*SETTINGS!$C$7,"")</f>
        <v>0</v>
      </c>
      <c r="Z733" s="23">
        <f>SETTINGS!$C$11</f>
        <v>0.5</v>
      </c>
      <c r="AA733" s="23">
        <f t="shared" si="73"/>
        <v>0.5</v>
      </c>
      <c r="AB733" s="23">
        <f>IFERROR(AA733*SETTINGS!$C$9,"")</f>
        <v>2.5000000000000001E-2</v>
      </c>
      <c r="AC733" s="23">
        <f>IFERROR((AA733+AB733)*SETTINGS!$C$10,"")</f>
        <v>2.6250000000000002E-2</v>
      </c>
    </row>
    <row r="734" spans="1:29" ht="16" x14ac:dyDescent="0.2">
      <c r="A734" s="25"/>
      <c r="H734" t="str">
        <f>IFERROR(VLOOKUP(G734,FILAMENTI_DB!$A:$C,3,FALSE),"")</f>
        <v/>
      </c>
      <c r="I734" t="str">
        <f>IFERROR(VLOOKUP(G734,FILAMENTI_DB!$A:$E,4,FALSE),"")</f>
        <v/>
      </c>
      <c r="J734" s="26"/>
      <c r="K734" s="27"/>
      <c r="L734" s="27"/>
      <c r="M734" s="27">
        <f t="shared" si="68"/>
        <v>0</v>
      </c>
      <c r="N734" s="26">
        <f t="shared" si="69"/>
        <v>0</v>
      </c>
      <c r="O734" s="26"/>
      <c r="P734" s="26"/>
      <c r="Q734" s="23"/>
      <c r="R734" s="23">
        <f t="shared" si="70"/>
        <v>0</v>
      </c>
      <c r="S734" s="23"/>
      <c r="T734" s="23">
        <f t="shared" si="71"/>
        <v>0</v>
      </c>
      <c r="U734" s="28" t="str">
        <f t="shared" si="72"/>
        <v/>
      </c>
      <c r="V734" s="10" t="str">
        <f>IFERROR(N734*VLOOKUP(G734,FILAMENTI_DB!$A:$J,10,FALSE),"")</f>
        <v/>
      </c>
      <c r="W734" s="23" t="str">
        <f>IFERROR((VLOOKUP(F734,STAMPANTI_DB!$A:$C,3,FALSE)/1000)*O734*SETTINGS!$C$6,"")</f>
        <v/>
      </c>
      <c r="X734" s="23" t="str">
        <f>IFERROR(O734*VLOOKUP(F734,STAMPANTI_DB!$A:$I,9,FALSE),"")</f>
        <v/>
      </c>
      <c r="Y734" s="23">
        <f>IFERROR(P734*SETTINGS!$C$7,"")</f>
        <v>0</v>
      </c>
      <c r="Z734" s="23">
        <f>SETTINGS!$C$11</f>
        <v>0.5</v>
      </c>
      <c r="AA734" s="23">
        <f t="shared" si="73"/>
        <v>0.5</v>
      </c>
      <c r="AB734" s="23">
        <f>IFERROR(AA734*SETTINGS!$C$9,"")</f>
        <v>2.5000000000000001E-2</v>
      </c>
      <c r="AC734" s="23">
        <f>IFERROR((AA734+AB734)*SETTINGS!$C$10,"")</f>
        <v>2.6250000000000002E-2</v>
      </c>
    </row>
    <row r="735" spans="1:29" ht="16" x14ac:dyDescent="0.2">
      <c r="A735" s="25"/>
      <c r="H735" t="str">
        <f>IFERROR(VLOOKUP(G735,FILAMENTI_DB!$A:$C,3,FALSE),"")</f>
        <v/>
      </c>
      <c r="I735" t="str">
        <f>IFERROR(VLOOKUP(G735,FILAMENTI_DB!$A:$E,4,FALSE),"")</f>
        <v/>
      </c>
      <c r="J735" s="26"/>
      <c r="K735" s="27"/>
      <c r="L735" s="27"/>
      <c r="M735" s="27">
        <f t="shared" si="68"/>
        <v>0</v>
      </c>
      <c r="N735" s="26">
        <f t="shared" si="69"/>
        <v>0</v>
      </c>
      <c r="O735" s="26"/>
      <c r="P735" s="26"/>
      <c r="Q735" s="23"/>
      <c r="R735" s="23">
        <f t="shared" si="70"/>
        <v>0</v>
      </c>
      <c r="S735" s="23"/>
      <c r="T735" s="23">
        <f t="shared" si="71"/>
        <v>0</v>
      </c>
      <c r="U735" s="28" t="str">
        <f t="shared" si="72"/>
        <v/>
      </c>
      <c r="V735" s="10" t="str">
        <f>IFERROR(N735*VLOOKUP(G735,FILAMENTI_DB!$A:$J,10,FALSE),"")</f>
        <v/>
      </c>
      <c r="W735" s="23" t="str">
        <f>IFERROR((VLOOKUP(F735,STAMPANTI_DB!$A:$C,3,FALSE)/1000)*O735*SETTINGS!$C$6,"")</f>
        <v/>
      </c>
      <c r="X735" s="23" t="str">
        <f>IFERROR(O735*VLOOKUP(F735,STAMPANTI_DB!$A:$I,9,FALSE),"")</f>
        <v/>
      </c>
      <c r="Y735" s="23">
        <f>IFERROR(P735*SETTINGS!$C$7,"")</f>
        <v>0</v>
      </c>
      <c r="Z735" s="23">
        <f>SETTINGS!$C$11</f>
        <v>0.5</v>
      </c>
      <c r="AA735" s="23">
        <f t="shared" si="73"/>
        <v>0.5</v>
      </c>
      <c r="AB735" s="23">
        <f>IFERROR(AA735*SETTINGS!$C$9,"")</f>
        <v>2.5000000000000001E-2</v>
      </c>
      <c r="AC735" s="23">
        <f>IFERROR((AA735+AB735)*SETTINGS!$C$10,"")</f>
        <v>2.6250000000000002E-2</v>
      </c>
    </row>
    <row r="736" spans="1:29" ht="16" x14ac:dyDescent="0.2">
      <c r="A736" s="25"/>
      <c r="H736" t="str">
        <f>IFERROR(VLOOKUP(G736,FILAMENTI_DB!$A:$C,3,FALSE),"")</f>
        <v/>
      </c>
      <c r="I736" t="str">
        <f>IFERROR(VLOOKUP(G736,FILAMENTI_DB!$A:$E,4,FALSE),"")</f>
        <v/>
      </c>
      <c r="J736" s="26"/>
      <c r="K736" s="27"/>
      <c r="L736" s="27"/>
      <c r="M736" s="27">
        <f t="shared" si="68"/>
        <v>0</v>
      </c>
      <c r="N736" s="26">
        <f t="shared" si="69"/>
        <v>0</v>
      </c>
      <c r="O736" s="26"/>
      <c r="P736" s="26"/>
      <c r="Q736" s="23"/>
      <c r="R736" s="23">
        <f t="shared" si="70"/>
        <v>0</v>
      </c>
      <c r="S736" s="23"/>
      <c r="T736" s="23">
        <f t="shared" si="71"/>
        <v>0</v>
      </c>
      <c r="U736" s="28" t="str">
        <f t="shared" si="72"/>
        <v/>
      </c>
      <c r="V736" s="10" t="str">
        <f>IFERROR(N736*VLOOKUP(G736,FILAMENTI_DB!$A:$J,10,FALSE),"")</f>
        <v/>
      </c>
      <c r="W736" s="23" t="str">
        <f>IFERROR((VLOOKUP(F736,STAMPANTI_DB!$A:$C,3,FALSE)/1000)*O736*SETTINGS!$C$6,"")</f>
        <v/>
      </c>
      <c r="X736" s="23" t="str">
        <f>IFERROR(O736*VLOOKUP(F736,STAMPANTI_DB!$A:$I,9,FALSE),"")</f>
        <v/>
      </c>
      <c r="Y736" s="23">
        <f>IFERROR(P736*SETTINGS!$C$7,"")</f>
        <v>0</v>
      </c>
      <c r="Z736" s="23">
        <f>SETTINGS!$C$11</f>
        <v>0.5</v>
      </c>
      <c r="AA736" s="23">
        <f t="shared" si="73"/>
        <v>0.5</v>
      </c>
      <c r="AB736" s="23">
        <f>IFERROR(AA736*SETTINGS!$C$9,"")</f>
        <v>2.5000000000000001E-2</v>
      </c>
      <c r="AC736" s="23">
        <f>IFERROR((AA736+AB736)*SETTINGS!$C$10,"")</f>
        <v>2.6250000000000002E-2</v>
      </c>
    </row>
    <row r="737" spans="1:29" ht="16" x14ac:dyDescent="0.2">
      <c r="A737" s="25"/>
      <c r="H737" t="str">
        <f>IFERROR(VLOOKUP(G737,FILAMENTI_DB!$A:$C,3,FALSE),"")</f>
        <v/>
      </c>
      <c r="I737" t="str">
        <f>IFERROR(VLOOKUP(G737,FILAMENTI_DB!$A:$E,4,FALSE),"")</f>
        <v/>
      </c>
      <c r="J737" s="26"/>
      <c r="K737" s="27"/>
      <c r="L737" s="27"/>
      <c r="M737" s="27">
        <f t="shared" si="68"/>
        <v>0</v>
      </c>
      <c r="N737" s="26">
        <f t="shared" si="69"/>
        <v>0</v>
      </c>
      <c r="O737" s="26"/>
      <c r="P737" s="26"/>
      <c r="Q737" s="23"/>
      <c r="R737" s="23">
        <f t="shared" si="70"/>
        <v>0</v>
      </c>
      <c r="S737" s="23"/>
      <c r="T737" s="23">
        <f t="shared" si="71"/>
        <v>0</v>
      </c>
      <c r="U737" s="28" t="str">
        <f t="shared" si="72"/>
        <v/>
      </c>
      <c r="V737" s="10" t="str">
        <f>IFERROR(N737*VLOOKUP(G737,FILAMENTI_DB!$A:$J,10,FALSE),"")</f>
        <v/>
      </c>
      <c r="W737" s="23" t="str">
        <f>IFERROR((VLOOKUP(F737,STAMPANTI_DB!$A:$C,3,FALSE)/1000)*O737*SETTINGS!$C$6,"")</f>
        <v/>
      </c>
      <c r="X737" s="23" t="str">
        <f>IFERROR(O737*VLOOKUP(F737,STAMPANTI_DB!$A:$I,9,FALSE),"")</f>
        <v/>
      </c>
      <c r="Y737" s="23">
        <f>IFERROR(P737*SETTINGS!$C$7,"")</f>
        <v>0</v>
      </c>
      <c r="Z737" s="23">
        <f>SETTINGS!$C$11</f>
        <v>0.5</v>
      </c>
      <c r="AA737" s="23">
        <f t="shared" si="73"/>
        <v>0.5</v>
      </c>
      <c r="AB737" s="23">
        <f>IFERROR(AA737*SETTINGS!$C$9,"")</f>
        <v>2.5000000000000001E-2</v>
      </c>
      <c r="AC737" s="23">
        <f>IFERROR((AA737+AB737)*SETTINGS!$C$10,"")</f>
        <v>2.6250000000000002E-2</v>
      </c>
    </row>
    <row r="738" spans="1:29" ht="16" x14ac:dyDescent="0.2">
      <c r="A738" s="25"/>
      <c r="H738" t="str">
        <f>IFERROR(VLOOKUP(G738,FILAMENTI_DB!$A:$C,3,FALSE),"")</f>
        <v/>
      </c>
      <c r="I738" t="str">
        <f>IFERROR(VLOOKUP(G738,FILAMENTI_DB!$A:$E,4,FALSE),"")</f>
        <v/>
      </c>
      <c r="J738" s="26"/>
      <c r="K738" s="27"/>
      <c r="L738" s="27"/>
      <c r="M738" s="27">
        <f t="shared" si="68"/>
        <v>0</v>
      </c>
      <c r="N738" s="26">
        <f t="shared" si="69"/>
        <v>0</v>
      </c>
      <c r="O738" s="26"/>
      <c r="P738" s="26"/>
      <c r="Q738" s="23"/>
      <c r="R738" s="23">
        <f t="shared" si="70"/>
        <v>0</v>
      </c>
      <c r="S738" s="23"/>
      <c r="T738" s="23">
        <f t="shared" si="71"/>
        <v>0</v>
      </c>
      <c r="U738" s="28" t="str">
        <f t="shared" si="72"/>
        <v/>
      </c>
      <c r="V738" s="10" t="str">
        <f>IFERROR(N738*VLOOKUP(G738,FILAMENTI_DB!$A:$J,10,FALSE),"")</f>
        <v/>
      </c>
      <c r="W738" s="23" t="str">
        <f>IFERROR((VLOOKUP(F738,STAMPANTI_DB!$A:$C,3,FALSE)/1000)*O738*SETTINGS!$C$6,"")</f>
        <v/>
      </c>
      <c r="X738" s="23" t="str">
        <f>IFERROR(O738*VLOOKUP(F738,STAMPANTI_DB!$A:$I,9,FALSE),"")</f>
        <v/>
      </c>
      <c r="Y738" s="23">
        <f>IFERROR(P738*SETTINGS!$C$7,"")</f>
        <v>0</v>
      </c>
      <c r="Z738" s="23">
        <f>SETTINGS!$C$11</f>
        <v>0.5</v>
      </c>
      <c r="AA738" s="23">
        <f t="shared" si="73"/>
        <v>0.5</v>
      </c>
      <c r="AB738" s="23">
        <f>IFERROR(AA738*SETTINGS!$C$9,"")</f>
        <v>2.5000000000000001E-2</v>
      </c>
      <c r="AC738" s="23">
        <f>IFERROR((AA738+AB738)*SETTINGS!$C$10,"")</f>
        <v>2.6250000000000002E-2</v>
      </c>
    </row>
    <row r="739" spans="1:29" ht="16" x14ac:dyDescent="0.2">
      <c r="A739" s="25"/>
      <c r="H739" t="str">
        <f>IFERROR(VLOOKUP(G739,FILAMENTI_DB!$A:$C,3,FALSE),"")</f>
        <v/>
      </c>
      <c r="I739" t="str">
        <f>IFERROR(VLOOKUP(G739,FILAMENTI_DB!$A:$E,4,FALSE),"")</f>
        <v/>
      </c>
      <c r="J739" s="26"/>
      <c r="K739" s="27"/>
      <c r="L739" s="27"/>
      <c r="M739" s="27">
        <f t="shared" si="68"/>
        <v>0</v>
      </c>
      <c r="N739" s="26">
        <f t="shared" si="69"/>
        <v>0</v>
      </c>
      <c r="O739" s="26"/>
      <c r="P739" s="26"/>
      <c r="Q739" s="23"/>
      <c r="R739" s="23">
        <f t="shared" si="70"/>
        <v>0</v>
      </c>
      <c r="S739" s="23"/>
      <c r="T739" s="23">
        <f t="shared" si="71"/>
        <v>0</v>
      </c>
      <c r="U739" s="28" t="str">
        <f t="shared" si="72"/>
        <v/>
      </c>
      <c r="V739" s="10" t="str">
        <f>IFERROR(N739*VLOOKUP(G739,FILAMENTI_DB!$A:$J,10,FALSE),"")</f>
        <v/>
      </c>
      <c r="W739" s="23" t="str">
        <f>IFERROR((VLOOKUP(F739,STAMPANTI_DB!$A:$C,3,FALSE)/1000)*O739*SETTINGS!$C$6,"")</f>
        <v/>
      </c>
      <c r="X739" s="23" t="str">
        <f>IFERROR(O739*VLOOKUP(F739,STAMPANTI_DB!$A:$I,9,FALSE),"")</f>
        <v/>
      </c>
      <c r="Y739" s="23">
        <f>IFERROR(P739*SETTINGS!$C$7,"")</f>
        <v>0</v>
      </c>
      <c r="Z739" s="23">
        <f>SETTINGS!$C$11</f>
        <v>0.5</v>
      </c>
      <c r="AA739" s="23">
        <f t="shared" si="73"/>
        <v>0.5</v>
      </c>
      <c r="AB739" s="23">
        <f>IFERROR(AA739*SETTINGS!$C$9,"")</f>
        <v>2.5000000000000001E-2</v>
      </c>
      <c r="AC739" s="23">
        <f>IFERROR((AA739+AB739)*SETTINGS!$C$10,"")</f>
        <v>2.6250000000000002E-2</v>
      </c>
    </row>
    <row r="740" spans="1:29" ht="16" x14ac:dyDescent="0.2">
      <c r="A740" s="25"/>
      <c r="H740" t="str">
        <f>IFERROR(VLOOKUP(G740,FILAMENTI_DB!$A:$C,3,FALSE),"")</f>
        <v/>
      </c>
      <c r="I740" t="str">
        <f>IFERROR(VLOOKUP(G740,FILAMENTI_DB!$A:$E,4,FALSE),"")</f>
        <v/>
      </c>
      <c r="J740" s="26"/>
      <c r="K740" s="27"/>
      <c r="L740" s="27"/>
      <c r="M740" s="27">
        <f t="shared" si="68"/>
        <v>0</v>
      </c>
      <c r="N740" s="26">
        <f t="shared" si="69"/>
        <v>0</v>
      </c>
      <c r="O740" s="26"/>
      <c r="P740" s="26"/>
      <c r="Q740" s="23"/>
      <c r="R740" s="23">
        <f t="shared" si="70"/>
        <v>0</v>
      </c>
      <c r="S740" s="23"/>
      <c r="T740" s="23">
        <f t="shared" si="71"/>
        <v>0</v>
      </c>
      <c r="U740" s="28" t="str">
        <f t="shared" si="72"/>
        <v/>
      </c>
      <c r="V740" s="10" t="str">
        <f>IFERROR(N740*VLOOKUP(G740,FILAMENTI_DB!$A:$J,10,FALSE),"")</f>
        <v/>
      </c>
      <c r="W740" s="23" t="str">
        <f>IFERROR((VLOOKUP(F740,STAMPANTI_DB!$A:$C,3,FALSE)/1000)*O740*SETTINGS!$C$6,"")</f>
        <v/>
      </c>
      <c r="X740" s="23" t="str">
        <f>IFERROR(O740*VLOOKUP(F740,STAMPANTI_DB!$A:$I,9,FALSE),"")</f>
        <v/>
      </c>
      <c r="Y740" s="23">
        <f>IFERROR(P740*SETTINGS!$C$7,"")</f>
        <v>0</v>
      </c>
      <c r="Z740" s="23">
        <f>SETTINGS!$C$11</f>
        <v>0.5</v>
      </c>
      <c r="AA740" s="23">
        <f t="shared" si="73"/>
        <v>0.5</v>
      </c>
      <c r="AB740" s="23">
        <f>IFERROR(AA740*SETTINGS!$C$9,"")</f>
        <v>2.5000000000000001E-2</v>
      </c>
      <c r="AC740" s="23">
        <f>IFERROR((AA740+AB740)*SETTINGS!$C$10,"")</f>
        <v>2.6250000000000002E-2</v>
      </c>
    </row>
    <row r="741" spans="1:29" ht="16" x14ac:dyDescent="0.2">
      <c r="A741" s="25"/>
      <c r="H741" t="str">
        <f>IFERROR(VLOOKUP(G741,FILAMENTI_DB!$A:$C,3,FALSE),"")</f>
        <v/>
      </c>
      <c r="I741" t="str">
        <f>IFERROR(VLOOKUP(G741,FILAMENTI_DB!$A:$E,4,FALSE),"")</f>
        <v/>
      </c>
      <c r="J741" s="26"/>
      <c r="K741" s="27"/>
      <c r="L741" s="27"/>
      <c r="M741" s="27">
        <f t="shared" si="68"/>
        <v>0</v>
      </c>
      <c r="N741" s="26">
        <f t="shared" si="69"/>
        <v>0</v>
      </c>
      <c r="O741" s="26"/>
      <c r="P741" s="26"/>
      <c r="Q741" s="23"/>
      <c r="R741" s="23">
        <f t="shared" si="70"/>
        <v>0</v>
      </c>
      <c r="S741" s="23"/>
      <c r="T741" s="23">
        <f t="shared" si="71"/>
        <v>0</v>
      </c>
      <c r="U741" s="28" t="str">
        <f t="shared" si="72"/>
        <v/>
      </c>
      <c r="V741" s="10" t="str">
        <f>IFERROR(N741*VLOOKUP(G741,FILAMENTI_DB!$A:$J,10,FALSE),"")</f>
        <v/>
      </c>
      <c r="W741" s="23" t="str">
        <f>IFERROR((VLOOKUP(F741,STAMPANTI_DB!$A:$C,3,FALSE)/1000)*O741*SETTINGS!$C$6,"")</f>
        <v/>
      </c>
      <c r="X741" s="23" t="str">
        <f>IFERROR(O741*VLOOKUP(F741,STAMPANTI_DB!$A:$I,9,FALSE),"")</f>
        <v/>
      </c>
      <c r="Y741" s="23">
        <f>IFERROR(P741*SETTINGS!$C$7,"")</f>
        <v>0</v>
      </c>
      <c r="Z741" s="23">
        <f>SETTINGS!$C$11</f>
        <v>0.5</v>
      </c>
      <c r="AA741" s="23">
        <f t="shared" si="73"/>
        <v>0.5</v>
      </c>
      <c r="AB741" s="23">
        <f>IFERROR(AA741*SETTINGS!$C$9,"")</f>
        <v>2.5000000000000001E-2</v>
      </c>
      <c r="AC741" s="23">
        <f>IFERROR((AA741+AB741)*SETTINGS!$C$10,"")</f>
        <v>2.6250000000000002E-2</v>
      </c>
    </row>
    <row r="742" spans="1:29" ht="16" x14ac:dyDescent="0.2">
      <c r="A742" s="25"/>
      <c r="H742" t="str">
        <f>IFERROR(VLOOKUP(G742,FILAMENTI_DB!$A:$C,3,FALSE),"")</f>
        <v/>
      </c>
      <c r="I742" t="str">
        <f>IFERROR(VLOOKUP(G742,FILAMENTI_DB!$A:$E,4,FALSE),"")</f>
        <v/>
      </c>
      <c r="J742" s="26"/>
      <c r="K742" s="27"/>
      <c r="L742" s="27"/>
      <c r="M742" s="27">
        <f t="shared" si="68"/>
        <v>0</v>
      </c>
      <c r="N742" s="26">
        <f t="shared" si="69"/>
        <v>0</v>
      </c>
      <c r="O742" s="26"/>
      <c r="P742" s="26"/>
      <c r="Q742" s="23"/>
      <c r="R742" s="23">
        <f t="shared" si="70"/>
        <v>0</v>
      </c>
      <c r="S742" s="23"/>
      <c r="T742" s="23">
        <f t="shared" si="71"/>
        <v>0</v>
      </c>
      <c r="U742" s="28" t="str">
        <f t="shared" si="72"/>
        <v/>
      </c>
      <c r="V742" s="10" t="str">
        <f>IFERROR(N742*VLOOKUP(G742,FILAMENTI_DB!$A:$J,10,FALSE),"")</f>
        <v/>
      </c>
      <c r="W742" s="23" t="str">
        <f>IFERROR((VLOOKUP(F742,STAMPANTI_DB!$A:$C,3,FALSE)/1000)*O742*SETTINGS!$C$6,"")</f>
        <v/>
      </c>
      <c r="X742" s="23" t="str">
        <f>IFERROR(O742*VLOOKUP(F742,STAMPANTI_DB!$A:$I,9,FALSE),"")</f>
        <v/>
      </c>
      <c r="Y742" s="23">
        <f>IFERROR(P742*SETTINGS!$C$7,"")</f>
        <v>0</v>
      </c>
      <c r="Z742" s="23">
        <f>SETTINGS!$C$11</f>
        <v>0.5</v>
      </c>
      <c r="AA742" s="23">
        <f t="shared" si="73"/>
        <v>0.5</v>
      </c>
      <c r="AB742" s="23">
        <f>IFERROR(AA742*SETTINGS!$C$9,"")</f>
        <v>2.5000000000000001E-2</v>
      </c>
      <c r="AC742" s="23">
        <f>IFERROR((AA742+AB742)*SETTINGS!$C$10,"")</f>
        <v>2.6250000000000002E-2</v>
      </c>
    </row>
    <row r="743" spans="1:29" ht="16" x14ac:dyDescent="0.2">
      <c r="A743" s="25"/>
      <c r="H743" t="str">
        <f>IFERROR(VLOOKUP(G743,FILAMENTI_DB!$A:$C,3,FALSE),"")</f>
        <v/>
      </c>
      <c r="I743" t="str">
        <f>IFERROR(VLOOKUP(G743,FILAMENTI_DB!$A:$E,4,FALSE),"")</f>
        <v/>
      </c>
      <c r="J743" s="26"/>
      <c r="K743" s="27"/>
      <c r="L743" s="27"/>
      <c r="M743" s="27">
        <f t="shared" si="68"/>
        <v>0</v>
      </c>
      <c r="N743" s="26">
        <f t="shared" si="69"/>
        <v>0</v>
      </c>
      <c r="O743" s="26"/>
      <c r="P743" s="26"/>
      <c r="Q743" s="23"/>
      <c r="R743" s="23">
        <f t="shared" si="70"/>
        <v>0</v>
      </c>
      <c r="S743" s="23"/>
      <c r="T743" s="23">
        <f t="shared" si="71"/>
        <v>0</v>
      </c>
      <c r="U743" s="28" t="str">
        <f t="shared" si="72"/>
        <v/>
      </c>
      <c r="V743" s="10" t="str">
        <f>IFERROR(N743*VLOOKUP(G743,FILAMENTI_DB!$A:$J,10,FALSE),"")</f>
        <v/>
      </c>
      <c r="W743" s="23" t="str">
        <f>IFERROR((VLOOKUP(F743,STAMPANTI_DB!$A:$C,3,FALSE)/1000)*O743*SETTINGS!$C$6,"")</f>
        <v/>
      </c>
      <c r="X743" s="23" t="str">
        <f>IFERROR(O743*VLOOKUP(F743,STAMPANTI_DB!$A:$I,9,FALSE),"")</f>
        <v/>
      </c>
      <c r="Y743" s="23">
        <f>IFERROR(P743*SETTINGS!$C$7,"")</f>
        <v>0</v>
      </c>
      <c r="Z743" s="23">
        <f>SETTINGS!$C$11</f>
        <v>0.5</v>
      </c>
      <c r="AA743" s="23">
        <f t="shared" si="73"/>
        <v>0.5</v>
      </c>
      <c r="AB743" s="23">
        <f>IFERROR(AA743*SETTINGS!$C$9,"")</f>
        <v>2.5000000000000001E-2</v>
      </c>
      <c r="AC743" s="23">
        <f>IFERROR((AA743+AB743)*SETTINGS!$C$10,"")</f>
        <v>2.6250000000000002E-2</v>
      </c>
    </row>
    <row r="744" spans="1:29" ht="16" x14ac:dyDescent="0.2">
      <c r="A744" s="25"/>
      <c r="H744" t="str">
        <f>IFERROR(VLOOKUP(G744,FILAMENTI_DB!$A:$C,3,FALSE),"")</f>
        <v/>
      </c>
      <c r="I744" t="str">
        <f>IFERROR(VLOOKUP(G744,FILAMENTI_DB!$A:$E,4,FALSE),"")</f>
        <v/>
      </c>
      <c r="J744" s="26"/>
      <c r="K744" s="27"/>
      <c r="L744" s="27"/>
      <c r="M744" s="27">
        <f t="shared" si="68"/>
        <v>0</v>
      </c>
      <c r="N744" s="26">
        <f t="shared" si="69"/>
        <v>0</v>
      </c>
      <c r="O744" s="26"/>
      <c r="P744" s="26"/>
      <c r="Q744" s="23"/>
      <c r="R744" s="23">
        <f t="shared" si="70"/>
        <v>0</v>
      </c>
      <c r="S744" s="23"/>
      <c r="T744" s="23">
        <f t="shared" si="71"/>
        <v>0</v>
      </c>
      <c r="U744" s="28" t="str">
        <f t="shared" si="72"/>
        <v/>
      </c>
      <c r="V744" s="10" t="str">
        <f>IFERROR(N744*VLOOKUP(G744,FILAMENTI_DB!$A:$J,10,FALSE),"")</f>
        <v/>
      </c>
      <c r="W744" s="23" t="str">
        <f>IFERROR((VLOOKUP(F744,STAMPANTI_DB!$A:$C,3,FALSE)/1000)*O744*SETTINGS!$C$6,"")</f>
        <v/>
      </c>
      <c r="X744" s="23" t="str">
        <f>IFERROR(O744*VLOOKUP(F744,STAMPANTI_DB!$A:$I,9,FALSE),"")</f>
        <v/>
      </c>
      <c r="Y744" s="23">
        <f>IFERROR(P744*SETTINGS!$C$7,"")</f>
        <v>0</v>
      </c>
      <c r="Z744" s="23">
        <f>SETTINGS!$C$11</f>
        <v>0.5</v>
      </c>
      <c r="AA744" s="23">
        <f t="shared" si="73"/>
        <v>0.5</v>
      </c>
      <c r="AB744" s="23">
        <f>IFERROR(AA744*SETTINGS!$C$9,"")</f>
        <v>2.5000000000000001E-2</v>
      </c>
      <c r="AC744" s="23">
        <f>IFERROR((AA744+AB744)*SETTINGS!$C$10,"")</f>
        <v>2.6250000000000002E-2</v>
      </c>
    </row>
    <row r="745" spans="1:29" ht="16" x14ac:dyDescent="0.2">
      <c r="A745" s="25"/>
      <c r="H745" t="str">
        <f>IFERROR(VLOOKUP(G745,FILAMENTI_DB!$A:$C,3,FALSE),"")</f>
        <v/>
      </c>
      <c r="I745" t="str">
        <f>IFERROR(VLOOKUP(G745,FILAMENTI_DB!$A:$E,4,FALSE),"")</f>
        <v/>
      </c>
      <c r="J745" s="26"/>
      <c r="K745" s="27"/>
      <c r="L745" s="27"/>
      <c r="M745" s="27">
        <f t="shared" si="68"/>
        <v>0</v>
      </c>
      <c r="N745" s="26">
        <f t="shared" si="69"/>
        <v>0</v>
      </c>
      <c r="O745" s="26"/>
      <c r="P745" s="26"/>
      <c r="Q745" s="23"/>
      <c r="R745" s="23">
        <f t="shared" si="70"/>
        <v>0</v>
      </c>
      <c r="S745" s="23"/>
      <c r="T745" s="23">
        <f t="shared" si="71"/>
        <v>0</v>
      </c>
      <c r="U745" s="28" t="str">
        <f t="shared" si="72"/>
        <v/>
      </c>
      <c r="V745" s="10" t="str">
        <f>IFERROR(N745*VLOOKUP(G745,FILAMENTI_DB!$A:$J,10,FALSE),"")</f>
        <v/>
      </c>
      <c r="W745" s="23" t="str">
        <f>IFERROR((VLOOKUP(F745,STAMPANTI_DB!$A:$C,3,FALSE)/1000)*O745*SETTINGS!$C$6,"")</f>
        <v/>
      </c>
      <c r="X745" s="23" t="str">
        <f>IFERROR(O745*VLOOKUP(F745,STAMPANTI_DB!$A:$I,9,FALSE),"")</f>
        <v/>
      </c>
      <c r="Y745" s="23">
        <f>IFERROR(P745*SETTINGS!$C$7,"")</f>
        <v>0</v>
      </c>
      <c r="Z745" s="23">
        <f>SETTINGS!$C$11</f>
        <v>0.5</v>
      </c>
      <c r="AA745" s="23">
        <f t="shared" si="73"/>
        <v>0.5</v>
      </c>
      <c r="AB745" s="23">
        <f>IFERROR(AA745*SETTINGS!$C$9,"")</f>
        <v>2.5000000000000001E-2</v>
      </c>
      <c r="AC745" s="23">
        <f>IFERROR((AA745+AB745)*SETTINGS!$C$10,"")</f>
        <v>2.6250000000000002E-2</v>
      </c>
    </row>
    <row r="746" spans="1:29" ht="16" x14ac:dyDescent="0.2">
      <c r="A746" s="25"/>
      <c r="H746" t="str">
        <f>IFERROR(VLOOKUP(G746,FILAMENTI_DB!$A:$C,3,FALSE),"")</f>
        <v/>
      </c>
      <c r="I746" t="str">
        <f>IFERROR(VLOOKUP(G746,FILAMENTI_DB!$A:$E,4,FALSE),"")</f>
        <v/>
      </c>
      <c r="J746" s="26"/>
      <c r="K746" s="27"/>
      <c r="L746" s="27"/>
      <c r="M746" s="27">
        <f t="shared" si="68"/>
        <v>0</v>
      </c>
      <c r="N746" s="26">
        <f t="shared" si="69"/>
        <v>0</v>
      </c>
      <c r="O746" s="26"/>
      <c r="P746" s="26"/>
      <c r="Q746" s="23"/>
      <c r="R746" s="23">
        <f t="shared" si="70"/>
        <v>0</v>
      </c>
      <c r="S746" s="23"/>
      <c r="T746" s="23">
        <f t="shared" si="71"/>
        <v>0</v>
      </c>
      <c r="U746" s="28" t="str">
        <f t="shared" si="72"/>
        <v/>
      </c>
      <c r="V746" s="10" t="str">
        <f>IFERROR(N746*VLOOKUP(G746,FILAMENTI_DB!$A:$J,10,FALSE),"")</f>
        <v/>
      </c>
      <c r="W746" s="23" t="str">
        <f>IFERROR((VLOOKUP(F746,STAMPANTI_DB!$A:$C,3,FALSE)/1000)*O746*SETTINGS!$C$6,"")</f>
        <v/>
      </c>
      <c r="X746" s="23" t="str">
        <f>IFERROR(O746*VLOOKUP(F746,STAMPANTI_DB!$A:$I,9,FALSE),"")</f>
        <v/>
      </c>
      <c r="Y746" s="23">
        <f>IFERROR(P746*SETTINGS!$C$7,"")</f>
        <v>0</v>
      </c>
      <c r="Z746" s="23">
        <f>SETTINGS!$C$11</f>
        <v>0.5</v>
      </c>
      <c r="AA746" s="23">
        <f t="shared" si="73"/>
        <v>0.5</v>
      </c>
      <c r="AB746" s="23">
        <f>IFERROR(AA746*SETTINGS!$C$9,"")</f>
        <v>2.5000000000000001E-2</v>
      </c>
      <c r="AC746" s="23">
        <f>IFERROR((AA746+AB746)*SETTINGS!$C$10,"")</f>
        <v>2.6250000000000002E-2</v>
      </c>
    </row>
    <row r="747" spans="1:29" ht="16" x14ac:dyDescent="0.2">
      <c r="A747" s="25"/>
      <c r="H747" t="str">
        <f>IFERROR(VLOOKUP(G747,FILAMENTI_DB!$A:$C,3,FALSE),"")</f>
        <v/>
      </c>
      <c r="I747" t="str">
        <f>IFERROR(VLOOKUP(G747,FILAMENTI_DB!$A:$E,4,FALSE),"")</f>
        <v/>
      </c>
      <c r="J747" s="26"/>
      <c r="K747" s="27"/>
      <c r="L747" s="27"/>
      <c r="M747" s="27">
        <f t="shared" si="68"/>
        <v>0</v>
      </c>
      <c r="N747" s="26">
        <f t="shared" si="69"/>
        <v>0</v>
      </c>
      <c r="O747" s="26"/>
      <c r="P747" s="26"/>
      <c r="Q747" s="23"/>
      <c r="R747" s="23">
        <f t="shared" si="70"/>
        <v>0</v>
      </c>
      <c r="S747" s="23"/>
      <c r="T747" s="23">
        <f t="shared" si="71"/>
        <v>0</v>
      </c>
      <c r="U747" s="28" t="str">
        <f t="shared" si="72"/>
        <v/>
      </c>
      <c r="V747" s="10" t="str">
        <f>IFERROR(N747*VLOOKUP(G747,FILAMENTI_DB!$A:$J,10,FALSE),"")</f>
        <v/>
      </c>
      <c r="W747" s="23" t="str">
        <f>IFERROR((VLOOKUP(F747,STAMPANTI_DB!$A:$C,3,FALSE)/1000)*O747*SETTINGS!$C$6,"")</f>
        <v/>
      </c>
      <c r="X747" s="23" t="str">
        <f>IFERROR(O747*VLOOKUP(F747,STAMPANTI_DB!$A:$I,9,FALSE),"")</f>
        <v/>
      </c>
      <c r="Y747" s="23">
        <f>IFERROR(P747*SETTINGS!$C$7,"")</f>
        <v>0</v>
      </c>
      <c r="Z747" s="23">
        <f>SETTINGS!$C$11</f>
        <v>0.5</v>
      </c>
      <c r="AA747" s="23">
        <f t="shared" si="73"/>
        <v>0.5</v>
      </c>
      <c r="AB747" s="23">
        <f>IFERROR(AA747*SETTINGS!$C$9,"")</f>
        <v>2.5000000000000001E-2</v>
      </c>
      <c r="AC747" s="23">
        <f>IFERROR((AA747+AB747)*SETTINGS!$C$10,"")</f>
        <v>2.6250000000000002E-2</v>
      </c>
    </row>
    <row r="748" spans="1:29" ht="16" x14ac:dyDescent="0.2">
      <c r="A748" s="25"/>
      <c r="H748" t="str">
        <f>IFERROR(VLOOKUP(G748,FILAMENTI_DB!$A:$C,3,FALSE),"")</f>
        <v/>
      </c>
      <c r="I748" t="str">
        <f>IFERROR(VLOOKUP(G748,FILAMENTI_DB!$A:$E,4,FALSE),"")</f>
        <v/>
      </c>
      <c r="J748" s="26"/>
      <c r="K748" s="27"/>
      <c r="L748" s="27"/>
      <c r="M748" s="27">
        <f t="shared" si="68"/>
        <v>0</v>
      </c>
      <c r="N748" s="26">
        <f t="shared" si="69"/>
        <v>0</v>
      </c>
      <c r="O748" s="26"/>
      <c r="P748" s="26"/>
      <c r="Q748" s="23"/>
      <c r="R748" s="23">
        <f t="shared" si="70"/>
        <v>0</v>
      </c>
      <c r="S748" s="23"/>
      <c r="T748" s="23">
        <f t="shared" si="71"/>
        <v>0</v>
      </c>
      <c r="U748" s="28" t="str">
        <f t="shared" si="72"/>
        <v/>
      </c>
      <c r="V748" s="10" t="str">
        <f>IFERROR(N748*VLOOKUP(G748,FILAMENTI_DB!$A:$J,10,FALSE),"")</f>
        <v/>
      </c>
      <c r="W748" s="23" t="str">
        <f>IFERROR((VLOOKUP(F748,STAMPANTI_DB!$A:$C,3,FALSE)/1000)*O748*SETTINGS!$C$6,"")</f>
        <v/>
      </c>
      <c r="X748" s="23" t="str">
        <f>IFERROR(O748*VLOOKUP(F748,STAMPANTI_DB!$A:$I,9,FALSE),"")</f>
        <v/>
      </c>
      <c r="Y748" s="23">
        <f>IFERROR(P748*SETTINGS!$C$7,"")</f>
        <v>0</v>
      </c>
      <c r="Z748" s="23">
        <f>SETTINGS!$C$11</f>
        <v>0.5</v>
      </c>
      <c r="AA748" s="23">
        <f t="shared" si="73"/>
        <v>0.5</v>
      </c>
      <c r="AB748" s="23">
        <f>IFERROR(AA748*SETTINGS!$C$9,"")</f>
        <v>2.5000000000000001E-2</v>
      </c>
      <c r="AC748" s="23">
        <f>IFERROR((AA748+AB748)*SETTINGS!$C$10,"")</f>
        <v>2.6250000000000002E-2</v>
      </c>
    </row>
    <row r="749" spans="1:29" ht="16" x14ac:dyDescent="0.2">
      <c r="A749" s="25"/>
      <c r="H749" t="str">
        <f>IFERROR(VLOOKUP(G749,FILAMENTI_DB!$A:$C,3,FALSE),"")</f>
        <v/>
      </c>
      <c r="I749" t="str">
        <f>IFERROR(VLOOKUP(G749,FILAMENTI_DB!$A:$E,4,FALSE),"")</f>
        <v/>
      </c>
      <c r="J749" s="26"/>
      <c r="K749" s="27"/>
      <c r="L749" s="27"/>
      <c r="M749" s="27">
        <f t="shared" si="68"/>
        <v>0</v>
      </c>
      <c r="N749" s="26">
        <f t="shared" si="69"/>
        <v>0</v>
      </c>
      <c r="O749" s="26"/>
      <c r="P749" s="26"/>
      <c r="Q749" s="23"/>
      <c r="R749" s="23">
        <f t="shared" si="70"/>
        <v>0</v>
      </c>
      <c r="S749" s="23"/>
      <c r="T749" s="23">
        <f t="shared" si="71"/>
        <v>0</v>
      </c>
      <c r="U749" s="28" t="str">
        <f t="shared" si="72"/>
        <v/>
      </c>
      <c r="V749" s="10" t="str">
        <f>IFERROR(N749*VLOOKUP(G749,FILAMENTI_DB!$A:$J,10,FALSE),"")</f>
        <v/>
      </c>
      <c r="W749" s="23" t="str">
        <f>IFERROR((VLOOKUP(F749,STAMPANTI_DB!$A:$C,3,FALSE)/1000)*O749*SETTINGS!$C$6,"")</f>
        <v/>
      </c>
      <c r="X749" s="23" t="str">
        <f>IFERROR(O749*VLOOKUP(F749,STAMPANTI_DB!$A:$I,9,FALSE),"")</f>
        <v/>
      </c>
      <c r="Y749" s="23">
        <f>IFERROR(P749*SETTINGS!$C$7,"")</f>
        <v>0</v>
      </c>
      <c r="Z749" s="23">
        <f>SETTINGS!$C$11</f>
        <v>0.5</v>
      </c>
      <c r="AA749" s="23">
        <f t="shared" si="73"/>
        <v>0.5</v>
      </c>
      <c r="AB749" s="23">
        <f>IFERROR(AA749*SETTINGS!$C$9,"")</f>
        <v>2.5000000000000001E-2</v>
      </c>
      <c r="AC749" s="23">
        <f>IFERROR((AA749+AB749)*SETTINGS!$C$10,"")</f>
        <v>2.6250000000000002E-2</v>
      </c>
    </row>
    <row r="750" spans="1:29" ht="16" x14ac:dyDescent="0.2">
      <c r="A750" s="25"/>
      <c r="H750" t="str">
        <f>IFERROR(VLOOKUP(G750,FILAMENTI_DB!$A:$C,3,FALSE),"")</f>
        <v/>
      </c>
      <c r="I750" t="str">
        <f>IFERROR(VLOOKUP(G750,FILAMENTI_DB!$A:$E,4,FALSE),"")</f>
        <v/>
      </c>
      <c r="J750" s="26"/>
      <c r="K750" s="27"/>
      <c r="L750" s="27"/>
      <c r="M750" s="27">
        <f t="shared" si="68"/>
        <v>0</v>
      </c>
      <c r="N750" s="26">
        <f t="shared" si="69"/>
        <v>0</v>
      </c>
      <c r="O750" s="26"/>
      <c r="P750" s="26"/>
      <c r="Q750" s="23"/>
      <c r="R750" s="23">
        <f t="shared" si="70"/>
        <v>0</v>
      </c>
      <c r="S750" s="23"/>
      <c r="T750" s="23">
        <f t="shared" si="71"/>
        <v>0</v>
      </c>
      <c r="U750" s="28" t="str">
        <f t="shared" si="72"/>
        <v/>
      </c>
      <c r="V750" s="10" t="str">
        <f>IFERROR(N750*VLOOKUP(G750,FILAMENTI_DB!$A:$J,10,FALSE),"")</f>
        <v/>
      </c>
      <c r="W750" s="23" t="str">
        <f>IFERROR((VLOOKUP(F750,STAMPANTI_DB!$A:$C,3,FALSE)/1000)*O750*SETTINGS!$C$6,"")</f>
        <v/>
      </c>
      <c r="X750" s="23" t="str">
        <f>IFERROR(O750*VLOOKUP(F750,STAMPANTI_DB!$A:$I,9,FALSE),"")</f>
        <v/>
      </c>
      <c r="Y750" s="23">
        <f>IFERROR(P750*SETTINGS!$C$7,"")</f>
        <v>0</v>
      </c>
      <c r="Z750" s="23">
        <f>SETTINGS!$C$11</f>
        <v>0.5</v>
      </c>
      <c r="AA750" s="23">
        <f t="shared" si="73"/>
        <v>0.5</v>
      </c>
      <c r="AB750" s="23">
        <f>IFERROR(AA750*SETTINGS!$C$9,"")</f>
        <v>2.5000000000000001E-2</v>
      </c>
      <c r="AC750" s="23">
        <f>IFERROR((AA750+AB750)*SETTINGS!$C$10,"")</f>
        <v>2.6250000000000002E-2</v>
      </c>
    </row>
    <row r="751" spans="1:29" ht="16" x14ac:dyDescent="0.2">
      <c r="A751" s="25"/>
      <c r="H751" t="str">
        <f>IFERROR(VLOOKUP(G751,FILAMENTI_DB!$A:$C,3,FALSE),"")</f>
        <v/>
      </c>
      <c r="I751" t="str">
        <f>IFERROR(VLOOKUP(G751,FILAMENTI_DB!$A:$E,4,FALSE),"")</f>
        <v/>
      </c>
      <c r="J751" s="26"/>
      <c r="K751" s="27"/>
      <c r="L751" s="27"/>
      <c r="M751" s="27">
        <f t="shared" si="68"/>
        <v>0</v>
      </c>
      <c r="N751" s="26">
        <f t="shared" si="69"/>
        <v>0</v>
      </c>
      <c r="O751" s="26"/>
      <c r="P751" s="26"/>
      <c r="Q751" s="23"/>
      <c r="R751" s="23">
        <f t="shared" si="70"/>
        <v>0</v>
      </c>
      <c r="S751" s="23"/>
      <c r="T751" s="23">
        <f t="shared" si="71"/>
        <v>0</v>
      </c>
      <c r="U751" s="28" t="str">
        <f t="shared" si="72"/>
        <v/>
      </c>
      <c r="V751" s="10" t="str">
        <f>IFERROR(N751*VLOOKUP(G751,FILAMENTI_DB!$A:$J,10,FALSE),"")</f>
        <v/>
      </c>
      <c r="W751" s="23" t="str">
        <f>IFERROR((VLOOKUP(F751,STAMPANTI_DB!$A:$C,3,FALSE)/1000)*O751*SETTINGS!$C$6,"")</f>
        <v/>
      </c>
      <c r="X751" s="23" t="str">
        <f>IFERROR(O751*VLOOKUP(F751,STAMPANTI_DB!$A:$I,9,FALSE),"")</f>
        <v/>
      </c>
      <c r="Y751" s="23">
        <f>IFERROR(P751*SETTINGS!$C$7,"")</f>
        <v>0</v>
      </c>
      <c r="Z751" s="23">
        <f>SETTINGS!$C$11</f>
        <v>0.5</v>
      </c>
      <c r="AA751" s="23">
        <f t="shared" si="73"/>
        <v>0.5</v>
      </c>
      <c r="AB751" s="23">
        <f>IFERROR(AA751*SETTINGS!$C$9,"")</f>
        <v>2.5000000000000001E-2</v>
      </c>
      <c r="AC751" s="23">
        <f>IFERROR((AA751+AB751)*SETTINGS!$C$10,"")</f>
        <v>2.6250000000000002E-2</v>
      </c>
    </row>
    <row r="752" spans="1:29" ht="16" x14ac:dyDescent="0.2">
      <c r="A752" s="25"/>
      <c r="H752" t="str">
        <f>IFERROR(VLOOKUP(G752,FILAMENTI_DB!$A:$C,3,FALSE),"")</f>
        <v/>
      </c>
      <c r="I752" t="str">
        <f>IFERROR(VLOOKUP(G752,FILAMENTI_DB!$A:$E,4,FALSE),"")</f>
        <v/>
      </c>
      <c r="J752" s="26"/>
      <c r="K752" s="27"/>
      <c r="L752" s="27"/>
      <c r="M752" s="27">
        <f t="shared" si="68"/>
        <v>0</v>
      </c>
      <c r="N752" s="26">
        <f t="shared" si="69"/>
        <v>0</v>
      </c>
      <c r="O752" s="26"/>
      <c r="P752" s="26"/>
      <c r="Q752" s="23"/>
      <c r="R752" s="23">
        <f t="shared" si="70"/>
        <v>0</v>
      </c>
      <c r="S752" s="23"/>
      <c r="T752" s="23">
        <f t="shared" si="71"/>
        <v>0</v>
      </c>
      <c r="U752" s="28" t="str">
        <f t="shared" si="72"/>
        <v/>
      </c>
      <c r="V752" s="10" t="str">
        <f>IFERROR(N752*VLOOKUP(G752,FILAMENTI_DB!$A:$J,10,FALSE),"")</f>
        <v/>
      </c>
      <c r="W752" s="23" t="str">
        <f>IFERROR((VLOOKUP(F752,STAMPANTI_DB!$A:$C,3,FALSE)/1000)*O752*SETTINGS!$C$6,"")</f>
        <v/>
      </c>
      <c r="X752" s="23" t="str">
        <f>IFERROR(O752*VLOOKUP(F752,STAMPANTI_DB!$A:$I,9,FALSE),"")</f>
        <v/>
      </c>
      <c r="Y752" s="23">
        <f>IFERROR(P752*SETTINGS!$C$7,"")</f>
        <v>0</v>
      </c>
      <c r="Z752" s="23">
        <f>SETTINGS!$C$11</f>
        <v>0.5</v>
      </c>
      <c r="AA752" s="23">
        <f t="shared" si="73"/>
        <v>0.5</v>
      </c>
      <c r="AB752" s="23">
        <f>IFERROR(AA752*SETTINGS!$C$9,"")</f>
        <v>2.5000000000000001E-2</v>
      </c>
      <c r="AC752" s="23">
        <f>IFERROR((AA752+AB752)*SETTINGS!$C$10,"")</f>
        <v>2.6250000000000002E-2</v>
      </c>
    </row>
    <row r="753" spans="1:29" ht="16" x14ac:dyDescent="0.2">
      <c r="A753" s="25"/>
      <c r="H753" t="str">
        <f>IFERROR(VLOOKUP(G753,FILAMENTI_DB!$A:$C,3,FALSE),"")</f>
        <v/>
      </c>
      <c r="I753" t="str">
        <f>IFERROR(VLOOKUP(G753,FILAMENTI_DB!$A:$E,4,FALSE),"")</f>
        <v/>
      </c>
      <c r="J753" s="26"/>
      <c r="K753" s="27"/>
      <c r="L753" s="27"/>
      <c r="M753" s="27">
        <f t="shared" si="68"/>
        <v>0</v>
      </c>
      <c r="N753" s="26">
        <f t="shared" si="69"/>
        <v>0</v>
      </c>
      <c r="O753" s="26"/>
      <c r="P753" s="26"/>
      <c r="Q753" s="23"/>
      <c r="R753" s="23">
        <f t="shared" si="70"/>
        <v>0</v>
      </c>
      <c r="S753" s="23"/>
      <c r="T753" s="23">
        <f t="shared" si="71"/>
        <v>0</v>
      </c>
      <c r="U753" s="28" t="str">
        <f t="shared" si="72"/>
        <v/>
      </c>
      <c r="V753" s="10" t="str">
        <f>IFERROR(N753*VLOOKUP(G753,FILAMENTI_DB!$A:$J,10,FALSE),"")</f>
        <v/>
      </c>
      <c r="W753" s="23" t="str">
        <f>IFERROR((VLOOKUP(F753,STAMPANTI_DB!$A:$C,3,FALSE)/1000)*O753*SETTINGS!$C$6,"")</f>
        <v/>
      </c>
      <c r="X753" s="23" t="str">
        <f>IFERROR(O753*VLOOKUP(F753,STAMPANTI_DB!$A:$I,9,FALSE),"")</f>
        <v/>
      </c>
      <c r="Y753" s="23">
        <f>IFERROR(P753*SETTINGS!$C$7,"")</f>
        <v>0</v>
      </c>
      <c r="Z753" s="23">
        <f>SETTINGS!$C$11</f>
        <v>0.5</v>
      </c>
      <c r="AA753" s="23">
        <f t="shared" si="73"/>
        <v>0.5</v>
      </c>
      <c r="AB753" s="23">
        <f>IFERROR(AA753*SETTINGS!$C$9,"")</f>
        <v>2.5000000000000001E-2</v>
      </c>
      <c r="AC753" s="23">
        <f>IFERROR((AA753+AB753)*SETTINGS!$C$10,"")</f>
        <v>2.6250000000000002E-2</v>
      </c>
    </row>
    <row r="754" spans="1:29" ht="16" x14ac:dyDescent="0.2">
      <c r="A754" s="25"/>
      <c r="H754" t="str">
        <f>IFERROR(VLOOKUP(G754,FILAMENTI_DB!$A:$C,3,FALSE),"")</f>
        <v/>
      </c>
      <c r="I754" t="str">
        <f>IFERROR(VLOOKUP(G754,FILAMENTI_DB!$A:$E,4,FALSE),"")</f>
        <v/>
      </c>
      <c r="J754" s="26"/>
      <c r="K754" s="27"/>
      <c r="L754" s="27"/>
      <c r="M754" s="27">
        <f t="shared" si="68"/>
        <v>0</v>
      </c>
      <c r="N754" s="26">
        <f t="shared" si="69"/>
        <v>0</v>
      </c>
      <c r="O754" s="26"/>
      <c r="P754" s="26"/>
      <c r="Q754" s="23"/>
      <c r="R754" s="23">
        <f t="shared" si="70"/>
        <v>0</v>
      </c>
      <c r="S754" s="23"/>
      <c r="T754" s="23">
        <f t="shared" si="71"/>
        <v>0</v>
      </c>
      <c r="U754" s="28" t="str">
        <f t="shared" si="72"/>
        <v/>
      </c>
      <c r="V754" s="10" t="str">
        <f>IFERROR(N754*VLOOKUP(G754,FILAMENTI_DB!$A:$J,10,FALSE),"")</f>
        <v/>
      </c>
      <c r="W754" s="23" t="str">
        <f>IFERROR((VLOOKUP(F754,STAMPANTI_DB!$A:$C,3,FALSE)/1000)*O754*SETTINGS!$C$6,"")</f>
        <v/>
      </c>
      <c r="X754" s="23" t="str">
        <f>IFERROR(O754*VLOOKUP(F754,STAMPANTI_DB!$A:$I,9,FALSE),"")</f>
        <v/>
      </c>
      <c r="Y754" s="23">
        <f>IFERROR(P754*SETTINGS!$C$7,"")</f>
        <v>0</v>
      </c>
      <c r="Z754" s="23">
        <f>SETTINGS!$C$11</f>
        <v>0.5</v>
      </c>
      <c r="AA754" s="23">
        <f t="shared" si="73"/>
        <v>0.5</v>
      </c>
      <c r="AB754" s="23">
        <f>IFERROR(AA754*SETTINGS!$C$9,"")</f>
        <v>2.5000000000000001E-2</v>
      </c>
      <c r="AC754" s="23">
        <f>IFERROR((AA754+AB754)*SETTINGS!$C$10,"")</f>
        <v>2.6250000000000002E-2</v>
      </c>
    </row>
    <row r="755" spans="1:29" ht="16" x14ac:dyDescent="0.2">
      <c r="A755" s="25"/>
      <c r="H755" t="str">
        <f>IFERROR(VLOOKUP(G755,FILAMENTI_DB!$A:$C,3,FALSE),"")</f>
        <v/>
      </c>
      <c r="I755" t="str">
        <f>IFERROR(VLOOKUP(G755,FILAMENTI_DB!$A:$E,4,FALSE),"")</f>
        <v/>
      </c>
      <c r="J755" s="26"/>
      <c r="K755" s="27"/>
      <c r="L755" s="27"/>
      <c r="M755" s="27">
        <f t="shared" si="68"/>
        <v>0</v>
      </c>
      <c r="N755" s="26">
        <f t="shared" si="69"/>
        <v>0</v>
      </c>
      <c r="O755" s="26"/>
      <c r="P755" s="26"/>
      <c r="Q755" s="23"/>
      <c r="R755" s="23">
        <f t="shared" si="70"/>
        <v>0</v>
      </c>
      <c r="S755" s="23"/>
      <c r="T755" s="23">
        <f t="shared" si="71"/>
        <v>0</v>
      </c>
      <c r="U755" s="28" t="str">
        <f t="shared" si="72"/>
        <v/>
      </c>
      <c r="V755" s="10" t="str">
        <f>IFERROR(N755*VLOOKUP(G755,FILAMENTI_DB!$A:$J,10,FALSE),"")</f>
        <v/>
      </c>
      <c r="W755" s="23" t="str">
        <f>IFERROR((VLOOKUP(F755,STAMPANTI_DB!$A:$C,3,FALSE)/1000)*O755*SETTINGS!$C$6,"")</f>
        <v/>
      </c>
      <c r="X755" s="23" t="str">
        <f>IFERROR(O755*VLOOKUP(F755,STAMPANTI_DB!$A:$I,9,FALSE),"")</f>
        <v/>
      </c>
      <c r="Y755" s="23">
        <f>IFERROR(P755*SETTINGS!$C$7,"")</f>
        <v>0</v>
      </c>
      <c r="Z755" s="23">
        <f>SETTINGS!$C$11</f>
        <v>0.5</v>
      </c>
      <c r="AA755" s="23">
        <f t="shared" si="73"/>
        <v>0.5</v>
      </c>
      <c r="AB755" s="23">
        <f>IFERROR(AA755*SETTINGS!$C$9,"")</f>
        <v>2.5000000000000001E-2</v>
      </c>
      <c r="AC755" s="23">
        <f>IFERROR((AA755+AB755)*SETTINGS!$C$10,"")</f>
        <v>2.6250000000000002E-2</v>
      </c>
    </row>
    <row r="756" spans="1:29" ht="16" x14ac:dyDescent="0.2">
      <c r="A756" s="25"/>
      <c r="H756" t="str">
        <f>IFERROR(VLOOKUP(G756,FILAMENTI_DB!$A:$C,3,FALSE),"")</f>
        <v/>
      </c>
      <c r="I756" t="str">
        <f>IFERROR(VLOOKUP(G756,FILAMENTI_DB!$A:$E,4,FALSE),"")</f>
        <v/>
      </c>
      <c r="J756" s="26"/>
      <c r="K756" s="27"/>
      <c r="L756" s="27"/>
      <c r="M756" s="27">
        <f t="shared" si="68"/>
        <v>0</v>
      </c>
      <c r="N756" s="26">
        <f t="shared" si="69"/>
        <v>0</v>
      </c>
      <c r="O756" s="26"/>
      <c r="P756" s="26"/>
      <c r="Q756" s="23"/>
      <c r="R756" s="23">
        <f t="shared" si="70"/>
        <v>0</v>
      </c>
      <c r="S756" s="23"/>
      <c r="T756" s="23">
        <f t="shared" si="71"/>
        <v>0</v>
      </c>
      <c r="U756" s="28" t="str">
        <f t="shared" si="72"/>
        <v/>
      </c>
      <c r="V756" s="10" t="str">
        <f>IFERROR(N756*VLOOKUP(G756,FILAMENTI_DB!$A:$J,10,FALSE),"")</f>
        <v/>
      </c>
      <c r="W756" s="23" t="str">
        <f>IFERROR((VLOOKUP(F756,STAMPANTI_DB!$A:$C,3,FALSE)/1000)*O756*SETTINGS!$C$6,"")</f>
        <v/>
      </c>
      <c r="X756" s="23" t="str">
        <f>IFERROR(O756*VLOOKUP(F756,STAMPANTI_DB!$A:$I,9,FALSE),"")</f>
        <v/>
      </c>
      <c r="Y756" s="23">
        <f>IFERROR(P756*SETTINGS!$C$7,"")</f>
        <v>0</v>
      </c>
      <c r="Z756" s="23">
        <f>SETTINGS!$C$11</f>
        <v>0.5</v>
      </c>
      <c r="AA756" s="23">
        <f t="shared" si="73"/>
        <v>0.5</v>
      </c>
      <c r="AB756" s="23">
        <f>IFERROR(AA756*SETTINGS!$C$9,"")</f>
        <v>2.5000000000000001E-2</v>
      </c>
      <c r="AC756" s="23">
        <f>IFERROR((AA756+AB756)*SETTINGS!$C$10,"")</f>
        <v>2.6250000000000002E-2</v>
      </c>
    </row>
    <row r="757" spans="1:29" ht="16" x14ac:dyDescent="0.2">
      <c r="A757" s="25"/>
      <c r="H757" t="str">
        <f>IFERROR(VLOOKUP(G757,FILAMENTI_DB!$A:$C,3,FALSE),"")</f>
        <v/>
      </c>
      <c r="I757" t="str">
        <f>IFERROR(VLOOKUP(G757,FILAMENTI_DB!$A:$E,4,FALSE),"")</f>
        <v/>
      </c>
      <c r="J757" s="26"/>
      <c r="K757" s="27"/>
      <c r="L757" s="27"/>
      <c r="M757" s="27">
        <f t="shared" si="68"/>
        <v>0</v>
      </c>
      <c r="N757" s="26">
        <f t="shared" si="69"/>
        <v>0</v>
      </c>
      <c r="O757" s="26"/>
      <c r="P757" s="26"/>
      <c r="Q757" s="23"/>
      <c r="R757" s="23">
        <f t="shared" si="70"/>
        <v>0</v>
      </c>
      <c r="S757" s="23"/>
      <c r="T757" s="23">
        <f t="shared" si="71"/>
        <v>0</v>
      </c>
      <c r="U757" s="28" t="str">
        <f t="shared" si="72"/>
        <v/>
      </c>
      <c r="V757" s="10" t="str">
        <f>IFERROR(N757*VLOOKUP(G757,FILAMENTI_DB!$A:$J,10,FALSE),"")</f>
        <v/>
      </c>
      <c r="W757" s="23" t="str">
        <f>IFERROR((VLOOKUP(F757,STAMPANTI_DB!$A:$C,3,FALSE)/1000)*O757*SETTINGS!$C$6,"")</f>
        <v/>
      </c>
      <c r="X757" s="23" t="str">
        <f>IFERROR(O757*VLOOKUP(F757,STAMPANTI_DB!$A:$I,9,FALSE),"")</f>
        <v/>
      </c>
      <c r="Y757" s="23">
        <f>IFERROR(P757*SETTINGS!$C$7,"")</f>
        <v>0</v>
      </c>
      <c r="Z757" s="23">
        <f>SETTINGS!$C$11</f>
        <v>0.5</v>
      </c>
      <c r="AA757" s="23">
        <f t="shared" si="73"/>
        <v>0.5</v>
      </c>
      <c r="AB757" s="23">
        <f>IFERROR(AA757*SETTINGS!$C$9,"")</f>
        <v>2.5000000000000001E-2</v>
      </c>
      <c r="AC757" s="23">
        <f>IFERROR((AA757+AB757)*SETTINGS!$C$10,"")</f>
        <v>2.6250000000000002E-2</v>
      </c>
    </row>
    <row r="758" spans="1:29" ht="16" x14ac:dyDescent="0.2">
      <c r="A758" s="25"/>
      <c r="H758" t="str">
        <f>IFERROR(VLOOKUP(G758,FILAMENTI_DB!$A:$C,3,FALSE),"")</f>
        <v/>
      </c>
      <c r="I758" t="str">
        <f>IFERROR(VLOOKUP(G758,FILAMENTI_DB!$A:$E,4,FALSE),"")</f>
        <v/>
      </c>
      <c r="J758" s="26"/>
      <c r="K758" s="27"/>
      <c r="L758" s="27"/>
      <c r="M758" s="27">
        <f t="shared" si="68"/>
        <v>0</v>
      </c>
      <c r="N758" s="26">
        <f t="shared" si="69"/>
        <v>0</v>
      </c>
      <c r="O758" s="26"/>
      <c r="P758" s="26"/>
      <c r="Q758" s="23"/>
      <c r="R758" s="23">
        <f t="shared" si="70"/>
        <v>0</v>
      </c>
      <c r="S758" s="23"/>
      <c r="T758" s="23">
        <f t="shared" si="71"/>
        <v>0</v>
      </c>
      <c r="U758" s="28" t="str">
        <f t="shared" si="72"/>
        <v/>
      </c>
      <c r="V758" s="10" t="str">
        <f>IFERROR(N758*VLOOKUP(G758,FILAMENTI_DB!$A:$J,10,FALSE),"")</f>
        <v/>
      </c>
      <c r="W758" s="23" t="str">
        <f>IFERROR((VLOOKUP(F758,STAMPANTI_DB!$A:$C,3,FALSE)/1000)*O758*SETTINGS!$C$6,"")</f>
        <v/>
      </c>
      <c r="X758" s="23" t="str">
        <f>IFERROR(O758*VLOOKUP(F758,STAMPANTI_DB!$A:$I,9,FALSE),"")</f>
        <v/>
      </c>
      <c r="Y758" s="23">
        <f>IFERROR(P758*SETTINGS!$C$7,"")</f>
        <v>0</v>
      </c>
      <c r="Z758" s="23">
        <f>SETTINGS!$C$11</f>
        <v>0.5</v>
      </c>
      <c r="AA758" s="23">
        <f t="shared" si="73"/>
        <v>0.5</v>
      </c>
      <c r="AB758" s="23">
        <f>IFERROR(AA758*SETTINGS!$C$9,"")</f>
        <v>2.5000000000000001E-2</v>
      </c>
      <c r="AC758" s="23">
        <f>IFERROR((AA758+AB758)*SETTINGS!$C$10,"")</f>
        <v>2.6250000000000002E-2</v>
      </c>
    </row>
    <row r="759" spans="1:29" ht="16" x14ac:dyDescent="0.2">
      <c r="A759" s="25"/>
      <c r="H759" t="str">
        <f>IFERROR(VLOOKUP(G759,FILAMENTI_DB!$A:$C,3,FALSE),"")</f>
        <v/>
      </c>
      <c r="I759" t="str">
        <f>IFERROR(VLOOKUP(G759,FILAMENTI_DB!$A:$E,4,FALSE),"")</f>
        <v/>
      </c>
      <c r="J759" s="26"/>
      <c r="K759" s="27"/>
      <c r="L759" s="27"/>
      <c r="M759" s="27">
        <f t="shared" si="68"/>
        <v>0</v>
      </c>
      <c r="N759" s="26">
        <f t="shared" si="69"/>
        <v>0</v>
      </c>
      <c r="O759" s="26"/>
      <c r="P759" s="26"/>
      <c r="Q759" s="23"/>
      <c r="R759" s="23">
        <f t="shared" si="70"/>
        <v>0</v>
      </c>
      <c r="S759" s="23"/>
      <c r="T759" s="23">
        <f t="shared" si="71"/>
        <v>0</v>
      </c>
      <c r="U759" s="28" t="str">
        <f t="shared" si="72"/>
        <v/>
      </c>
      <c r="V759" s="10" t="str">
        <f>IFERROR(N759*VLOOKUP(G759,FILAMENTI_DB!$A:$J,10,FALSE),"")</f>
        <v/>
      </c>
      <c r="W759" s="23" t="str">
        <f>IFERROR((VLOOKUP(F759,STAMPANTI_DB!$A:$C,3,FALSE)/1000)*O759*SETTINGS!$C$6,"")</f>
        <v/>
      </c>
      <c r="X759" s="23" t="str">
        <f>IFERROR(O759*VLOOKUP(F759,STAMPANTI_DB!$A:$I,9,FALSE),"")</f>
        <v/>
      </c>
      <c r="Y759" s="23">
        <f>IFERROR(P759*SETTINGS!$C$7,"")</f>
        <v>0</v>
      </c>
      <c r="Z759" s="23">
        <f>SETTINGS!$C$11</f>
        <v>0.5</v>
      </c>
      <c r="AA759" s="23">
        <f t="shared" si="73"/>
        <v>0.5</v>
      </c>
      <c r="AB759" s="23">
        <f>IFERROR(AA759*SETTINGS!$C$9,"")</f>
        <v>2.5000000000000001E-2</v>
      </c>
      <c r="AC759" s="23">
        <f>IFERROR((AA759+AB759)*SETTINGS!$C$10,"")</f>
        <v>2.6250000000000002E-2</v>
      </c>
    </row>
    <row r="760" spans="1:29" ht="16" x14ac:dyDescent="0.2">
      <c r="A760" s="25"/>
      <c r="H760" t="str">
        <f>IFERROR(VLOOKUP(G760,FILAMENTI_DB!$A:$C,3,FALSE),"")</f>
        <v/>
      </c>
      <c r="I760" t="str">
        <f>IFERROR(VLOOKUP(G760,FILAMENTI_DB!$A:$E,4,FALSE),"")</f>
        <v/>
      </c>
      <c r="J760" s="26"/>
      <c r="K760" s="27"/>
      <c r="L760" s="27"/>
      <c r="M760" s="27">
        <f t="shared" si="68"/>
        <v>0</v>
      </c>
      <c r="N760" s="26">
        <f t="shared" si="69"/>
        <v>0</v>
      </c>
      <c r="O760" s="26"/>
      <c r="P760" s="26"/>
      <c r="Q760" s="23"/>
      <c r="R760" s="23">
        <f t="shared" si="70"/>
        <v>0</v>
      </c>
      <c r="S760" s="23"/>
      <c r="T760" s="23">
        <f t="shared" si="71"/>
        <v>0</v>
      </c>
      <c r="U760" s="28" t="str">
        <f t="shared" si="72"/>
        <v/>
      </c>
      <c r="V760" s="10" t="str">
        <f>IFERROR(N760*VLOOKUP(G760,FILAMENTI_DB!$A:$J,10,FALSE),"")</f>
        <v/>
      </c>
      <c r="W760" s="23" t="str">
        <f>IFERROR((VLOOKUP(F760,STAMPANTI_DB!$A:$C,3,FALSE)/1000)*O760*SETTINGS!$C$6,"")</f>
        <v/>
      </c>
      <c r="X760" s="23" t="str">
        <f>IFERROR(O760*VLOOKUP(F760,STAMPANTI_DB!$A:$I,9,FALSE),"")</f>
        <v/>
      </c>
      <c r="Y760" s="23">
        <f>IFERROR(P760*SETTINGS!$C$7,"")</f>
        <v>0</v>
      </c>
      <c r="Z760" s="23">
        <f>SETTINGS!$C$11</f>
        <v>0.5</v>
      </c>
      <c r="AA760" s="23">
        <f t="shared" si="73"/>
        <v>0.5</v>
      </c>
      <c r="AB760" s="23">
        <f>IFERROR(AA760*SETTINGS!$C$9,"")</f>
        <v>2.5000000000000001E-2</v>
      </c>
      <c r="AC760" s="23">
        <f>IFERROR((AA760+AB760)*SETTINGS!$C$10,"")</f>
        <v>2.6250000000000002E-2</v>
      </c>
    </row>
    <row r="761" spans="1:29" ht="16" x14ac:dyDescent="0.2">
      <c r="A761" s="25"/>
      <c r="H761" t="str">
        <f>IFERROR(VLOOKUP(G761,FILAMENTI_DB!$A:$C,3,FALSE),"")</f>
        <v/>
      </c>
      <c r="I761" t="str">
        <f>IFERROR(VLOOKUP(G761,FILAMENTI_DB!$A:$E,4,FALSE),"")</f>
        <v/>
      </c>
      <c r="J761" s="26"/>
      <c r="K761" s="27"/>
      <c r="L761" s="27"/>
      <c r="M761" s="27">
        <f t="shared" si="68"/>
        <v>0</v>
      </c>
      <c r="N761" s="26">
        <f t="shared" si="69"/>
        <v>0</v>
      </c>
      <c r="O761" s="26"/>
      <c r="P761" s="26"/>
      <c r="Q761" s="23"/>
      <c r="R761" s="23">
        <f t="shared" si="70"/>
        <v>0</v>
      </c>
      <c r="S761" s="23"/>
      <c r="T761" s="23">
        <f t="shared" si="71"/>
        <v>0</v>
      </c>
      <c r="U761" s="28" t="str">
        <f t="shared" si="72"/>
        <v/>
      </c>
      <c r="V761" s="10" t="str">
        <f>IFERROR(N761*VLOOKUP(G761,FILAMENTI_DB!$A:$J,10,FALSE),"")</f>
        <v/>
      </c>
      <c r="W761" s="23" t="str">
        <f>IFERROR((VLOOKUP(F761,STAMPANTI_DB!$A:$C,3,FALSE)/1000)*O761*SETTINGS!$C$6,"")</f>
        <v/>
      </c>
      <c r="X761" s="23" t="str">
        <f>IFERROR(O761*VLOOKUP(F761,STAMPANTI_DB!$A:$I,9,FALSE),"")</f>
        <v/>
      </c>
      <c r="Y761" s="23">
        <f>IFERROR(P761*SETTINGS!$C$7,"")</f>
        <v>0</v>
      </c>
      <c r="Z761" s="23">
        <f>SETTINGS!$C$11</f>
        <v>0.5</v>
      </c>
      <c r="AA761" s="23">
        <f t="shared" si="73"/>
        <v>0.5</v>
      </c>
      <c r="AB761" s="23">
        <f>IFERROR(AA761*SETTINGS!$C$9,"")</f>
        <v>2.5000000000000001E-2</v>
      </c>
      <c r="AC761" s="23">
        <f>IFERROR((AA761+AB761)*SETTINGS!$C$10,"")</f>
        <v>2.6250000000000002E-2</v>
      </c>
    </row>
    <row r="762" spans="1:29" ht="16" x14ac:dyDescent="0.2">
      <c r="A762" s="25"/>
      <c r="H762" t="str">
        <f>IFERROR(VLOOKUP(G762,FILAMENTI_DB!$A:$C,3,FALSE),"")</f>
        <v/>
      </c>
      <c r="I762" t="str">
        <f>IFERROR(VLOOKUP(G762,FILAMENTI_DB!$A:$E,4,FALSE),"")</f>
        <v/>
      </c>
      <c r="J762" s="26"/>
      <c r="K762" s="27"/>
      <c r="L762" s="27"/>
      <c r="M762" s="27">
        <f t="shared" si="68"/>
        <v>0</v>
      </c>
      <c r="N762" s="26">
        <f t="shared" si="69"/>
        <v>0</v>
      </c>
      <c r="O762" s="26"/>
      <c r="P762" s="26"/>
      <c r="Q762" s="23"/>
      <c r="R762" s="23">
        <f t="shared" si="70"/>
        <v>0</v>
      </c>
      <c r="S762" s="23"/>
      <c r="T762" s="23">
        <f t="shared" si="71"/>
        <v>0</v>
      </c>
      <c r="U762" s="28" t="str">
        <f t="shared" si="72"/>
        <v/>
      </c>
      <c r="V762" s="10" t="str">
        <f>IFERROR(N762*VLOOKUP(G762,FILAMENTI_DB!$A:$J,10,FALSE),"")</f>
        <v/>
      </c>
      <c r="W762" s="23" t="str">
        <f>IFERROR((VLOOKUP(F762,STAMPANTI_DB!$A:$C,3,FALSE)/1000)*O762*SETTINGS!$C$6,"")</f>
        <v/>
      </c>
      <c r="X762" s="23" t="str">
        <f>IFERROR(O762*VLOOKUP(F762,STAMPANTI_DB!$A:$I,9,FALSE),"")</f>
        <v/>
      </c>
      <c r="Y762" s="23">
        <f>IFERROR(P762*SETTINGS!$C$7,"")</f>
        <v>0</v>
      </c>
      <c r="Z762" s="23">
        <f>SETTINGS!$C$11</f>
        <v>0.5</v>
      </c>
      <c r="AA762" s="23">
        <f t="shared" si="73"/>
        <v>0.5</v>
      </c>
      <c r="AB762" s="23">
        <f>IFERROR(AA762*SETTINGS!$C$9,"")</f>
        <v>2.5000000000000001E-2</v>
      </c>
      <c r="AC762" s="23">
        <f>IFERROR((AA762+AB762)*SETTINGS!$C$10,"")</f>
        <v>2.6250000000000002E-2</v>
      </c>
    </row>
    <row r="763" spans="1:29" ht="16" x14ac:dyDescent="0.2">
      <c r="A763" s="25"/>
      <c r="H763" t="str">
        <f>IFERROR(VLOOKUP(G763,FILAMENTI_DB!$A:$C,3,FALSE),"")</f>
        <v/>
      </c>
      <c r="I763" t="str">
        <f>IFERROR(VLOOKUP(G763,FILAMENTI_DB!$A:$E,4,FALSE),"")</f>
        <v/>
      </c>
      <c r="J763" s="26"/>
      <c r="K763" s="27"/>
      <c r="L763" s="27"/>
      <c r="M763" s="27">
        <f t="shared" si="68"/>
        <v>0</v>
      </c>
      <c r="N763" s="26">
        <f t="shared" si="69"/>
        <v>0</v>
      </c>
      <c r="O763" s="26"/>
      <c r="P763" s="26"/>
      <c r="Q763" s="23"/>
      <c r="R763" s="23">
        <f t="shared" si="70"/>
        <v>0</v>
      </c>
      <c r="S763" s="23"/>
      <c r="T763" s="23">
        <f t="shared" si="71"/>
        <v>0</v>
      </c>
      <c r="U763" s="28" t="str">
        <f t="shared" si="72"/>
        <v/>
      </c>
      <c r="V763" s="10" t="str">
        <f>IFERROR(N763*VLOOKUP(G763,FILAMENTI_DB!$A:$J,10,FALSE),"")</f>
        <v/>
      </c>
      <c r="W763" s="23" t="str">
        <f>IFERROR((VLOOKUP(F763,STAMPANTI_DB!$A:$C,3,FALSE)/1000)*O763*SETTINGS!$C$6,"")</f>
        <v/>
      </c>
      <c r="X763" s="23" t="str">
        <f>IFERROR(O763*VLOOKUP(F763,STAMPANTI_DB!$A:$I,9,FALSE),"")</f>
        <v/>
      </c>
      <c r="Y763" s="23">
        <f>IFERROR(P763*SETTINGS!$C$7,"")</f>
        <v>0</v>
      </c>
      <c r="Z763" s="23">
        <f>SETTINGS!$C$11</f>
        <v>0.5</v>
      </c>
      <c r="AA763" s="23">
        <f t="shared" si="73"/>
        <v>0.5</v>
      </c>
      <c r="AB763" s="23">
        <f>IFERROR(AA763*SETTINGS!$C$9,"")</f>
        <v>2.5000000000000001E-2</v>
      </c>
      <c r="AC763" s="23">
        <f>IFERROR((AA763+AB763)*SETTINGS!$C$10,"")</f>
        <v>2.6250000000000002E-2</v>
      </c>
    </row>
    <row r="764" spans="1:29" ht="16" x14ac:dyDescent="0.2">
      <c r="A764" s="25"/>
      <c r="H764" t="str">
        <f>IFERROR(VLOOKUP(G764,FILAMENTI_DB!$A:$C,3,FALSE),"")</f>
        <v/>
      </c>
      <c r="I764" t="str">
        <f>IFERROR(VLOOKUP(G764,FILAMENTI_DB!$A:$E,4,FALSE),"")</f>
        <v/>
      </c>
      <c r="J764" s="26"/>
      <c r="K764" s="27"/>
      <c r="L764" s="27"/>
      <c r="M764" s="27">
        <f t="shared" si="68"/>
        <v>0</v>
      </c>
      <c r="N764" s="26">
        <f t="shared" si="69"/>
        <v>0</v>
      </c>
      <c r="O764" s="26"/>
      <c r="P764" s="26"/>
      <c r="Q764" s="23"/>
      <c r="R764" s="23">
        <f t="shared" si="70"/>
        <v>0</v>
      </c>
      <c r="S764" s="23"/>
      <c r="T764" s="23">
        <f t="shared" si="71"/>
        <v>0</v>
      </c>
      <c r="U764" s="28" t="str">
        <f t="shared" si="72"/>
        <v/>
      </c>
      <c r="V764" s="10" t="str">
        <f>IFERROR(N764*VLOOKUP(G764,FILAMENTI_DB!$A:$J,10,FALSE),"")</f>
        <v/>
      </c>
      <c r="W764" s="23" t="str">
        <f>IFERROR((VLOOKUP(F764,STAMPANTI_DB!$A:$C,3,FALSE)/1000)*O764*SETTINGS!$C$6,"")</f>
        <v/>
      </c>
      <c r="X764" s="23" t="str">
        <f>IFERROR(O764*VLOOKUP(F764,STAMPANTI_DB!$A:$I,9,FALSE),"")</f>
        <v/>
      </c>
      <c r="Y764" s="23">
        <f>IFERROR(P764*SETTINGS!$C$7,"")</f>
        <v>0</v>
      </c>
      <c r="Z764" s="23">
        <f>SETTINGS!$C$11</f>
        <v>0.5</v>
      </c>
      <c r="AA764" s="23">
        <f t="shared" si="73"/>
        <v>0.5</v>
      </c>
      <c r="AB764" s="23">
        <f>IFERROR(AA764*SETTINGS!$C$9,"")</f>
        <v>2.5000000000000001E-2</v>
      </c>
      <c r="AC764" s="23">
        <f>IFERROR((AA764+AB764)*SETTINGS!$C$10,"")</f>
        <v>2.6250000000000002E-2</v>
      </c>
    </row>
    <row r="765" spans="1:29" ht="16" x14ac:dyDescent="0.2">
      <c r="A765" s="25"/>
      <c r="H765" t="str">
        <f>IFERROR(VLOOKUP(G765,FILAMENTI_DB!$A:$C,3,FALSE),"")</f>
        <v/>
      </c>
      <c r="I765" t="str">
        <f>IFERROR(VLOOKUP(G765,FILAMENTI_DB!$A:$E,4,FALSE),"")</f>
        <v/>
      </c>
      <c r="J765" s="26"/>
      <c r="K765" s="27"/>
      <c r="L765" s="27"/>
      <c r="M765" s="27">
        <f t="shared" si="68"/>
        <v>0</v>
      </c>
      <c r="N765" s="26">
        <f t="shared" si="69"/>
        <v>0</v>
      </c>
      <c r="O765" s="26"/>
      <c r="P765" s="26"/>
      <c r="Q765" s="23"/>
      <c r="R765" s="23">
        <f t="shared" si="70"/>
        <v>0</v>
      </c>
      <c r="S765" s="23"/>
      <c r="T765" s="23">
        <f t="shared" si="71"/>
        <v>0</v>
      </c>
      <c r="U765" s="28" t="str">
        <f t="shared" si="72"/>
        <v/>
      </c>
      <c r="V765" s="10" t="str">
        <f>IFERROR(N765*VLOOKUP(G765,FILAMENTI_DB!$A:$J,10,FALSE),"")</f>
        <v/>
      </c>
      <c r="W765" s="23" t="str">
        <f>IFERROR((VLOOKUP(F765,STAMPANTI_DB!$A:$C,3,FALSE)/1000)*O765*SETTINGS!$C$6,"")</f>
        <v/>
      </c>
      <c r="X765" s="23" t="str">
        <f>IFERROR(O765*VLOOKUP(F765,STAMPANTI_DB!$A:$I,9,FALSE),"")</f>
        <v/>
      </c>
      <c r="Y765" s="23">
        <f>IFERROR(P765*SETTINGS!$C$7,"")</f>
        <v>0</v>
      </c>
      <c r="Z765" s="23">
        <f>SETTINGS!$C$11</f>
        <v>0.5</v>
      </c>
      <c r="AA765" s="23">
        <f t="shared" si="73"/>
        <v>0.5</v>
      </c>
      <c r="AB765" s="23">
        <f>IFERROR(AA765*SETTINGS!$C$9,"")</f>
        <v>2.5000000000000001E-2</v>
      </c>
      <c r="AC765" s="23">
        <f>IFERROR((AA765+AB765)*SETTINGS!$C$10,"")</f>
        <v>2.6250000000000002E-2</v>
      </c>
    </row>
    <row r="766" spans="1:29" ht="16" x14ac:dyDescent="0.2">
      <c r="A766" s="25"/>
      <c r="H766" t="str">
        <f>IFERROR(VLOOKUP(G766,FILAMENTI_DB!$A:$C,3,FALSE),"")</f>
        <v/>
      </c>
      <c r="I766" t="str">
        <f>IFERROR(VLOOKUP(G766,FILAMENTI_DB!$A:$E,4,FALSE),"")</f>
        <v/>
      </c>
      <c r="J766" s="26"/>
      <c r="K766" s="27"/>
      <c r="L766" s="27"/>
      <c r="M766" s="27">
        <f t="shared" si="68"/>
        <v>0</v>
      </c>
      <c r="N766" s="26">
        <f t="shared" si="69"/>
        <v>0</v>
      </c>
      <c r="O766" s="26"/>
      <c r="P766" s="26"/>
      <c r="Q766" s="23"/>
      <c r="R766" s="23">
        <f t="shared" si="70"/>
        <v>0</v>
      </c>
      <c r="S766" s="23"/>
      <c r="T766" s="23">
        <f t="shared" si="71"/>
        <v>0</v>
      </c>
      <c r="U766" s="28" t="str">
        <f t="shared" si="72"/>
        <v/>
      </c>
      <c r="V766" s="10" t="str">
        <f>IFERROR(N766*VLOOKUP(G766,FILAMENTI_DB!$A:$J,10,FALSE),"")</f>
        <v/>
      </c>
      <c r="W766" s="23" t="str">
        <f>IFERROR((VLOOKUP(F766,STAMPANTI_DB!$A:$C,3,FALSE)/1000)*O766*SETTINGS!$C$6,"")</f>
        <v/>
      </c>
      <c r="X766" s="23" t="str">
        <f>IFERROR(O766*VLOOKUP(F766,STAMPANTI_DB!$A:$I,9,FALSE),"")</f>
        <v/>
      </c>
      <c r="Y766" s="23">
        <f>IFERROR(P766*SETTINGS!$C$7,"")</f>
        <v>0</v>
      </c>
      <c r="Z766" s="23">
        <f>SETTINGS!$C$11</f>
        <v>0.5</v>
      </c>
      <c r="AA766" s="23">
        <f t="shared" si="73"/>
        <v>0.5</v>
      </c>
      <c r="AB766" s="23">
        <f>IFERROR(AA766*SETTINGS!$C$9,"")</f>
        <v>2.5000000000000001E-2</v>
      </c>
      <c r="AC766" s="23">
        <f>IFERROR((AA766+AB766)*SETTINGS!$C$10,"")</f>
        <v>2.6250000000000002E-2</v>
      </c>
    </row>
    <row r="767" spans="1:29" ht="16" x14ac:dyDescent="0.2">
      <c r="A767" s="25"/>
      <c r="H767" t="str">
        <f>IFERROR(VLOOKUP(G767,FILAMENTI_DB!$A:$C,3,FALSE),"")</f>
        <v/>
      </c>
      <c r="I767" t="str">
        <f>IFERROR(VLOOKUP(G767,FILAMENTI_DB!$A:$E,4,FALSE),"")</f>
        <v/>
      </c>
      <c r="J767" s="26"/>
      <c r="K767" s="27"/>
      <c r="L767" s="27"/>
      <c r="M767" s="27">
        <f t="shared" si="68"/>
        <v>0</v>
      </c>
      <c r="N767" s="26">
        <f t="shared" si="69"/>
        <v>0</v>
      </c>
      <c r="O767" s="26"/>
      <c r="P767" s="26"/>
      <c r="Q767" s="23"/>
      <c r="R767" s="23">
        <f t="shared" si="70"/>
        <v>0</v>
      </c>
      <c r="S767" s="23"/>
      <c r="T767" s="23">
        <f t="shared" si="71"/>
        <v>0</v>
      </c>
      <c r="U767" s="28" t="str">
        <f t="shared" si="72"/>
        <v/>
      </c>
      <c r="V767" s="10" t="str">
        <f>IFERROR(N767*VLOOKUP(G767,FILAMENTI_DB!$A:$J,10,FALSE),"")</f>
        <v/>
      </c>
      <c r="W767" s="23" t="str">
        <f>IFERROR((VLOOKUP(F767,STAMPANTI_DB!$A:$C,3,FALSE)/1000)*O767*SETTINGS!$C$6,"")</f>
        <v/>
      </c>
      <c r="X767" s="23" t="str">
        <f>IFERROR(O767*VLOOKUP(F767,STAMPANTI_DB!$A:$I,9,FALSE),"")</f>
        <v/>
      </c>
      <c r="Y767" s="23">
        <f>IFERROR(P767*SETTINGS!$C$7,"")</f>
        <v>0</v>
      </c>
      <c r="Z767" s="23">
        <f>SETTINGS!$C$11</f>
        <v>0.5</v>
      </c>
      <c r="AA767" s="23">
        <f t="shared" si="73"/>
        <v>0.5</v>
      </c>
      <c r="AB767" s="23">
        <f>IFERROR(AA767*SETTINGS!$C$9,"")</f>
        <v>2.5000000000000001E-2</v>
      </c>
      <c r="AC767" s="23">
        <f>IFERROR((AA767+AB767)*SETTINGS!$C$10,"")</f>
        <v>2.6250000000000002E-2</v>
      </c>
    </row>
    <row r="768" spans="1:29" ht="16" x14ac:dyDescent="0.2">
      <c r="A768" s="25"/>
      <c r="H768" t="str">
        <f>IFERROR(VLOOKUP(G768,FILAMENTI_DB!$A:$C,3,FALSE),"")</f>
        <v/>
      </c>
      <c r="I768" t="str">
        <f>IFERROR(VLOOKUP(G768,FILAMENTI_DB!$A:$E,4,FALSE),"")</f>
        <v/>
      </c>
      <c r="J768" s="26"/>
      <c r="K768" s="27"/>
      <c r="L768" s="27"/>
      <c r="M768" s="27">
        <f t="shared" si="68"/>
        <v>0</v>
      </c>
      <c r="N768" s="26">
        <f t="shared" si="69"/>
        <v>0</v>
      </c>
      <c r="O768" s="26"/>
      <c r="P768" s="26"/>
      <c r="Q768" s="23"/>
      <c r="R768" s="23">
        <f t="shared" si="70"/>
        <v>0</v>
      </c>
      <c r="S768" s="23"/>
      <c r="T768" s="23">
        <f t="shared" si="71"/>
        <v>0</v>
      </c>
      <c r="U768" s="28" t="str">
        <f t="shared" si="72"/>
        <v/>
      </c>
      <c r="V768" s="10" t="str">
        <f>IFERROR(N768*VLOOKUP(G768,FILAMENTI_DB!$A:$J,10,FALSE),"")</f>
        <v/>
      </c>
      <c r="W768" s="23" t="str">
        <f>IFERROR((VLOOKUP(F768,STAMPANTI_DB!$A:$C,3,FALSE)/1000)*O768*SETTINGS!$C$6,"")</f>
        <v/>
      </c>
      <c r="X768" s="23" t="str">
        <f>IFERROR(O768*VLOOKUP(F768,STAMPANTI_DB!$A:$I,9,FALSE),"")</f>
        <v/>
      </c>
      <c r="Y768" s="23">
        <f>IFERROR(P768*SETTINGS!$C$7,"")</f>
        <v>0</v>
      </c>
      <c r="Z768" s="23">
        <f>SETTINGS!$C$11</f>
        <v>0.5</v>
      </c>
      <c r="AA768" s="23">
        <f t="shared" si="73"/>
        <v>0.5</v>
      </c>
      <c r="AB768" s="23">
        <f>IFERROR(AA768*SETTINGS!$C$9,"")</f>
        <v>2.5000000000000001E-2</v>
      </c>
      <c r="AC768" s="23">
        <f>IFERROR((AA768+AB768)*SETTINGS!$C$10,"")</f>
        <v>2.6250000000000002E-2</v>
      </c>
    </row>
    <row r="769" spans="1:29" ht="16" x14ac:dyDescent="0.2">
      <c r="A769" s="25"/>
      <c r="H769" t="str">
        <f>IFERROR(VLOOKUP(G769,FILAMENTI_DB!$A:$C,3,FALSE),"")</f>
        <v/>
      </c>
      <c r="I769" t="str">
        <f>IFERROR(VLOOKUP(G769,FILAMENTI_DB!$A:$E,4,FALSE),"")</f>
        <v/>
      </c>
      <c r="J769" s="26"/>
      <c r="K769" s="27"/>
      <c r="L769" s="27"/>
      <c r="M769" s="27">
        <f t="shared" si="68"/>
        <v>0</v>
      </c>
      <c r="N769" s="26">
        <f t="shared" si="69"/>
        <v>0</v>
      </c>
      <c r="O769" s="26"/>
      <c r="P769" s="26"/>
      <c r="Q769" s="23"/>
      <c r="R769" s="23">
        <f t="shared" si="70"/>
        <v>0</v>
      </c>
      <c r="S769" s="23"/>
      <c r="T769" s="23">
        <f t="shared" si="71"/>
        <v>0</v>
      </c>
      <c r="U769" s="28" t="str">
        <f t="shared" si="72"/>
        <v/>
      </c>
      <c r="V769" s="10" t="str">
        <f>IFERROR(N769*VLOOKUP(G769,FILAMENTI_DB!$A:$J,10,FALSE),"")</f>
        <v/>
      </c>
      <c r="W769" s="23" t="str">
        <f>IFERROR((VLOOKUP(F769,STAMPANTI_DB!$A:$C,3,FALSE)/1000)*O769*SETTINGS!$C$6,"")</f>
        <v/>
      </c>
      <c r="X769" s="23" t="str">
        <f>IFERROR(O769*VLOOKUP(F769,STAMPANTI_DB!$A:$I,9,FALSE),"")</f>
        <v/>
      </c>
      <c r="Y769" s="23">
        <f>IFERROR(P769*SETTINGS!$C$7,"")</f>
        <v>0</v>
      </c>
      <c r="Z769" s="23">
        <f>SETTINGS!$C$11</f>
        <v>0.5</v>
      </c>
      <c r="AA769" s="23">
        <f t="shared" si="73"/>
        <v>0.5</v>
      </c>
      <c r="AB769" s="23">
        <f>IFERROR(AA769*SETTINGS!$C$9,"")</f>
        <v>2.5000000000000001E-2</v>
      </c>
      <c r="AC769" s="23">
        <f>IFERROR((AA769+AB769)*SETTINGS!$C$10,"")</f>
        <v>2.6250000000000002E-2</v>
      </c>
    </row>
    <row r="770" spans="1:29" ht="16" x14ac:dyDescent="0.2">
      <c r="A770" s="25"/>
      <c r="H770" t="str">
        <f>IFERROR(VLOOKUP(G770,FILAMENTI_DB!$A:$C,3,FALSE),"")</f>
        <v/>
      </c>
      <c r="I770" t="str">
        <f>IFERROR(VLOOKUP(G770,FILAMENTI_DB!$A:$E,4,FALSE),"")</f>
        <v/>
      </c>
      <c r="J770" s="26"/>
      <c r="K770" s="27"/>
      <c r="L770" s="27"/>
      <c r="M770" s="27">
        <f t="shared" si="68"/>
        <v>0</v>
      </c>
      <c r="N770" s="26">
        <f t="shared" si="69"/>
        <v>0</v>
      </c>
      <c r="O770" s="26"/>
      <c r="P770" s="26"/>
      <c r="Q770" s="23"/>
      <c r="R770" s="23">
        <f t="shared" si="70"/>
        <v>0</v>
      </c>
      <c r="S770" s="23"/>
      <c r="T770" s="23">
        <f t="shared" si="71"/>
        <v>0</v>
      </c>
      <c r="U770" s="28" t="str">
        <f t="shared" si="72"/>
        <v/>
      </c>
      <c r="V770" s="10" t="str">
        <f>IFERROR(N770*VLOOKUP(G770,FILAMENTI_DB!$A:$J,10,FALSE),"")</f>
        <v/>
      </c>
      <c r="W770" s="23" t="str">
        <f>IFERROR((VLOOKUP(F770,STAMPANTI_DB!$A:$C,3,FALSE)/1000)*O770*SETTINGS!$C$6,"")</f>
        <v/>
      </c>
      <c r="X770" s="23" t="str">
        <f>IFERROR(O770*VLOOKUP(F770,STAMPANTI_DB!$A:$I,9,FALSE),"")</f>
        <v/>
      </c>
      <c r="Y770" s="23">
        <f>IFERROR(P770*SETTINGS!$C$7,"")</f>
        <v>0</v>
      </c>
      <c r="Z770" s="23">
        <f>SETTINGS!$C$11</f>
        <v>0.5</v>
      </c>
      <c r="AA770" s="23">
        <f t="shared" si="73"/>
        <v>0.5</v>
      </c>
      <c r="AB770" s="23">
        <f>IFERROR(AA770*SETTINGS!$C$9,"")</f>
        <v>2.5000000000000001E-2</v>
      </c>
      <c r="AC770" s="23">
        <f>IFERROR((AA770+AB770)*SETTINGS!$C$10,"")</f>
        <v>2.6250000000000002E-2</v>
      </c>
    </row>
    <row r="771" spans="1:29" ht="16" x14ac:dyDescent="0.2">
      <c r="A771" s="25"/>
      <c r="H771" t="str">
        <f>IFERROR(VLOOKUP(G771,FILAMENTI_DB!$A:$C,3,FALSE),"")</f>
        <v/>
      </c>
      <c r="I771" t="str">
        <f>IFERROR(VLOOKUP(G771,FILAMENTI_DB!$A:$E,4,FALSE),"")</f>
        <v/>
      </c>
      <c r="J771" s="26"/>
      <c r="K771" s="27"/>
      <c r="L771" s="27"/>
      <c r="M771" s="27">
        <f t="shared" si="68"/>
        <v>0</v>
      </c>
      <c r="N771" s="26">
        <f t="shared" si="69"/>
        <v>0</v>
      </c>
      <c r="O771" s="26"/>
      <c r="P771" s="26"/>
      <c r="Q771" s="23"/>
      <c r="R771" s="23">
        <f t="shared" si="70"/>
        <v>0</v>
      </c>
      <c r="S771" s="23"/>
      <c r="T771" s="23">
        <f t="shared" si="71"/>
        <v>0</v>
      </c>
      <c r="U771" s="28" t="str">
        <f t="shared" si="72"/>
        <v/>
      </c>
      <c r="V771" s="10" t="str">
        <f>IFERROR(N771*VLOOKUP(G771,FILAMENTI_DB!$A:$J,10,FALSE),"")</f>
        <v/>
      </c>
      <c r="W771" s="23" t="str">
        <f>IFERROR((VLOOKUP(F771,STAMPANTI_DB!$A:$C,3,FALSE)/1000)*O771*SETTINGS!$C$6,"")</f>
        <v/>
      </c>
      <c r="X771" s="23" t="str">
        <f>IFERROR(O771*VLOOKUP(F771,STAMPANTI_DB!$A:$I,9,FALSE),"")</f>
        <v/>
      </c>
      <c r="Y771" s="23">
        <f>IFERROR(P771*SETTINGS!$C$7,"")</f>
        <v>0</v>
      </c>
      <c r="Z771" s="23">
        <f>SETTINGS!$C$11</f>
        <v>0.5</v>
      </c>
      <c r="AA771" s="23">
        <f t="shared" si="73"/>
        <v>0.5</v>
      </c>
      <c r="AB771" s="23">
        <f>IFERROR(AA771*SETTINGS!$C$9,"")</f>
        <v>2.5000000000000001E-2</v>
      </c>
      <c r="AC771" s="23">
        <f>IFERROR((AA771+AB771)*SETTINGS!$C$10,"")</f>
        <v>2.6250000000000002E-2</v>
      </c>
    </row>
    <row r="772" spans="1:29" ht="16" x14ac:dyDescent="0.2">
      <c r="A772" s="25"/>
      <c r="H772" t="str">
        <f>IFERROR(VLOOKUP(G772,FILAMENTI_DB!$A:$C,3,FALSE),"")</f>
        <v/>
      </c>
      <c r="I772" t="str">
        <f>IFERROR(VLOOKUP(G772,FILAMENTI_DB!$A:$E,4,FALSE),"")</f>
        <v/>
      </c>
      <c r="J772" s="26"/>
      <c r="K772" s="27"/>
      <c r="L772" s="27"/>
      <c r="M772" s="27">
        <f t="shared" si="68"/>
        <v>0</v>
      </c>
      <c r="N772" s="26">
        <f t="shared" si="69"/>
        <v>0</v>
      </c>
      <c r="O772" s="26"/>
      <c r="P772" s="26"/>
      <c r="Q772" s="23"/>
      <c r="R772" s="23">
        <f t="shared" si="70"/>
        <v>0</v>
      </c>
      <c r="S772" s="23"/>
      <c r="T772" s="23">
        <f t="shared" si="71"/>
        <v>0</v>
      </c>
      <c r="U772" s="28" t="str">
        <f t="shared" si="72"/>
        <v/>
      </c>
      <c r="V772" s="10" t="str">
        <f>IFERROR(N772*VLOOKUP(G772,FILAMENTI_DB!$A:$J,10,FALSE),"")</f>
        <v/>
      </c>
      <c r="W772" s="23" t="str">
        <f>IFERROR((VLOOKUP(F772,STAMPANTI_DB!$A:$C,3,FALSE)/1000)*O772*SETTINGS!$C$6,"")</f>
        <v/>
      </c>
      <c r="X772" s="23" t="str">
        <f>IFERROR(O772*VLOOKUP(F772,STAMPANTI_DB!$A:$I,9,FALSE),"")</f>
        <v/>
      </c>
      <c r="Y772" s="23">
        <f>IFERROR(P772*SETTINGS!$C$7,"")</f>
        <v>0</v>
      </c>
      <c r="Z772" s="23">
        <f>SETTINGS!$C$11</f>
        <v>0.5</v>
      </c>
      <c r="AA772" s="23">
        <f t="shared" si="73"/>
        <v>0.5</v>
      </c>
      <c r="AB772" s="23">
        <f>IFERROR(AA772*SETTINGS!$C$9,"")</f>
        <v>2.5000000000000001E-2</v>
      </c>
      <c r="AC772" s="23">
        <f>IFERROR((AA772+AB772)*SETTINGS!$C$10,"")</f>
        <v>2.6250000000000002E-2</v>
      </c>
    </row>
    <row r="773" spans="1:29" ht="16" x14ac:dyDescent="0.2">
      <c r="A773" s="25"/>
      <c r="H773" t="str">
        <f>IFERROR(VLOOKUP(G773,FILAMENTI_DB!$A:$C,3,FALSE),"")</f>
        <v/>
      </c>
      <c r="I773" t="str">
        <f>IFERROR(VLOOKUP(G773,FILAMENTI_DB!$A:$E,4,FALSE),"")</f>
        <v/>
      </c>
      <c r="J773" s="26"/>
      <c r="K773" s="27"/>
      <c r="L773" s="27"/>
      <c r="M773" s="27">
        <f t="shared" ref="M773:M836" si="74">IFERROR(K773+L773,"")</f>
        <v>0</v>
      </c>
      <c r="N773" s="26">
        <f t="shared" ref="N773:N836" si="75">IFERROR(J773*M773,"")</f>
        <v>0</v>
      </c>
      <c r="O773" s="26"/>
      <c r="P773" s="26"/>
      <c r="Q773" s="23"/>
      <c r="R773" s="23">
        <f t="shared" ref="R773:R836" si="76">IFERROR(Q773*K773,"")</f>
        <v>0</v>
      </c>
      <c r="S773" s="23"/>
      <c r="T773" s="23">
        <f t="shared" ref="T773:T836" si="77">IFERROR(R773-S773,"")</f>
        <v>0</v>
      </c>
      <c r="U773" s="28" t="str">
        <f t="shared" ref="U773:U836" si="78">IFERROR(T773/R773,"")</f>
        <v/>
      </c>
      <c r="V773" s="10" t="str">
        <f>IFERROR(N773*VLOOKUP(G773,FILAMENTI_DB!$A:$J,10,FALSE),"")</f>
        <v/>
      </c>
      <c r="W773" s="23" t="str">
        <f>IFERROR((VLOOKUP(F773,STAMPANTI_DB!$A:$C,3,FALSE)/1000)*O773*SETTINGS!$C$6,"")</f>
        <v/>
      </c>
      <c r="X773" s="23" t="str">
        <f>IFERROR(O773*VLOOKUP(F773,STAMPANTI_DB!$A:$I,9,FALSE),"")</f>
        <v/>
      </c>
      <c r="Y773" s="23">
        <f>IFERROR(P773*SETTINGS!$C$7,"")</f>
        <v>0</v>
      </c>
      <c r="Z773" s="23">
        <f>SETTINGS!$C$11</f>
        <v>0.5</v>
      </c>
      <c r="AA773" s="23">
        <f t="shared" ref="AA773:AA836" si="79">IFERROR(SUM(V773:Z773),"")</f>
        <v>0.5</v>
      </c>
      <c r="AB773" s="23">
        <f>IFERROR(AA773*SETTINGS!$C$9,"")</f>
        <v>2.5000000000000001E-2</v>
      </c>
      <c r="AC773" s="23">
        <f>IFERROR((AA773+AB773)*SETTINGS!$C$10,"")</f>
        <v>2.6250000000000002E-2</v>
      </c>
    </row>
    <row r="774" spans="1:29" ht="16" x14ac:dyDescent="0.2">
      <c r="A774" s="25"/>
      <c r="H774" t="str">
        <f>IFERROR(VLOOKUP(G774,FILAMENTI_DB!$A:$C,3,FALSE),"")</f>
        <v/>
      </c>
      <c r="I774" t="str">
        <f>IFERROR(VLOOKUP(G774,FILAMENTI_DB!$A:$E,4,FALSE),"")</f>
        <v/>
      </c>
      <c r="J774" s="26"/>
      <c r="K774" s="27"/>
      <c r="L774" s="27"/>
      <c r="M774" s="27">
        <f t="shared" si="74"/>
        <v>0</v>
      </c>
      <c r="N774" s="26">
        <f t="shared" si="75"/>
        <v>0</v>
      </c>
      <c r="O774" s="26"/>
      <c r="P774" s="26"/>
      <c r="Q774" s="23"/>
      <c r="R774" s="23">
        <f t="shared" si="76"/>
        <v>0</v>
      </c>
      <c r="S774" s="23"/>
      <c r="T774" s="23">
        <f t="shared" si="77"/>
        <v>0</v>
      </c>
      <c r="U774" s="28" t="str">
        <f t="shared" si="78"/>
        <v/>
      </c>
      <c r="V774" s="10" t="str">
        <f>IFERROR(N774*VLOOKUP(G774,FILAMENTI_DB!$A:$J,10,FALSE),"")</f>
        <v/>
      </c>
      <c r="W774" s="23" t="str">
        <f>IFERROR((VLOOKUP(F774,STAMPANTI_DB!$A:$C,3,FALSE)/1000)*O774*SETTINGS!$C$6,"")</f>
        <v/>
      </c>
      <c r="X774" s="23" t="str">
        <f>IFERROR(O774*VLOOKUP(F774,STAMPANTI_DB!$A:$I,9,FALSE),"")</f>
        <v/>
      </c>
      <c r="Y774" s="23">
        <f>IFERROR(P774*SETTINGS!$C$7,"")</f>
        <v>0</v>
      </c>
      <c r="Z774" s="23">
        <f>SETTINGS!$C$11</f>
        <v>0.5</v>
      </c>
      <c r="AA774" s="23">
        <f t="shared" si="79"/>
        <v>0.5</v>
      </c>
      <c r="AB774" s="23">
        <f>IFERROR(AA774*SETTINGS!$C$9,"")</f>
        <v>2.5000000000000001E-2</v>
      </c>
      <c r="AC774" s="23">
        <f>IFERROR((AA774+AB774)*SETTINGS!$C$10,"")</f>
        <v>2.6250000000000002E-2</v>
      </c>
    </row>
    <row r="775" spans="1:29" ht="16" x14ac:dyDescent="0.2">
      <c r="A775" s="25"/>
      <c r="H775" t="str">
        <f>IFERROR(VLOOKUP(G775,FILAMENTI_DB!$A:$C,3,FALSE),"")</f>
        <v/>
      </c>
      <c r="I775" t="str">
        <f>IFERROR(VLOOKUP(G775,FILAMENTI_DB!$A:$E,4,FALSE),"")</f>
        <v/>
      </c>
      <c r="J775" s="26"/>
      <c r="K775" s="27"/>
      <c r="L775" s="27"/>
      <c r="M775" s="27">
        <f t="shared" si="74"/>
        <v>0</v>
      </c>
      <c r="N775" s="26">
        <f t="shared" si="75"/>
        <v>0</v>
      </c>
      <c r="O775" s="26"/>
      <c r="P775" s="26"/>
      <c r="Q775" s="23"/>
      <c r="R775" s="23">
        <f t="shared" si="76"/>
        <v>0</v>
      </c>
      <c r="S775" s="23"/>
      <c r="T775" s="23">
        <f t="shared" si="77"/>
        <v>0</v>
      </c>
      <c r="U775" s="28" t="str">
        <f t="shared" si="78"/>
        <v/>
      </c>
      <c r="V775" s="10" t="str">
        <f>IFERROR(N775*VLOOKUP(G775,FILAMENTI_DB!$A:$J,10,FALSE),"")</f>
        <v/>
      </c>
      <c r="W775" s="23" t="str">
        <f>IFERROR((VLOOKUP(F775,STAMPANTI_DB!$A:$C,3,FALSE)/1000)*O775*SETTINGS!$C$6,"")</f>
        <v/>
      </c>
      <c r="X775" s="23" t="str">
        <f>IFERROR(O775*VLOOKUP(F775,STAMPANTI_DB!$A:$I,9,FALSE),"")</f>
        <v/>
      </c>
      <c r="Y775" s="23">
        <f>IFERROR(P775*SETTINGS!$C$7,"")</f>
        <v>0</v>
      </c>
      <c r="Z775" s="23">
        <f>SETTINGS!$C$11</f>
        <v>0.5</v>
      </c>
      <c r="AA775" s="23">
        <f t="shared" si="79"/>
        <v>0.5</v>
      </c>
      <c r="AB775" s="23">
        <f>IFERROR(AA775*SETTINGS!$C$9,"")</f>
        <v>2.5000000000000001E-2</v>
      </c>
      <c r="AC775" s="23">
        <f>IFERROR((AA775+AB775)*SETTINGS!$C$10,"")</f>
        <v>2.6250000000000002E-2</v>
      </c>
    </row>
    <row r="776" spans="1:29" ht="16" x14ac:dyDescent="0.2">
      <c r="A776" s="25"/>
      <c r="H776" t="str">
        <f>IFERROR(VLOOKUP(G776,FILAMENTI_DB!$A:$C,3,FALSE),"")</f>
        <v/>
      </c>
      <c r="I776" t="str">
        <f>IFERROR(VLOOKUP(G776,FILAMENTI_DB!$A:$E,4,FALSE),"")</f>
        <v/>
      </c>
      <c r="J776" s="26"/>
      <c r="K776" s="27"/>
      <c r="L776" s="27"/>
      <c r="M776" s="27">
        <f t="shared" si="74"/>
        <v>0</v>
      </c>
      <c r="N776" s="26">
        <f t="shared" si="75"/>
        <v>0</v>
      </c>
      <c r="O776" s="26"/>
      <c r="P776" s="26"/>
      <c r="Q776" s="23"/>
      <c r="R776" s="23">
        <f t="shared" si="76"/>
        <v>0</v>
      </c>
      <c r="S776" s="23"/>
      <c r="T776" s="23">
        <f t="shared" si="77"/>
        <v>0</v>
      </c>
      <c r="U776" s="28" t="str">
        <f t="shared" si="78"/>
        <v/>
      </c>
      <c r="V776" s="10" t="str">
        <f>IFERROR(N776*VLOOKUP(G776,FILAMENTI_DB!$A:$J,10,FALSE),"")</f>
        <v/>
      </c>
      <c r="W776" s="23" t="str">
        <f>IFERROR((VLOOKUP(F776,STAMPANTI_DB!$A:$C,3,FALSE)/1000)*O776*SETTINGS!$C$6,"")</f>
        <v/>
      </c>
      <c r="X776" s="23" t="str">
        <f>IFERROR(O776*VLOOKUP(F776,STAMPANTI_DB!$A:$I,9,FALSE),"")</f>
        <v/>
      </c>
      <c r="Y776" s="23">
        <f>IFERROR(P776*SETTINGS!$C$7,"")</f>
        <v>0</v>
      </c>
      <c r="Z776" s="23">
        <f>SETTINGS!$C$11</f>
        <v>0.5</v>
      </c>
      <c r="AA776" s="23">
        <f t="shared" si="79"/>
        <v>0.5</v>
      </c>
      <c r="AB776" s="23">
        <f>IFERROR(AA776*SETTINGS!$C$9,"")</f>
        <v>2.5000000000000001E-2</v>
      </c>
      <c r="AC776" s="23">
        <f>IFERROR((AA776+AB776)*SETTINGS!$C$10,"")</f>
        <v>2.6250000000000002E-2</v>
      </c>
    </row>
    <row r="777" spans="1:29" ht="16" x14ac:dyDescent="0.2">
      <c r="A777" s="25"/>
      <c r="H777" t="str">
        <f>IFERROR(VLOOKUP(G777,FILAMENTI_DB!$A:$C,3,FALSE),"")</f>
        <v/>
      </c>
      <c r="I777" t="str">
        <f>IFERROR(VLOOKUP(G777,FILAMENTI_DB!$A:$E,4,FALSE),"")</f>
        <v/>
      </c>
      <c r="J777" s="26"/>
      <c r="K777" s="27"/>
      <c r="L777" s="27"/>
      <c r="M777" s="27">
        <f t="shared" si="74"/>
        <v>0</v>
      </c>
      <c r="N777" s="26">
        <f t="shared" si="75"/>
        <v>0</v>
      </c>
      <c r="O777" s="26"/>
      <c r="P777" s="26"/>
      <c r="Q777" s="23"/>
      <c r="R777" s="23">
        <f t="shared" si="76"/>
        <v>0</v>
      </c>
      <c r="S777" s="23"/>
      <c r="T777" s="23">
        <f t="shared" si="77"/>
        <v>0</v>
      </c>
      <c r="U777" s="28" t="str">
        <f t="shared" si="78"/>
        <v/>
      </c>
      <c r="V777" s="10" t="str">
        <f>IFERROR(N777*VLOOKUP(G777,FILAMENTI_DB!$A:$J,10,FALSE),"")</f>
        <v/>
      </c>
      <c r="W777" s="23" t="str">
        <f>IFERROR((VLOOKUP(F777,STAMPANTI_DB!$A:$C,3,FALSE)/1000)*O777*SETTINGS!$C$6,"")</f>
        <v/>
      </c>
      <c r="X777" s="23" t="str">
        <f>IFERROR(O777*VLOOKUP(F777,STAMPANTI_DB!$A:$I,9,FALSE),"")</f>
        <v/>
      </c>
      <c r="Y777" s="23">
        <f>IFERROR(P777*SETTINGS!$C$7,"")</f>
        <v>0</v>
      </c>
      <c r="Z777" s="23">
        <f>SETTINGS!$C$11</f>
        <v>0.5</v>
      </c>
      <c r="AA777" s="23">
        <f t="shared" si="79"/>
        <v>0.5</v>
      </c>
      <c r="AB777" s="23">
        <f>IFERROR(AA777*SETTINGS!$C$9,"")</f>
        <v>2.5000000000000001E-2</v>
      </c>
      <c r="AC777" s="23">
        <f>IFERROR((AA777+AB777)*SETTINGS!$C$10,"")</f>
        <v>2.6250000000000002E-2</v>
      </c>
    </row>
    <row r="778" spans="1:29" ht="16" x14ac:dyDescent="0.2">
      <c r="A778" s="25"/>
      <c r="H778" t="str">
        <f>IFERROR(VLOOKUP(G778,FILAMENTI_DB!$A:$C,3,FALSE),"")</f>
        <v/>
      </c>
      <c r="I778" t="str">
        <f>IFERROR(VLOOKUP(G778,FILAMENTI_DB!$A:$E,4,FALSE),"")</f>
        <v/>
      </c>
      <c r="J778" s="26"/>
      <c r="K778" s="27"/>
      <c r="L778" s="27"/>
      <c r="M778" s="27">
        <f t="shared" si="74"/>
        <v>0</v>
      </c>
      <c r="N778" s="26">
        <f t="shared" si="75"/>
        <v>0</v>
      </c>
      <c r="O778" s="26"/>
      <c r="P778" s="26"/>
      <c r="Q778" s="23"/>
      <c r="R778" s="23">
        <f t="shared" si="76"/>
        <v>0</v>
      </c>
      <c r="S778" s="23"/>
      <c r="T778" s="23">
        <f t="shared" si="77"/>
        <v>0</v>
      </c>
      <c r="U778" s="28" t="str">
        <f t="shared" si="78"/>
        <v/>
      </c>
      <c r="V778" s="10" t="str">
        <f>IFERROR(N778*VLOOKUP(G778,FILAMENTI_DB!$A:$J,10,FALSE),"")</f>
        <v/>
      </c>
      <c r="W778" s="23" t="str">
        <f>IFERROR((VLOOKUP(F778,STAMPANTI_DB!$A:$C,3,FALSE)/1000)*O778*SETTINGS!$C$6,"")</f>
        <v/>
      </c>
      <c r="X778" s="23" t="str">
        <f>IFERROR(O778*VLOOKUP(F778,STAMPANTI_DB!$A:$I,9,FALSE),"")</f>
        <v/>
      </c>
      <c r="Y778" s="23">
        <f>IFERROR(P778*SETTINGS!$C$7,"")</f>
        <v>0</v>
      </c>
      <c r="Z778" s="23">
        <f>SETTINGS!$C$11</f>
        <v>0.5</v>
      </c>
      <c r="AA778" s="23">
        <f t="shared" si="79"/>
        <v>0.5</v>
      </c>
      <c r="AB778" s="23">
        <f>IFERROR(AA778*SETTINGS!$C$9,"")</f>
        <v>2.5000000000000001E-2</v>
      </c>
      <c r="AC778" s="23">
        <f>IFERROR((AA778+AB778)*SETTINGS!$C$10,"")</f>
        <v>2.6250000000000002E-2</v>
      </c>
    </row>
    <row r="779" spans="1:29" ht="16" x14ac:dyDescent="0.2">
      <c r="A779" s="25"/>
      <c r="H779" t="str">
        <f>IFERROR(VLOOKUP(G779,FILAMENTI_DB!$A:$C,3,FALSE),"")</f>
        <v/>
      </c>
      <c r="I779" t="str">
        <f>IFERROR(VLOOKUP(G779,FILAMENTI_DB!$A:$E,4,FALSE),"")</f>
        <v/>
      </c>
      <c r="J779" s="26"/>
      <c r="K779" s="27"/>
      <c r="L779" s="27"/>
      <c r="M779" s="27">
        <f t="shared" si="74"/>
        <v>0</v>
      </c>
      <c r="N779" s="26">
        <f t="shared" si="75"/>
        <v>0</v>
      </c>
      <c r="O779" s="26"/>
      <c r="P779" s="26"/>
      <c r="Q779" s="23"/>
      <c r="R779" s="23">
        <f t="shared" si="76"/>
        <v>0</v>
      </c>
      <c r="S779" s="23"/>
      <c r="T779" s="23">
        <f t="shared" si="77"/>
        <v>0</v>
      </c>
      <c r="U779" s="28" t="str">
        <f t="shared" si="78"/>
        <v/>
      </c>
      <c r="V779" s="10" t="str">
        <f>IFERROR(N779*VLOOKUP(G779,FILAMENTI_DB!$A:$J,10,FALSE),"")</f>
        <v/>
      </c>
      <c r="W779" s="23" t="str">
        <f>IFERROR((VLOOKUP(F779,STAMPANTI_DB!$A:$C,3,FALSE)/1000)*O779*SETTINGS!$C$6,"")</f>
        <v/>
      </c>
      <c r="X779" s="23" t="str">
        <f>IFERROR(O779*VLOOKUP(F779,STAMPANTI_DB!$A:$I,9,FALSE),"")</f>
        <v/>
      </c>
      <c r="Y779" s="23">
        <f>IFERROR(P779*SETTINGS!$C$7,"")</f>
        <v>0</v>
      </c>
      <c r="Z779" s="23">
        <f>SETTINGS!$C$11</f>
        <v>0.5</v>
      </c>
      <c r="AA779" s="23">
        <f t="shared" si="79"/>
        <v>0.5</v>
      </c>
      <c r="AB779" s="23">
        <f>IFERROR(AA779*SETTINGS!$C$9,"")</f>
        <v>2.5000000000000001E-2</v>
      </c>
      <c r="AC779" s="23">
        <f>IFERROR((AA779+AB779)*SETTINGS!$C$10,"")</f>
        <v>2.6250000000000002E-2</v>
      </c>
    </row>
    <row r="780" spans="1:29" ht="16" x14ac:dyDescent="0.2">
      <c r="A780" s="25"/>
      <c r="H780" t="str">
        <f>IFERROR(VLOOKUP(G780,FILAMENTI_DB!$A:$C,3,FALSE),"")</f>
        <v/>
      </c>
      <c r="I780" t="str">
        <f>IFERROR(VLOOKUP(G780,FILAMENTI_DB!$A:$E,4,FALSE),"")</f>
        <v/>
      </c>
      <c r="J780" s="26"/>
      <c r="K780" s="27"/>
      <c r="L780" s="27"/>
      <c r="M780" s="27">
        <f t="shared" si="74"/>
        <v>0</v>
      </c>
      <c r="N780" s="26">
        <f t="shared" si="75"/>
        <v>0</v>
      </c>
      <c r="O780" s="26"/>
      <c r="P780" s="26"/>
      <c r="Q780" s="23"/>
      <c r="R780" s="23">
        <f t="shared" si="76"/>
        <v>0</v>
      </c>
      <c r="S780" s="23"/>
      <c r="T780" s="23">
        <f t="shared" si="77"/>
        <v>0</v>
      </c>
      <c r="U780" s="28" t="str">
        <f t="shared" si="78"/>
        <v/>
      </c>
      <c r="V780" s="10" t="str">
        <f>IFERROR(N780*VLOOKUP(G780,FILAMENTI_DB!$A:$J,10,FALSE),"")</f>
        <v/>
      </c>
      <c r="W780" s="23" t="str">
        <f>IFERROR((VLOOKUP(F780,STAMPANTI_DB!$A:$C,3,FALSE)/1000)*O780*SETTINGS!$C$6,"")</f>
        <v/>
      </c>
      <c r="X780" s="23" t="str">
        <f>IFERROR(O780*VLOOKUP(F780,STAMPANTI_DB!$A:$I,9,FALSE),"")</f>
        <v/>
      </c>
      <c r="Y780" s="23">
        <f>IFERROR(P780*SETTINGS!$C$7,"")</f>
        <v>0</v>
      </c>
      <c r="Z780" s="23">
        <f>SETTINGS!$C$11</f>
        <v>0.5</v>
      </c>
      <c r="AA780" s="23">
        <f t="shared" si="79"/>
        <v>0.5</v>
      </c>
      <c r="AB780" s="23">
        <f>IFERROR(AA780*SETTINGS!$C$9,"")</f>
        <v>2.5000000000000001E-2</v>
      </c>
      <c r="AC780" s="23">
        <f>IFERROR((AA780+AB780)*SETTINGS!$C$10,"")</f>
        <v>2.6250000000000002E-2</v>
      </c>
    </row>
    <row r="781" spans="1:29" ht="16" x14ac:dyDescent="0.2">
      <c r="A781" s="25"/>
      <c r="H781" t="str">
        <f>IFERROR(VLOOKUP(G781,FILAMENTI_DB!$A:$C,3,FALSE),"")</f>
        <v/>
      </c>
      <c r="I781" t="str">
        <f>IFERROR(VLOOKUP(G781,FILAMENTI_DB!$A:$E,4,FALSE),"")</f>
        <v/>
      </c>
      <c r="J781" s="26"/>
      <c r="K781" s="27"/>
      <c r="L781" s="27"/>
      <c r="M781" s="27">
        <f t="shared" si="74"/>
        <v>0</v>
      </c>
      <c r="N781" s="26">
        <f t="shared" si="75"/>
        <v>0</v>
      </c>
      <c r="O781" s="26"/>
      <c r="P781" s="26"/>
      <c r="Q781" s="23"/>
      <c r="R781" s="23">
        <f t="shared" si="76"/>
        <v>0</v>
      </c>
      <c r="S781" s="23"/>
      <c r="T781" s="23">
        <f t="shared" si="77"/>
        <v>0</v>
      </c>
      <c r="U781" s="28" t="str">
        <f t="shared" si="78"/>
        <v/>
      </c>
      <c r="V781" s="10" t="str">
        <f>IFERROR(N781*VLOOKUP(G781,FILAMENTI_DB!$A:$J,10,FALSE),"")</f>
        <v/>
      </c>
      <c r="W781" s="23" t="str">
        <f>IFERROR((VLOOKUP(F781,STAMPANTI_DB!$A:$C,3,FALSE)/1000)*O781*SETTINGS!$C$6,"")</f>
        <v/>
      </c>
      <c r="X781" s="23" t="str">
        <f>IFERROR(O781*VLOOKUP(F781,STAMPANTI_DB!$A:$I,9,FALSE),"")</f>
        <v/>
      </c>
      <c r="Y781" s="23">
        <f>IFERROR(P781*SETTINGS!$C$7,"")</f>
        <v>0</v>
      </c>
      <c r="Z781" s="23">
        <f>SETTINGS!$C$11</f>
        <v>0.5</v>
      </c>
      <c r="AA781" s="23">
        <f t="shared" si="79"/>
        <v>0.5</v>
      </c>
      <c r="AB781" s="23">
        <f>IFERROR(AA781*SETTINGS!$C$9,"")</f>
        <v>2.5000000000000001E-2</v>
      </c>
      <c r="AC781" s="23">
        <f>IFERROR((AA781+AB781)*SETTINGS!$C$10,"")</f>
        <v>2.6250000000000002E-2</v>
      </c>
    </row>
    <row r="782" spans="1:29" ht="16" x14ac:dyDescent="0.2">
      <c r="A782" s="25"/>
      <c r="H782" t="str">
        <f>IFERROR(VLOOKUP(G782,FILAMENTI_DB!$A:$C,3,FALSE),"")</f>
        <v/>
      </c>
      <c r="I782" t="str">
        <f>IFERROR(VLOOKUP(G782,FILAMENTI_DB!$A:$E,4,FALSE),"")</f>
        <v/>
      </c>
      <c r="J782" s="26"/>
      <c r="K782" s="27"/>
      <c r="L782" s="27"/>
      <c r="M782" s="27">
        <f t="shared" si="74"/>
        <v>0</v>
      </c>
      <c r="N782" s="26">
        <f t="shared" si="75"/>
        <v>0</v>
      </c>
      <c r="O782" s="26"/>
      <c r="P782" s="26"/>
      <c r="Q782" s="23"/>
      <c r="R782" s="23">
        <f t="shared" si="76"/>
        <v>0</v>
      </c>
      <c r="S782" s="23"/>
      <c r="T782" s="23">
        <f t="shared" si="77"/>
        <v>0</v>
      </c>
      <c r="U782" s="28" t="str">
        <f t="shared" si="78"/>
        <v/>
      </c>
      <c r="V782" s="10" t="str">
        <f>IFERROR(N782*VLOOKUP(G782,FILAMENTI_DB!$A:$J,10,FALSE),"")</f>
        <v/>
      </c>
      <c r="W782" s="23" t="str">
        <f>IFERROR((VLOOKUP(F782,STAMPANTI_DB!$A:$C,3,FALSE)/1000)*O782*SETTINGS!$C$6,"")</f>
        <v/>
      </c>
      <c r="X782" s="23" t="str">
        <f>IFERROR(O782*VLOOKUP(F782,STAMPANTI_DB!$A:$I,9,FALSE),"")</f>
        <v/>
      </c>
      <c r="Y782" s="23">
        <f>IFERROR(P782*SETTINGS!$C$7,"")</f>
        <v>0</v>
      </c>
      <c r="Z782" s="23">
        <f>SETTINGS!$C$11</f>
        <v>0.5</v>
      </c>
      <c r="AA782" s="23">
        <f t="shared" si="79"/>
        <v>0.5</v>
      </c>
      <c r="AB782" s="23">
        <f>IFERROR(AA782*SETTINGS!$C$9,"")</f>
        <v>2.5000000000000001E-2</v>
      </c>
      <c r="AC782" s="23">
        <f>IFERROR((AA782+AB782)*SETTINGS!$C$10,"")</f>
        <v>2.6250000000000002E-2</v>
      </c>
    </row>
    <row r="783" spans="1:29" ht="16" x14ac:dyDescent="0.2">
      <c r="A783" s="25"/>
      <c r="H783" t="str">
        <f>IFERROR(VLOOKUP(G783,FILAMENTI_DB!$A:$C,3,FALSE),"")</f>
        <v/>
      </c>
      <c r="I783" t="str">
        <f>IFERROR(VLOOKUP(G783,FILAMENTI_DB!$A:$E,4,FALSE),"")</f>
        <v/>
      </c>
      <c r="J783" s="26"/>
      <c r="K783" s="27"/>
      <c r="L783" s="27"/>
      <c r="M783" s="27">
        <f t="shared" si="74"/>
        <v>0</v>
      </c>
      <c r="N783" s="26">
        <f t="shared" si="75"/>
        <v>0</v>
      </c>
      <c r="O783" s="26"/>
      <c r="P783" s="26"/>
      <c r="Q783" s="23"/>
      <c r="R783" s="23">
        <f t="shared" si="76"/>
        <v>0</v>
      </c>
      <c r="S783" s="23"/>
      <c r="T783" s="23">
        <f t="shared" si="77"/>
        <v>0</v>
      </c>
      <c r="U783" s="28" t="str">
        <f t="shared" si="78"/>
        <v/>
      </c>
      <c r="V783" s="10" t="str">
        <f>IFERROR(N783*VLOOKUP(G783,FILAMENTI_DB!$A:$J,10,FALSE),"")</f>
        <v/>
      </c>
      <c r="W783" s="23" t="str">
        <f>IFERROR((VLOOKUP(F783,STAMPANTI_DB!$A:$C,3,FALSE)/1000)*O783*SETTINGS!$C$6,"")</f>
        <v/>
      </c>
      <c r="X783" s="23" t="str">
        <f>IFERROR(O783*VLOOKUP(F783,STAMPANTI_DB!$A:$I,9,FALSE),"")</f>
        <v/>
      </c>
      <c r="Y783" s="23">
        <f>IFERROR(P783*SETTINGS!$C$7,"")</f>
        <v>0</v>
      </c>
      <c r="Z783" s="23">
        <f>SETTINGS!$C$11</f>
        <v>0.5</v>
      </c>
      <c r="AA783" s="23">
        <f t="shared" si="79"/>
        <v>0.5</v>
      </c>
      <c r="AB783" s="23">
        <f>IFERROR(AA783*SETTINGS!$C$9,"")</f>
        <v>2.5000000000000001E-2</v>
      </c>
      <c r="AC783" s="23">
        <f>IFERROR((AA783+AB783)*SETTINGS!$C$10,"")</f>
        <v>2.6250000000000002E-2</v>
      </c>
    </row>
    <row r="784" spans="1:29" ht="16" x14ac:dyDescent="0.2">
      <c r="A784" s="25"/>
      <c r="H784" t="str">
        <f>IFERROR(VLOOKUP(G784,FILAMENTI_DB!$A:$C,3,FALSE),"")</f>
        <v/>
      </c>
      <c r="I784" t="str">
        <f>IFERROR(VLOOKUP(G784,FILAMENTI_DB!$A:$E,4,FALSE),"")</f>
        <v/>
      </c>
      <c r="J784" s="26"/>
      <c r="K784" s="27"/>
      <c r="L784" s="27"/>
      <c r="M784" s="27">
        <f t="shared" si="74"/>
        <v>0</v>
      </c>
      <c r="N784" s="26">
        <f t="shared" si="75"/>
        <v>0</v>
      </c>
      <c r="O784" s="26"/>
      <c r="P784" s="26"/>
      <c r="Q784" s="23"/>
      <c r="R784" s="23">
        <f t="shared" si="76"/>
        <v>0</v>
      </c>
      <c r="S784" s="23"/>
      <c r="T784" s="23">
        <f t="shared" si="77"/>
        <v>0</v>
      </c>
      <c r="U784" s="28" t="str">
        <f t="shared" si="78"/>
        <v/>
      </c>
      <c r="V784" s="10" t="str">
        <f>IFERROR(N784*VLOOKUP(G784,FILAMENTI_DB!$A:$J,10,FALSE),"")</f>
        <v/>
      </c>
      <c r="W784" s="23" t="str">
        <f>IFERROR((VLOOKUP(F784,STAMPANTI_DB!$A:$C,3,FALSE)/1000)*O784*SETTINGS!$C$6,"")</f>
        <v/>
      </c>
      <c r="X784" s="23" t="str">
        <f>IFERROR(O784*VLOOKUP(F784,STAMPANTI_DB!$A:$I,9,FALSE),"")</f>
        <v/>
      </c>
      <c r="Y784" s="23">
        <f>IFERROR(P784*SETTINGS!$C$7,"")</f>
        <v>0</v>
      </c>
      <c r="Z784" s="23">
        <f>SETTINGS!$C$11</f>
        <v>0.5</v>
      </c>
      <c r="AA784" s="23">
        <f t="shared" si="79"/>
        <v>0.5</v>
      </c>
      <c r="AB784" s="23">
        <f>IFERROR(AA784*SETTINGS!$C$9,"")</f>
        <v>2.5000000000000001E-2</v>
      </c>
      <c r="AC784" s="23">
        <f>IFERROR((AA784+AB784)*SETTINGS!$C$10,"")</f>
        <v>2.6250000000000002E-2</v>
      </c>
    </row>
    <row r="785" spans="1:29" ht="16" x14ac:dyDescent="0.2">
      <c r="A785" s="25"/>
      <c r="H785" t="str">
        <f>IFERROR(VLOOKUP(G785,FILAMENTI_DB!$A:$C,3,FALSE),"")</f>
        <v/>
      </c>
      <c r="I785" t="str">
        <f>IFERROR(VLOOKUP(G785,FILAMENTI_DB!$A:$E,4,FALSE),"")</f>
        <v/>
      </c>
      <c r="J785" s="26"/>
      <c r="K785" s="27"/>
      <c r="L785" s="27"/>
      <c r="M785" s="27">
        <f t="shared" si="74"/>
        <v>0</v>
      </c>
      <c r="N785" s="26">
        <f t="shared" si="75"/>
        <v>0</v>
      </c>
      <c r="O785" s="26"/>
      <c r="P785" s="26"/>
      <c r="Q785" s="23"/>
      <c r="R785" s="23">
        <f t="shared" si="76"/>
        <v>0</v>
      </c>
      <c r="S785" s="23"/>
      <c r="T785" s="23">
        <f t="shared" si="77"/>
        <v>0</v>
      </c>
      <c r="U785" s="28" t="str">
        <f t="shared" si="78"/>
        <v/>
      </c>
      <c r="V785" s="10" t="str">
        <f>IFERROR(N785*VLOOKUP(G785,FILAMENTI_DB!$A:$J,10,FALSE),"")</f>
        <v/>
      </c>
      <c r="W785" s="23" t="str">
        <f>IFERROR((VLOOKUP(F785,STAMPANTI_DB!$A:$C,3,FALSE)/1000)*O785*SETTINGS!$C$6,"")</f>
        <v/>
      </c>
      <c r="X785" s="23" t="str">
        <f>IFERROR(O785*VLOOKUP(F785,STAMPANTI_DB!$A:$I,9,FALSE),"")</f>
        <v/>
      </c>
      <c r="Y785" s="23">
        <f>IFERROR(P785*SETTINGS!$C$7,"")</f>
        <v>0</v>
      </c>
      <c r="Z785" s="23">
        <f>SETTINGS!$C$11</f>
        <v>0.5</v>
      </c>
      <c r="AA785" s="23">
        <f t="shared" si="79"/>
        <v>0.5</v>
      </c>
      <c r="AB785" s="23">
        <f>IFERROR(AA785*SETTINGS!$C$9,"")</f>
        <v>2.5000000000000001E-2</v>
      </c>
      <c r="AC785" s="23">
        <f>IFERROR((AA785+AB785)*SETTINGS!$C$10,"")</f>
        <v>2.6250000000000002E-2</v>
      </c>
    </row>
    <row r="786" spans="1:29" ht="16" x14ac:dyDescent="0.2">
      <c r="A786" s="25"/>
      <c r="H786" t="str">
        <f>IFERROR(VLOOKUP(G786,FILAMENTI_DB!$A:$C,3,FALSE),"")</f>
        <v/>
      </c>
      <c r="I786" t="str">
        <f>IFERROR(VLOOKUP(G786,FILAMENTI_DB!$A:$E,4,FALSE),"")</f>
        <v/>
      </c>
      <c r="J786" s="26"/>
      <c r="K786" s="27"/>
      <c r="L786" s="27"/>
      <c r="M786" s="27">
        <f t="shared" si="74"/>
        <v>0</v>
      </c>
      <c r="N786" s="26">
        <f t="shared" si="75"/>
        <v>0</v>
      </c>
      <c r="O786" s="26"/>
      <c r="P786" s="26"/>
      <c r="Q786" s="23"/>
      <c r="R786" s="23">
        <f t="shared" si="76"/>
        <v>0</v>
      </c>
      <c r="S786" s="23"/>
      <c r="T786" s="23">
        <f t="shared" si="77"/>
        <v>0</v>
      </c>
      <c r="U786" s="28" t="str">
        <f t="shared" si="78"/>
        <v/>
      </c>
      <c r="V786" s="10" t="str">
        <f>IFERROR(N786*VLOOKUP(G786,FILAMENTI_DB!$A:$J,10,FALSE),"")</f>
        <v/>
      </c>
      <c r="W786" s="23" t="str">
        <f>IFERROR((VLOOKUP(F786,STAMPANTI_DB!$A:$C,3,FALSE)/1000)*O786*SETTINGS!$C$6,"")</f>
        <v/>
      </c>
      <c r="X786" s="23" t="str">
        <f>IFERROR(O786*VLOOKUP(F786,STAMPANTI_DB!$A:$I,9,FALSE),"")</f>
        <v/>
      </c>
      <c r="Y786" s="23">
        <f>IFERROR(P786*SETTINGS!$C$7,"")</f>
        <v>0</v>
      </c>
      <c r="Z786" s="23">
        <f>SETTINGS!$C$11</f>
        <v>0.5</v>
      </c>
      <c r="AA786" s="23">
        <f t="shared" si="79"/>
        <v>0.5</v>
      </c>
      <c r="AB786" s="23">
        <f>IFERROR(AA786*SETTINGS!$C$9,"")</f>
        <v>2.5000000000000001E-2</v>
      </c>
      <c r="AC786" s="23">
        <f>IFERROR((AA786+AB786)*SETTINGS!$C$10,"")</f>
        <v>2.6250000000000002E-2</v>
      </c>
    </row>
    <row r="787" spans="1:29" ht="16" x14ac:dyDescent="0.2">
      <c r="A787" s="25"/>
      <c r="H787" t="str">
        <f>IFERROR(VLOOKUP(G787,FILAMENTI_DB!$A:$C,3,FALSE),"")</f>
        <v/>
      </c>
      <c r="I787" t="str">
        <f>IFERROR(VLOOKUP(G787,FILAMENTI_DB!$A:$E,4,FALSE),"")</f>
        <v/>
      </c>
      <c r="J787" s="26"/>
      <c r="K787" s="27"/>
      <c r="L787" s="27"/>
      <c r="M787" s="27">
        <f t="shared" si="74"/>
        <v>0</v>
      </c>
      <c r="N787" s="26">
        <f t="shared" si="75"/>
        <v>0</v>
      </c>
      <c r="O787" s="26"/>
      <c r="P787" s="26"/>
      <c r="Q787" s="23"/>
      <c r="R787" s="23">
        <f t="shared" si="76"/>
        <v>0</v>
      </c>
      <c r="S787" s="23"/>
      <c r="T787" s="23">
        <f t="shared" si="77"/>
        <v>0</v>
      </c>
      <c r="U787" s="28" t="str">
        <f t="shared" si="78"/>
        <v/>
      </c>
      <c r="V787" s="10" t="str">
        <f>IFERROR(N787*VLOOKUP(G787,FILAMENTI_DB!$A:$J,10,FALSE),"")</f>
        <v/>
      </c>
      <c r="W787" s="23" t="str">
        <f>IFERROR((VLOOKUP(F787,STAMPANTI_DB!$A:$C,3,FALSE)/1000)*O787*SETTINGS!$C$6,"")</f>
        <v/>
      </c>
      <c r="X787" s="23" t="str">
        <f>IFERROR(O787*VLOOKUP(F787,STAMPANTI_DB!$A:$I,9,FALSE),"")</f>
        <v/>
      </c>
      <c r="Y787" s="23">
        <f>IFERROR(P787*SETTINGS!$C$7,"")</f>
        <v>0</v>
      </c>
      <c r="Z787" s="23">
        <f>SETTINGS!$C$11</f>
        <v>0.5</v>
      </c>
      <c r="AA787" s="23">
        <f t="shared" si="79"/>
        <v>0.5</v>
      </c>
      <c r="AB787" s="23">
        <f>IFERROR(AA787*SETTINGS!$C$9,"")</f>
        <v>2.5000000000000001E-2</v>
      </c>
      <c r="AC787" s="23">
        <f>IFERROR((AA787+AB787)*SETTINGS!$C$10,"")</f>
        <v>2.6250000000000002E-2</v>
      </c>
    </row>
    <row r="788" spans="1:29" ht="16" x14ac:dyDescent="0.2">
      <c r="A788" s="25"/>
      <c r="H788" t="str">
        <f>IFERROR(VLOOKUP(G788,FILAMENTI_DB!$A:$C,3,FALSE),"")</f>
        <v/>
      </c>
      <c r="I788" t="str">
        <f>IFERROR(VLOOKUP(G788,FILAMENTI_DB!$A:$E,4,FALSE),"")</f>
        <v/>
      </c>
      <c r="J788" s="26"/>
      <c r="K788" s="27"/>
      <c r="L788" s="27"/>
      <c r="M788" s="27">
        <f t="shared" si="74"/>
        <v>0</v>
      </c>
      <c r="N788" s="26">
        <f t="shared" si="75"/>
        <v>0</v>
      </c>
      <c r="O788" s="26"/>
      <c r="P788" s="26"/>
      <c r="Q788" s="23"/>
      <c r="R788" s="23">
        <f t="shared" si="76"/>
        <v>0</v>
      </c>
      <c r="S788" s="23"/>
      <c r="T788" s="23">
        <f t="shared" si="77"/>
        <v>0</v>
      </c>
      <c r="U788" s="28" t="str">
        <f t="shared" si="78"/>
        <v/>
      </c>
      <c r="V788" s="10" t="str">
        <f>IFERROR(N788*VLOOKUP(G788,FILAMENTI_DB!$A:$J,10,FALSE),"")</f>
        <v/>
      </c>
      <c r="W788" s="23" t="str">
        <f>IFERROR((VLOOKUP(F788,STAMPANTI_DB!$A:$C,3,FALSE)/1000)*O788*SETTINGS!$C$6,"")</f>
        <v/>
      </c>
      <c r="X788" s="23" t="str">
        <f>IFERROR(O788*VLOOKUP(F788,STAMPANTI_DB!$A:$I,9,FALSE),"")</f>
        <v/>
      </c>
      <c r="Y788" s="23">
        <f>IFERROR(P788*SETTINGS!$C$7,"")</f>
        <v>0</v>
      </c>
      <c r="Z788" s="23">
        <f>SETTINGS!$C$11</f>
        <v>0.5</v>
      </c>
      <c r="AA788" s="23">
        <f t="shared" si="79"/>
        <v>0.5</v>
      </c>
      <c r="AB788" s="23">
        <f>IFERROR(AA788*SETTINGS!$C$9,"")</f>
        <v>2.5000000000000001E-2</v>
      </c>
      <c r="AC788" s="23">
        <f>IFERROR((AA788+AB788)*SETTINGS!$C$10,"")</f>
        <v>2.6250000000000002E-2</v>
      </c>
    </row>
    <row r="789" spans="1:29" ht="16" x14ac:dyDescent="0.2">
      <c r="A789" s="25"/>
      <c r="H789" t="str">
        <f>IFERROR(VLOOKUP(G789,FILAMENTI_DB!$A:$C,3,FALSE),"")</f>
        <v/>
      </c>
      <c r="I789" t="str">
        <f>IFERROR(VLOOKUP(G789,FILAMENTI_DB!$A:$E,4,FALSE),"")</f>
        <v/>
      </c>
      <c r="J789" s="26"/>
      <c r="K789" s="27"/>
      <c r="L789" s="27"/>
      <c r="M789" s="27">
        <f t="shared" si="74"/>
        <v>0</v>
      </c>
      <c r="N789" s="26">
        <f t="shared" si="75"/>
        <v>0</v>
      </c>
      <c r="O789" s="26"/>
      <c r="P789" s="26"/>
      <c r="Q789" s="23"/>
      <c r="R789" s="23">
        <f t="shared" si="76"/>
        <v>0</v>
      </c>
      <c r="S789" s="23"/>
      <c r="T789" s="23">
        <f t="shared" si="77"/>
        <v>0</v>
      </c>
      <c r="U789" s="28" t="str">
        <f t="shared" si="78"/>
        <v/>
      </c>
      <c r="V789" s="10" t="str">
        <f>IFERROR(N789*VLOOKUP(G789,FILAMENTI_DB!$A:$J,10,FALSE),"")</f>
        <v/>
      </c>
      <c r="W789" s="23" t="str">
        <f>IFERROR((VLOOKUP(F789,STAMPANTI_DB!$A:$C,3,FALSE)/1000)*O789*SETTINGS!$C$6,"")</f>
        <v/>
      </c>
      <c r="X789" s="23" t="str">
        <f>IFERROR(O789*VLOOKUP(F789,STAMPANTI_DB!$A:$I,9,FALSE),"")</f>
        <v/>
      </c>
      <c r="Y789" s="23">
        <f>IFERROR(P789*SETTINGS!$C$7,"")</f>
        <v>0</v>
      </c>
      <c r="Z789" s="23">
        <f>SETTINGS!$C$11</f>
        <v>0.5</v>
      </c>
      <c r="AA789" s="23">
        <f t="shared" si="79"/>
        <v>0.5</v>
      </c>
      <c r="AB789" s="23">
        <f>IFERROR(AA789*SETTINGS!$C$9,"")</f>
        <v>2.5000000000000001E-2</v>
      </c>
      <c r="AC789" s="23">
        <f>IFERROR((AA789+AB789)*SETTINGS!$C$10,"")</f>
        <v>2.6250000000000002E-2</v>
      </c>
    </row>
    <row r="790" spans="1:29" ht="16" x14ac:dyDescent="0.2">
      <c r="A790" s="25"/>
      <c r="H790" t="str">
        <f>IFERROR(VLOOKUP(G790,FILAMENTI_DB!$A:$C,3,FALSE),"")</f>
        <v/>
      </c>
      <c r="I790" t="str">
        <f>IFERROR(VLOOKUP(G790,FILAMENTI_DB!$A:$E,4,FALSE),"")</f>
        <v/>
      </c>
      <c r="J790" s="26"/>
      <c r="K790" s="27"/>
      <c r="L790" s="27"/>
      <c r="M790" s="27">
        <f t="shared" si="74"/>
        <v>0</v>
      </c>
      <c r="N790" s="26">
        <f t="shared" si="75"/>
        <v>0</v>
      </c>
      <c r="O790" s="26"/>
      <c r="P790" s="26"/>
      <c r="Q790" s="23"/>
      <c r="R790" s="23">
        <f t="shared" si="76"/>
        <v>0</v>
      </c>
      <c r="S790" s="23"/>
      <c r="T790" s="23">
        <f t="shared" si="77"/>
        <v>0</v>
      </c>
      <c r="U790" s="28" t="str">
        <f t="shared" si="78"/>
        <v/>
      </c>
      <c r="V790" s="10" t="str">
        <f>IFERROR(N790*VLOOKUP(G790,FILAMENTI_DB!$A:$J,10,FALSE),"")</f>
        <v/>
      </c>
      <c r="W790" s="23" t="str">
        <f>IFERROR((VLOOKUP(F790,STAMPANTI_DB!$A:$C,3,FALSE)/1000)*O790*SETTINGS!$C$6,"")</f>
        <v/>
      </c>
      <c r="X790" s="23" t="str">
        <f>IFERROR(O790*VLOOKUP(F790,STAMPANTI_DB!$A:$I,9,FALSE),"")</f>
        <v/>
      </c>
      <c r="Y790" s="23">
        <f>IFERROR(P790*SETTINGS!$C$7,"")</f>
        <v>0</v>
      </c>
      <c r="Z790" s="23">
        <f>SETTINGS!$C$11</f>
        <v>0.5</v>
      </c>
      <c r="AA790" s="23">
        <f t="shared" si="79"/>
        <v>0.5</v>
      </c>
      <c r="AB790" s="23">
        <f>IFERROR(AA790*SETTINGS!$C$9,"")</f>
        <v>2.5000000000000001E-2</v>
      </c>
      <c r="AC790" s="23">
        <f>IFERROR((AA790+AB790)*SETTINGS!$C$10,"")</f>
        <v>2.6250000000000002E-2</v>
      </c>
    </row>
    <row r="791" spans="1:29" ht="16" x14ac:dyDescent="0.2">
      <c r="A791" s="25"/>
      <c r="H791" t="str">
        <f>IFERROR(VLOOKUP(G791,FILAMENTI_DB!$A:$C,3,FALSE),"")</f>
        <v/>
      </c>
      <c r="I791" t="str">
        <f>IFERROR(VLOOKUP(G791,FILAMENTI_DB!$A:$E,4,FALSE),"")</f>
        <v/>
      </c>
      <c r="J791" s="26"/>
      <c r="K791" s="27"/>
      <c r="L791" s="27"/>
      <c r="M791" s="27">
        <f t="shared" si="74"/>
        <v>0</v>
      </c>
      <c r="N791" s="26">
        <f t="shared" si="75"/>
        <v>0</v>
      </c>
      <c r="O791" s="26"/>
      <c r="P791" s="26"/>
      <c r="Q791" s="23"/>
      <c r="R791" s="23">
        <f t="shared" si="76"/>
        <v>0</v>
      </c>
      <c r="S791" s="23"/>
      <c r="T791" s="23">
        <f t="shared" si="77"/>
        <v>0</v>
      </c>
      <c r="U791" s="28" t="str">
        <f t="shared" si="78"/>
        <v/>
      </c>
      <c r="V791" s="10" t="str">
        <f>IFERROR(N791*VLOOKUP(G791,FILAMENTI_DB!$A:$J,10,FALSE),"")</f>
        <v/>
      </c>
      <c r="W791" s="23" t="str">
        <f>IFERROR((VLOOKUP(F791,STAMPANTI_DB!$A:$C,3,FALSE)/1000)*O791*SETTINGS!$C$6,"")</f>
        <v/>
      </c>
      <c r="X791" s="23" t="str">
        <f>IFERROR(O791*VLOOKUP(F791,STAMPANTI_DB!$A:$I,9,FALSE),"")</f>
        <v/>
      </c>
      <c r="Y791" s="23">
        <f>IFERROR(P791*SETTINGS!$C$7,"")</f>
        <v>0</v>
      </c>
      <c r="Z791" s="23">
        <f>SETTINGS!$C$11</f>
        <v>0.5</v>
      </c>
      <c r="AA791" s="23">
        <f t="shared" si="79"/>
        <v>0.5</v>
      </c>
      <c r="AB791" s="23">
        <f>IFERROR(AA791*SETTINGS!$C$9,"")</f>
        <v>2.5000000000000001E-2</v>
      </c>
      <c r="AC791" s="23">
        <f>IFERROR((AA791+AB791)*SETTINGS!$C$10,"")</f>
        <v>2.6250000000000002E-2</v>
      </c>
    </row>
    <row r="792" spans="1:29" ht="16" x14ac:dyDescent="0.2">
      <c r="A792" s="25"/>
      <c r="H792" t="str">
        <f>IFERROR(VLOOKUP(G792,FILAMENTI_DB!$A:$C,3,FALSE),"")</f>
        <v/>
      </c>
      <c r="I792" t="str">
        <f>IFERROR(VLOOKUP(G792,FILAMENTI_DB!$A:$E,4,FALSE),"")</f>
        <v/>
      </c>
      <c r="J792" s="26"/>
      <c r="K792" s="27"/>
      <c r="L792" s="27"/>
      <c r="M792" s="27">
        <f t="shared" si="74"/>
        <v>0</v>
      </c>
      <c r="N792" s="26">
        <f t="shared" si="75"/>
        <v>0</v>
      </c>
      <c r="O792" s="26"/>
      <c r="P792" s="26"/>
      <c r="Q792" s="23"/>
      <c r="R792" s="23">
        <f t="shared" si="76"/>
        <v>0</v>
      </c>
      <c r="S792" s="23"/>
      <c r="T792" s="23">
        <f t="shared" si="77"/>
        <v>0</v>
      </c>
      <c r="U792" s="28" t="str">
        <f t="shared" si="78"/>
        <v/>
      </c>
      <c r="V792" s="10" t="str">
        <f>IFERROR(N792*VLOOKUP(G792,FILAMENTI_DB!$A:$J,10,FALSE),"")</f>
        <v/>
      </c>
      <c r="W792" s="23" t="str">
        <f>IFERROR((VLOOKUP(F792,STAMPANTI_DB!$A:$C,3,FALSE)/1000)*O792*SETTINGS!$C$6,"")</f>
        <v/>
      </c>
      <c r="X792" s="23" t="str">
        <f>IFERROR(O792*VLOOKUP(F792,STAMPANTI_DB!$A:$I,9,FALSE),"")</f>
        <v/>
      </c>
      <c r="Y792" s="23">
        <f>IFERROR(P792*SETTINGS!$C$7,"")</f>
        <v>0</v>
      </c>
      <c r="Z792" s="23">
        <f>SETTINGS!$C$11</f>
        <v>0.5</v>
      </c>
      <c r="AA792" s="23">
        <f t="shared" si="79"/>
        <v>0.5</v>
      </c>
      <c r="AB792" s="23">
        <f>IFERROR(AA792*SETTINGS!$C$9,"")</f>
        <v>2.5000000000000001E-2</v>
      </c>
      <c r="AC792" s="23">
        <f>IFERROR((AA792+AB792)*SETTINGS!$C$10,"")</f>
        <v>2.6250000000000002E-2</v>
      </c>
    </row>
    <row r="793" spans="1:29" ht="16" x14ac:dyDescent="0.2">
      <c r="A793" s="25"/>
      <c r="H793" t="str">
        <f>IFERROR(VLOOKUP(G793,FILAMENTI_DB!$A:$C,3,FALSE),"")</f>
        <v/>
      </c>
      <c r="I793" t="str">
        <f>IFERROR(VLOOKUP(G793,FILAMENTI_DB!$A:$E,4,FALSE),"")</f>
        <v/>
      </c>
      <c r="J793" s="26"/>
      <c r="K793" s="27"/>
      <c r="L793" s="27"/>
      <c r="M793" s="27">
        <f t="shared" si="74"/>
        <v>0</v>
      </c>
      <c r="N793" s="26">
        <f t="shared" si="75"/>
        <v>0</v>
      </c>
      <c r="O793" s="26"/>
      <c r="P793" s="26"/>
      <c r="Q793" s="23"/>
      <c r="R793" s="23">
        <f t="shared" si="76"/>
        <v>0</v>
      </c>
      <c r="S793" s="23"/>
      <c r="T793" s="23">
        <f t="shared" si="77"/>
        <v>0</v>
      </c>
      <c r="U793" s="28" t="str">
        <f t="shared" si="78"/>
        <v/>
      </c>
      <c r="V793" s="10" t="str">
        <f>IFERROR(N793*VLOOKUP(G793,FILAMENTI_DB!$A:$J,10,FALSE),"")</f>
        <v/>
      </c>
      <c r="W793" s="23" t="str">
        <f>IFERROR((VLOOKUP(F793,STAMPANTI_DB!$A:$C,3,FALSE)/1000)*O793*SETTINGS!$C$6,"")</f>
        <v/>
      </c>
      <c r="X793" s="23" t="str">
        <f>IFERROR(O793*VLOOKUP(F793,STAMPANTI_DB!$A:$I,9,FALSE),"")</f>
        <v/>
      </c>
      <c r="Y793" s="23">
        <f>IFERROR(P793*SETTINGS!$C$7,"")</f>
        <v>0</v>
      </c>
      <c r="Z793" s="23">
        <f>SETTINGS!$C$11</f>
        <v>0.5</v>
      </c>
      <c r="AA793" s="23">
        <f t="shared" si="79"/>
        <v>0.5</v>
      </c>
      <c r="AB793" s="23">
        <f>IFERROR(AA793*SETTINGS!$C$9,"")</f>
        <v>2.5000000000000001E-2</v>
      </c>
      <c r="AC793" s="23">
        <f>IFERROR((AA793+AB793)*SETTINGS!$C$10,"")</f>
        <v>2.6250000000000002E-2</v>
      </c>
    </row>
    <row r="794" spans="1:29" ht="16" x14ac:dyDescent="0.2">
      <c r="A794" s="25"/>
      <c r="H794" t="str">
        <f>IFERROR(VLOOKUP(G794,FILAMENTI_DB!$A:$C,3,FALSE),"")</f>
        <v/>
      </c>
      <c r="I794" t="str">
        <f>IFERROR(VLOOKUP(G794,FILAMENTI_DB!$A:$E,4,FALSE),"")</f>
        <v/>
      </c>
      <c r="J794" s="26"/>
      <c r="K794" s="27"/>
      <c r="L794" s="27"/>
      <c r="M794" s="27">
        <f t="shared" si="74"/>
        <v>0</v>
      </c>
      <c r="N794" s="26">
        <f t="shared" si="75"/>
        <v>0</v>
      </c>
      <c r="O794" s="26"/>
      <c r="P794" s="26"/>
      <c r="Q794" s="23"/>
      <c r="R794" s="23">
        <f t="shared" si="76"/>
        <v>0</v>
      </c>
      <c r="S794" s="23"/>
      <c r="T794" s="23">
        <f t="shared" si="77"/>
        <v>0</v>
      </c>
      <c r="U794" s="28" t="str">
        <f t="shared" si="78"/>
        <v/>
      </c>
      <c r="V794" s="10" t="str">
        <f>IFERROR(N794*VLOOKUP(G794,FILAMENTI_DB!$A:$J,10,FALSE),"")</f>
        <v/>
      </c>
      <c r="W794" s="23" t="str">
        <f>IFERROR((VLOOKUP(F794,STAMPANTI_DB!$A:$C,3,FALSE)/1000)*O794*SETTINGS!$C$6,"")</f>
        <v/>
      </c>
      <c r="X794" s="23" t="str">
        <f>IFERROR(O794*VLOOKUP(F794,STAMPANTI_DB!$A:$I,9,FALSE),"")</f>
        <v/>
      </c>
      <c r="Y794" s="23">
        <f>IFERROR(P794*SETTINGS!$C$7,"")</f>
        <v>0</v>
      </c>
      <c r="Z794" s="23">
        <f>SETTINGS!$C$11</f>
        <v>0.5</v>
      </c>
      <c r="AA794" s="23">
        <f t="shared" si="79"/>
        <v>0.5</v>
      </c>
      <c r="AB794" s="23">
        <f>IFERROR(AA794*SETTINGS!$C$9,"")</f>
        <v>2.5000000000000001E-2</v>
      </c>
      <c r="AC794" s="23">
        <f>IFERROR((AA794+AB794)*SETTINGS!$C$10,"")</f>
        <v>2.6250000000000002E-2</v>
      </c>
    </row>
    <row r="795" spans="1:29" ht="16" x14ac:dyDescent="0.2">
      <c r="A795" s="25"/>
      <c r="H795" t="str">
        <f>IFERROR(VLOOKUP(G795,FILAMENTI_DB!$A:$C,3,FALSE),"")</f>
        <v/>
      </c>
      <c r="I795" t="str">
        <f>IFERROR(VLOOKUP(G795,FILAMENTI_DB!$A:$E,4,FALSE),"")</f>
        <v/>
      </c>
      <c r="J795" s="26"/>
      <c r="K795" s="27"/>
      <c r="L795" s="27"/>
      <c r="M795" s="27">
        <f t="shared" si="74"/>
        <v>0</v>
      </c>
      <c r="N795" s="26">
        <f t="shared" si="75"/>
        <v>0</v>
      </c>
      <c r="O795" s="26"/>
      <c r="P795" s="26"/>
      <c r="Q795" s="23"/>
      <c r="R795" s="23">
        <f t="shared" si="76"/>
        <v>0</v>
      </c>
      <c r="S795" s="23"/>
      <c r="T795" s="23">
        <f t="shared" si="77"/>
        <v>0</v>
      </c>
      <c r="U795" s="28" t="str">
        <f t="shared" si="78"/>
        <v/>
      </c>
      <c r="V795" s="10" t="str">
        <f>IFERROR(N795*VLOOKUP(G795,FILAMENTI_DB!$A:$J,10,FALSE),"")</f>
        <v/>
      </c>
      <c r="W795" s="23" t="str">
        <f>IFERROR((VLOOKUP(F795,STAMPANTI_DB!$A:$C,3,FALSE)/1000)*O795*SETTINGS!$C$6,"")</f>
        <v/>
      </c>
      <c r="X795" s="23" t="str">
        <f>IFERROR(O795*VLOOKUP(F795,STAMPANTI_DB!$A:$I,9,FALSE),"")</f>
        <v/>
      </c>
      <c r="Y795" s="23">
        <f>IFERROR(P795*SETTINGS!$C$7,"")</f>
        <v>0</v>
      </c>
      <c r="Z795" s="23">
        <f>SETTINGS!$C$11</f>
        <v>0.5</v>
      </c>
      <c r="AA795" s="23">
        <f t="shared" si="79"/>
        <v>0.5</v>
      </c>
      <c r="AB795" s="23">
        <f>IFERROR(AA795*SETTINGS!$C$9,"")</f>
        <v>2.5000000000000001E-2</v>
      </c>
      <c r="AC795" s="23">
        <f>IFERROR((AA795+AB795)*SETTINGS!$C$10,"")</f>
        <v>2.6250000000000002E-2</v>
      </c>
    </row>
    <row r="796" spans="1:29" ht="16" x14ac:dyDescent="0.2">
      <c r="A796" s="25"/>
      <c r="H796" t="str">
        <f>IFERROR(VLOOKUP(G796,FILAMENTI_DB!$A:$C,3,FALSE),"")</f>
        <v/>
      </c>
      <c r="I796" t="str">
        <f>IFERROR(VLOOKUP(G796,FILAMENTI_DB!$A:$E,4,FALSE),"")</f>
        <v/>
      </c>
      <c r="J796" s="26"/>
      <c r="K796" s="27"/>
      <c r="L796" s="27"/>
      <c r="M796" s="27">
        <f t="shared" si="74"/>
        <v>0</v>
      </c>
      <c r="N796" s="26">
        <f t="shared" si="75"/>
        <v>0</v>
      </c>
      <c r="O796" s="26"/>
      <c r="P796" s="26"/>
      <c r="Q796" s="23"/>
      <c r="R796" s="23">
        <f t="shared" si="76"/>
        <v>0</v>
      </c>
      <c r="S796" s="23"/>
      <c r="T796" s="23">
        <f t="shared" si="77"/>
        <v>0</v>
      </c>
      <c r="U796" s="28" t="str">
        <f t="shared" si="78"/>
        <v/>
      </c>
      <c r="V796" s="10" t="str">
        <f>IFERROR(N796*VLOOKUP(G796,FILAMENTI_DB!$A:$J,10,FALSE),"")</f>
        <v/>
      </c>
      <c r="W796" s="23" t="str">
        <f>IFERROR((VLOOKUP(F796,STAMPANTI_DB!$A:$C,3,FALSE)/1000)*O796*SETTINGS!$C$6,"")</f>
        <v/>
      </c>
      <c r="X796" s="23" t="str">
        <f>IFERROR(O796*VLOOKUP(F796,STAMPANTI_DB!$A:$I,9,FALSE),"")</f>
        <v/>
      </c>
      <c r="Y796" s="23">
        <f>IFERROR(P796*SETTINGS!$C$7,"")</f>
        <v>0</v>
      </c>
      <c r="Z796" s="23">
        <f>SETTINGS!$C$11</f>
        <v>0.5</v>
      </c>
      <c r="AA796" s="23">
        <f t="shared" si="79"/>
        <v>0.5</v>
      </c>
      <c r="AB796" s="23">
        <f>IFERROR(AA796*SETTINGS!$C$9,"")</f>
        <v>2.5000000000000001E-2</v>
      </c>
      <c r="AC796" s="23">
        <f>IFERROR((AA796+AB796)*SETTINGS!$C$10,"")</f>
        <v>2.6250000000000002E-2</v>
      </c>
    </row>
    <row r="797" spans="1:29" ht="16" x14ac:dyDescent="0.2">
      <c r="A797" s="25"/>
      <c r="H797" t="str">
        <f>IFERROR(VLOOKUP(G797,FILAMENTI_DB!$A:$C,3,FALSE),"")</f>
        <v/>
      </c>
      <c r="I797" t="str">
        <f>IFERROR(VLOOKUP(G797,FILAMENTI_DB!$A:$E,4,FALSE),"")</f>
        <v/>
      </c>
      <c r="J797" s="26"/>
      <c r="K797" s="27"/>
      <c r="L797" s="27"/>
      <c r="M797" s="27">
        <f t="shared" si="74"/>
        <v>0</v>
      </c>
      <c r="N797" s="26">
        <f t="shared" si="75"/>
        <v>0</v>
      </c>
      <c r="O797" s="26"/>
      <c r="P797" s="26"/>
      <c r="Q797" s="23"/>
      <c r="R797" s="23">
        <f t="shared" si="76"/>
        <v>0</v>
      </c>
      <c r="S797" s="23"/>
      <c r="T797" s="23">
        <f t="shared" si="77"/>
        <v>0</v>
      </c>
      <c r="U797" s="28" t="str">
        <f t="shared" si="78"/>
        <v/>
      </c>
      <c r="V797" s="10" t="str">
        <f>IFERROR(N797*VLOOKUP(G797,FILAMENTI_DB!$A:$J,10,FALSE),"")</f>
        <v/>
      </c>
      <c r="W797" s="23" t="str">
        <f>IFERROR((VLOOKUP(F797,STAMPANTI_DB!$A:$C,3,FALSE)/1000)*O797*SETTINGS!$C$6,"")</f>
        <v/>
      </c>
      <c r="X797" s="23" t="str">
        <f>IFERROR(O797*VLOOKUP(F797,STAMPANTI_DB!$A:$I,9,FALSE),"")</f>
        <v/>
      </c>
      <c r="Y797" s="23">
        <f>IFERROR(P797*SETTINGS!$C$7,"")</f>
        <v>0</v>
      </c>
      <c r="Z797" s="23">
        <f>SETTINGS!$C$11</f>
        <v>0.5</v>
      </c>
      <c r="AA797" s="23">
        <f t="shared" si="79"/>
        <v>0.5</v>
      </c>
      <c r="AB797" s="23">
        <f>IFERROR(AA797*SETTINGS!$C$9,"")</f>
        <v>2.5000000000000001E-2</v>
      </c>
      <c r="AC797" s="23">
        <f>IFERROR((AA797+AB797)*SETTINGS!$C$10,"")</f>
        <v>2.6250000000000002E-2</v>
      </c>
    </row>
    <row r="798" spans="1:29" ht="16" x14ac:dyDescent="0.2">
      <c r="A798" s="25"/>
      <c r="H798" t="str">
        <f>IFERROR(VLOOKUP(G798,FILAMENTI_DB!$A:$C,3,FALSE),"")</f>
        <v/>
      </c>
      <c r="I798" t="str">
        <f>IFERROR(VLOOKUP(G798,FILAMENTI_DB!$A:$E,4,FALSE),"")</f>
        <v/>
      </c>
      <c r="J798" s="26"/>
      <c r="K798" s="27"/>
      <c r="L798" s="27"/>
      <c r="M798" s="27">
        <f t="shared" si="74"/>
        <v>0</v>
      </c>
      <c r="N798" s="26">
        <f t="shared" si="75"/>
        <v>0</v>
      </c>
      <c r="O798" s="26"/>
      <c r="P798" s="26"/>
      <c r="Q798" s="23"/>
      <c r="R798" s="23">
        <f t="shared" si="76"/>
        <v>0</v>
      </c>
      <c r="S798" s="23"/>
      <c r="T798" s="23">
        <f t="shared" si="77"/>
        <v>0</v>
      </c>
      <c r="U798" s="28" t="str">
        <f t="shared" si="78"/>
        <v/>
      </c>
      <c r="V798" s="10" t="str">
        <f>IFERROR(N798*VLOOKUP(G798,FILAMENTI_DB!$A:$J,10,FALSE),"")</f>
        <v/>
      </c>
      <c r="W798" s="23" t="str">
        <f>IFERROR((VLOOKUP(F798,STAMPANTI_DB!$A:$C,3,FALSE)/1000)*O798*SETTINGS!$C$6,"")</f>
        <v/>
      </c>
      <c r="X798" s="23" t="str">
        <f>IFERROR(O798*VLOOKUP(F798,STAMPANTI_DB!$A:$I,9,FALSE),"")</f>
        <v/>
      </c>
      <c r="Y798" s="23">
        <f>IFERROR(P798*SETTINGS!$C$7,"")</f>
        <v>0</v>
      </c>
      <c r="Z798" s="23">
        <f>SETTINGS!$C$11</f>
        <v>0.5</v>
      </c>
      <c r="AA798" s="23">
        <f t="shared" si="79"/>
        <v>0.5</v>
      </c>
      <c r="AB798" s="23">
        <f>IFERROR(AA798*SETTINGS!$C$9,"")</f>
        <v>2.5000000000000001E-2</v>
      </c>
      <c r="AC798" s="23">
        <f>IFERROR((AA798+AB798)*SETTINGS!$C$10,"")</f>
        <v>2.6250000000000002E-2</v>
      </c>
    </row>
    <row r="799" spans="1:29" ht="16" x14ac:dyDescent="0.2">
      <c r="A799" s="25"/>
      <c r="H799" t="str">
        <f>IFERROR(VLOOKUP(G799,FILAMENTI_DB!$A:$C,3,FALSE),"")</f>
        <v/>
      </c>
      <c r="I799" t="str">
        <f>IFERROR(VLOOKUP(G799,FILAMENTI_DB!$A:$E,4,FALSE),"")</f>
        <v/>
      </c>
      <c r="J799" s="26"/>
      <c r="K799" s="27"/>
      <c r="L799" s="27"/>
      <c r="M799" s="27">
        <f t="shared" si="74"/>
        <v>0</v>
      </c>
      <c r="N799" s="26">
        <f t="shared" si="75"/>
        <v>0</v>
      </c>
      <c r="O799" s="26"/>
      <c r="P799" s="26"/>
      <c r="Q799" s="23"/>
      <c r="R799" s="23">
        <f t="shared" si="76"/>
        <v>0</v>
      </c>
      <c r="S799" s="23"/>
      <c r="T799" s="23">
        <f t="shared" si="77"/>
        <v>0</v>
      </c>
      <c r="U799" s="28" t="str">
        <f t="shared" si="78"/>
        <v/>
      </c>
      <c r="V799" s="10" t="str">
        <f>IFERROR(N799*VLOOKUP(G799,FILAMENTI_DB!$A:$J,10,FALSE),"")</f>
        <v/>
      </c>
      <c r="W799" s="23" t="str">
        <f>IFERROR((VLOOKUP(F799,STAMPANTI_DB!$A:$C,3,FALSE)/1000)*O799*SETTINGS!$C$6,"")</f>
        <v/>
      </c>
      <c r="X799" s="23" t="str">
        <f>IFERROR(O799*VLOOKUP(F799,STAMPANTI_DB!$A:$I,9,FALSE),"")</f>
        <v/>
      </c>
      <c r="Y799" s="23">
        <f>IFERROR(P799*SETTINGS!$C$7,"")</f>
        <v>0</v>
      </c>
      <c r="Z799" s="23">
        <f>SETTINGS!$C$11</f>
        <v>0.5</v>
      </c>
      <c r="AA799" s="23">
        <f t="shared" si="79"/>
        <v>0.5</v>
      </c>
      <c r="AB799" s="23">
        <f>IFERROR(AA799*SETTINGS!$C$9,"")</f>
        <v>2.5000000000000001E-2</v>
      </c>
      <c r="AC799" s="23">
        <f>IFERROR((AA799+AB799)*SETTINGS!$C$10,"")</f>
        <v>2.6250000000000002E-2</v>
      </c>
    </row>
    <row r="800" spans="1:29" ht="16" x14ac:dyDescent="0.2">
      <c r="A800" s="25"/>
      <c r="H800" t="str">
        <f>IFERROR(VLOOKUP(G800,FILAMENTI_DB!$A:$C,3,FALSE),"")</f>
        <v/>
      </c>
      <c r="I800" t="str">
        <f>IFERROR(VLOOKUP(G800,FILAMENTI_DB!$A:$E,4,FALSE),"")</f>
        <v/>
      </c>
      <c r="J800" s="26"/>
      <c r="K800" s="27"/>
      <c r="L800" s="27"/>
      <c r="M800" s="27">
        <f t="shared" si="74"/>
        <v>0</v>
      </c>
      <c r="N800" s="26">
        <f t="shared" si="75"/>
        <v>0</v>
      </c>
      <c r="O800" s="26"/>
      <c r="P800" s="26"/>
      <c r="Q800" s="23"/>
      <c r="R800" s="23">
        <f t="shared" si="76"/>
        <v>0</v>
      </c>
      <c r="S800" s="23"/>
      <c r="T800" s="23">
        <f t="shared" si="77"/>
        <v>0</v>
      </c>
      <c r="U800" s="28" t="str">
        <f t="shared" si="78"/>
        <v/>
      </c>
      <c r="V800" s="10" t="str">
        <f>IFERROR(N800*VLOOKUP(G800,FILAMENTI_DB!$A:$J,10,FALSE),"")</f>
        <v/>
      </c>
      <c r="W800" s="23" t="str">
        <f>IFERROR((VLOOKUP(F800,STAMPANTI_DB!$A:$C,3,FALSE)/1000)*O800*SETTINGS!$C$6,"")</f>
        <v/>
      </c>
      <c r="X800" s="23" t="str">
        <f>IFERROR(O800*VLOOKUP(F800,STAMPANTI_DB!$A:$I,9,FALSE),"")</f>
        <v/>
      </c>
      <c r="Y800" s="23">
        <f>IFERROR(P800*SETTINGS!$C$7,"")</f>
        <v>0</v>
      </c>
      <c r="Z800" s="23">
        <f>SETTINGS!$C$11</f>
        <v>0.5</v>
      </c>
      <c r="AA800" s="23">
        <f t="shared" si="79"/>
        <v>0.5</v>
      </c>
      <c r="AB800" s="23">
        <f>IFERROR(AA800*SETTINGS!$C$9,"")</f>
        <v>2.5000000000000001E-2</v>
      </c>
      <c r="AC800" s="23">
        <f>IFERROR((AA800+AB800)*SETTINGS!$C$10,"")</f>
        <v>2.6250000000000002E-2</v>
      </c>
    </row>
    <row r="801" spans="1:29" ht="16" x14ac:dyDescent="0.2">
      <c r="A801" s="25"/>
      <c r="H801" t="str">
        <f>IFERROR(VLOOKUP(G801,FILAMENTI_DB!$A:$C,3,FALSE),"")</f>
        <v/>
      </c>
      <c r="I801" t="str">
        <f>IFERROR(VLOOKUP(G801,FILAMENTI_DB!$A:$E,4,FALSE),"")</f>
        <v/>
      </c>
      <c r="J801" s="26"/>
      <c r="K801" s="27"/>
      <c r="L801" s="27"/>
      <c r="M801" s="27">
        <f t="shared" si="74"/>
        <v>0</v>
      </c>
      <c r="N801" s="26">
        <f t="shared" si="75"/>
        <v>0</v>
      </c>
      <c r="O801" s="26"/>
      <c r="P801" s="26"/>
      <c r="Q801" s="23"/>
      <c r="R801" s="23">
        <f t="shared" si="76"/>
        <v>0</v>
      </c>
      <c r="S801" s="23"/>
      <c r="T801" s="23">
        <f t="shared" si="77"/>
        <v>0</v>
      </c>
      <c r="U801" s="28" t="str">
        <f t="shared" si="78"/>
        <v/>
      </c>
      <c r="V801" s="10" t="str">
        <f>IFERROR(N801*VLOOKUP(G801,FILAMENTI_DB!$A:$J,10,FALSE),"")</f>
        <v/>
      </c>
      <c r="W801" s="23" t="str">
        <f>IFERROR((VLOOKUP(F801,STAMPANTI_DB!$A:$C,3,FALSE)/1000)*O801*SETTINGS!$C$6,"")</f>
        <v/>
      </c>
      <c r="X801" s="23" t="str">
        <f>IFERROR(O801*VLOOKUP(F801,STAMPANTI_DB!$A:$I,9,FALSE),"")</f>
        <v/>
      </c>
      <c r="Y801" s="23">
        <f>IFERROR(P801*SETTINGS!$C$7,"")</f>
        <v>0</v>
      </c>
      <c r="Z801" s="23">
        <f>SETTINGS!$C$11</f>
        <v>0.5</v>
      </c>
      <c r="AA801" s="23">
        <f t="shared" si="79"/>
        <v>0.5</v>
      </c>
      <c r="AB801" s="23">
        <f>IFERROR(AA801*SETTINGS!$C$9,"")</f>
        <v>2.5000000000000001E-2</v>
      </c>
      <c r="AC801" s="23">
        <f>IFERROR((AA801+AB801)*SETTINGS!$C$10,"")</f>
        <v>2.6250000000000002E-2</v>
      </c>
    </row>
    <row r="802" spans="1:29" ht="16" x14ac:dyDescent="0.2">
      <c r="A802" s="25"/>
      <c r="H802" t="str">
        <f>IFERROR(VLOOKUP(G802,FILAMENTI_DB!$A:$C,3,FALSE),"")</f>
        <v/>
      </c>
      <c r="I802" t="str">
        <f>IFERROR(VLOOKUP(G802,FILAMENTI_DB!$A:$E,4,FALSE),"")</f>
        <v/>
      </c>
      <c r="J802" s="26"/>
      <c r="K802" s="27"/>
      <c r="L802" s="27"/>
      <c r="M802" s="27">
        <f t="shared" si="74"/>
        <v>0</v>
      </c>
      <c r="N802" s="26">
        <f t="shared" si="75"/>
        <v>0</v>
      </c>
      <c r="O802" s="26"/>
      <c r="P802" s="26"/>
      <c r="Q802" s="23"/>
      <c r="R802" s="23">
        <f t="shared" si="76"/>
        <v>0</v>
      </c>
      <c r="S802" s="23"/>
      <c r="T802" s="23">
        <f t="shared" si="77"/>
        <v>0</v>
      </c>
      <c r="U802" s="28" t="str">
        <f t="shared" si="78"/>
        <v/>
      </c>
      <c r="V802" s="10" t="str">
        <f>IFERROR(N802*VLOOKUP(G802,FILAMENTI_DB!$A:$J,10,FALSE),"")</f>
        <v/>
      </c>
      <c r="W802" s="23" t="str">
        <f>IFERROR((VLOOKUP(F802,STAMPANTI_DB!$A:$C,3,FALSE)/1000)*O802*SETTINGS!$C$6,"")</f>
        <v/>
      </c>
      <c r="X802" s="23" t="str">
        <f>IFERROR(O802*VLOOKUP(F802,STAMPANTI_DB!$A:$I,9,FALSE),"")</f>
        <v/>
      </c>
      <c r="Y802" s="23">
        <f>IFERROR(P802*SETTINGS!$C$7,"")</f>
        <v>0</v>
      </c>
      <c r="Z802" s="23">
        <f>SETTINGS!$C$11</f>
        <v>0.5</v>
      </c>
      <c r="AA802" s="23">
        <f t="shared" si="79"/>
        <v>0.5</v>
      </c>
      <c r="AB802" s="23">
        <f>IFERROR(AA802*SETTINGS!$C$9,"")</f>
        <v>2.5000000000000001E-2</v>
      </c>
      <c r="AC802" s="23">
        <f>IFERROR((AA802+AB802)*SETTINGS!$C$10,"")</f>
        <v>2.6250000000000002E-2</v>
      </c>
    </row>
    <row r="803" spans="1:29" ht="16" x14ac:dyDescent="0.2">
      <c r="A803" s="25"/>
      <c r="H803" t="str">
        <f>IFERROR(VLOOKUP(G803,FILAMENTI_DB!$A:$C,3,FALSE),"")</f>
        <v/>
      </c>
      <c r="I803" t="str">
        <f>IFERROR(VLOOKUP(G803,FILAMENTI_DB!$A:$E,4,FALSE),"")</f>
        <v/>
      </c>
      <c r="J803" s="26"/>
      <c r="K803" s="27"/>
      <c r="L803" s="27"/>
      <c r="M803" s="27">
        <f t="shared" si="74"/>
        <v>0</v>
      </c>
      <c r="N803" s="26">
        <f t="shared" si="75"/>
        <v>0</v>
      </c>
      <c r="O803" s="26"/>
      <c r="P803" s="26"/>
      <c r="Q803" s="23"/>
      <c r="R803" s="23">
        <f t="shared" si="76"/>
        <v>0</v>
      </c>
      <c r="S803" s="23"/>
      <c r="T803" s="23">
        <f t="shared" si="77"/>
        <v>0</v>
      </c>
      <c r="U803" s="28" t="str">
        <f t="shared" si="78"/>
        <v/>
      </c>
      <c r="V803" s="10" t="str">
        <f>IFERROR(N803*VLOOKUP(G803,FILAMENTI_DB!$A:$J,10,FALSE),"")</f>
        <v/>
      </c>
      <c r="W803" s="23" t="str">
        <f>IFERROR((VLOOKUP(F803,STAMPANTI_DB!$A:$C,3,FALSE)/1000)*O803*SETTINGS!$C$6,"")</f>
        <v/>
      </c>
      <c r="X803" s="23" t="str">
        <f>IFERROR(O803*VLOOKUP(F803,STAMPANTI_DB!$A:$I,9,FALSE),"")</f>
        <v/>
      </c>
      <c r="Y803" s="23">
        <f>IFERROR(P803*SETTINGS!$C$7,"")</f>
        <v>0</v>
      </c>
      <c r="Z803" s="23">
        <f>SETTINGS!$C$11</f>
        <v>0.5</v>
      </c>
      <c r="AA803" s="23">
        <f t="shared" si="79"/>
        <v>0.5</v>
      </c>
      <c r="AB803" s="23">
        <f>IFERROR(AA803*SETTINGS!$C$9,"")</f>
        <v>2.5000000000000001E-2</v>
      </c>
      <c r="AC803" s="23">
        <f>IFERROR((AA803+AB803)*SETTINGS!$C$10,"")</f>
        <v>2.6250000000000002E-2</v>
      </c>
    </row>
    <row r="804" spans="1:29" ht="16" x14ac:dyDescent="0.2">
      <c r="A804" s="25"/>
      <c r="H804" t="str">
        <f>IFERROR(VLOOKUP(G804,FILAMENTI_DB!$A:$C,3,FALSE),"")</f>
        <v/>
      </c>
      <c r="I804" t="str">
        <f>IFERROR(VLOOKUP(G804,FILAMENTI_DB!$A:$E,4,FALSE),"")</f>
        <v/>
      </c>
      <c r="J804" s="26"/>
      <c r="K804" s="27"/>
      <c r="L804" s="27"/>
      <c r="M804" s="27">
        <f t="shared" si="74"/>
        <v>0</v>
      </c>
      <c r="N804" s="26">
        <f t="shared" si="75"/>
        <v>0</v>
      </c>
      <c r="O804" s="26"/>
      <c r="P804" s="26"/>
      <c r="Q804" s="23"/>
      <c r="R804" s="23">
        <f t="shared" si="76"/>
        <v>0</v>
      </c>
      <c r="S804" s="23"/>
      <c r="T804" s="23">
        <f t="shared" si="77"/>
        <v>0</v>
      </c>
      <c r="U804" s="28" t="str">
        <f t="shared" si="78"/>
        <v/>
      </c>
      <c r="V804" s="10" t="str">
        <f>IFERROR(N804*VLOOKUP(G804,FILAMENTI_DB!$A:$J,10,FALSE),"")</f>
        <v/>
      </c>
      <c r="W804" s="23" t="str">
        <f>IFERROR((VLOOKUP(F804,STAMPANTI_DB!$A:$C,3,FALSE)/1000)*O804*SETTINGS!$C$6,"")</f>
        <v/>
      </c>
      <c r="X804" s="23" t="str">
        <f>IFERROR(O804*VLOOKUP(F804,STAMPANTI_DB!$A:$I,9,FALSE),"")</f>
        <v/>
      </c>
      <c r="Y804" s="23">
        <f>IFERROR(P804*SETTINGS!$C$7,"")</f>
        <v>0</v>
      </c>
      <c r="Z804" s="23">
        <f>SETTINGS!$C$11</f>
        <v>0.5</v>
      </c>
      <c r="AA804" s="23">
        <f t="shared" si="79"/>
        <v>0.5</v>
      </c>
      <c r="AB804" s="23">
        <f>IFERROR(AA804*SETTINGS!$C$9,"")</f>
        <v>2.5000000000000001E-2</v>
      </c>
      <c r="AC804" s="23">
        <f>IFERROR((AA804+AB804)*SETTINGS!$C$10,"")</f>
        <v>2.6250000000000002E-2</v>
      </c>
    </row>
    <row r="805" spans="1:29" ht="16" x14ac:dyDescent="0.2">
      <c r="A805" s="25"/>
      <c r="H805" t="str">
        <f>IFERROR(VLOOKUP(G805,FILAMENTI_DB!$A:$C,3,FALSE),"")</f>
        <v/>
      </c>
      <c r="I805" t="str">
        <f>IFERROR(VLOOKUP(G805,FILAMENTI_DB!$A:$E,4,FALSE),"")</f>
        <v/>
      </c>
      <c r="J805" s="26"/>
      <c r="K805" s="27"/>
      <c r="L805" s="27"/>
      <c r="M805" s="27">
        <f t="shared" si="74"/>
        <v>0</v>
      </c>
      <c r="N805" s="26">
        <f t="shared" si="75"/>
        <v>0</v>
      </c>
      <c r="O805" s="26"/>
      <c r="P805" s="26"/>
      <c r="Q805" s="23"/>
      <c r="R805" s="23">
        <f t="shared" si="76"/>
        <v>0</v>
      </c>
      <c r="S805" s="23"/>
      <c r="T805" s="23">
        <f t="shared" si="77"/>
        <v>0</v>
      </c>
      <c r="U805" s="28" t="str">
        <f t="shared" si="78"/>
        <v/>
      </c>
      <c r="V805" s="10" t="str">
        <f>IFERROR(N805*VLOOKUP(G805,FILAMENTI_DB!$A:$J,10,FALSE),"")</f>
        <v/>
      </c>
      <c r="W805" s="23" t="str">
        <f>IFERROR((VLOOKUP(F805,STAMPANTI_DB!$A:$C,3,FALSE)/1000)*O805*SETTINGS!$C$6,"")</f>
        <v/>
      </c>
      <c r="X805" s="23" t="str">
        <f>IFERROR(O805*VLOOKUP(F805,STAMPANTI_DB!$A:$I,9,FALSE),"")</f>
        <v/>
      </c>
      <c r="Y805" s="23">
        <f>IFERROR(P805*SETTINGS!$C$7,"")</f>
        <v>0</v>
      </c>
      <c r="Z805" s="23">
        <f>SETTINGS!$C$11</f>
        <v>0.5</v>
      </c>
      <c r="AA805" s="23">
        <f t="shared" si="79"/>
        <v>0.5</v>
      </c>
      <c r="AB805" s="23">
        <f>IFERROR(AA805*SETTINGS!$C$9,"")</f>
        <v>2.5000000000000001E-2</v>
      </c>
      <c r="AC805" s="23">
        <f>IFERROR((AA805+AB805)*SETTINGS!$C$10,"")</f>
        <v>2.6250000000000002E-2</v>
      </c>
    </row>
    <row r="806" spans="1:29" ht="16" x14ac:dyDescent="0.2">
      <c r="A806" s="25"/>
      <c r="H806" t="str">
        <f>IFERROR(VLOOKUP(G806,FILAMENTI_DB!$A:$C,3,FALSE),"")</f>
        <v/>
      </c>
      <c r="I806" t="str">
        <f>IFERROR(VLOOKUP(G806,FILAMENTI_DB!$A:$E,4,FALSE),"")</f>
        <v/>
      </c>
      <c r="J806" s="26"/>
      <c r="K806" s="27"/>
      <c r="L806" s="27"/>
      <c r="M806" s="27">
        <f t="shared" si="74"/>
        <v>0</v>
      </c>
      <c r="N806" s="26">
        <f t="shared" si="75"/>
        <v>0</v>
      </c>
      <c r="O806" s="26"/>
      <c r="P806" s="26"/>
      <c r="Q806" s="23"/>
      <c r="R806" s="23">
        <f t="shared" si="76"/>
        <v>0</v>
      </c>
      <c r="S806" s="23"/>
      <c r="T806" s="23">
        <f t="shared" si="77"/>
        <v>0</v>
      </c>
      <c r="U806" s="28" t="str">
        <f t="shared" si="78"/>
        <v/>
      </c>
      <c r="V806" s="10" t="str">
        <f>IFERROR(N806*VLOOKUP(G806,FILAMENTI_DB!$A:$J,10,FALSE),"")</f>
        <v/>
      </c>
      <c r="W806" s="23" t="str">
        <f>IFERROR((VLOOKUP(F806,STAMPANTI_DB!$A:$C,3,FALSE)/1000)*O806*SETTINGS!$C$6,"")</f>
        <v/>
      </c>
      <c r="X806" s="23" t="str">
        <f>IFERROR(O806*VLOOKUP(F806,STAMPANTI_DB!$A:$I,9,FALSE),"")</f>
        <v/>
      </c>
      <c r="Y806" s="23">
        <f>IFERROR(P806*SETTINGS!$C$7,"")</f>
        <v>0</v>
      </c>
      <c r="Z806" s="23">
        <f>SETTINGS!$C$11</f>
        <v>0.5</v>
      </c>
      <c r="AA806" s="23">
        <f t="shared" si="79"/>
        <v>0.5</v>
      </c>
      <c r="AB806" s="23">
        <f>IFERROR(AA806*SETTINGS!$C$9,"")</f>
        <v>2.5000000000000001E-2</v>
      </c>
      <c r="AC806" s="23">
        <f>IFERROR((AA806+AB806)*SETTINGS!$C$10,"")</f>
        <v>2.6250000000000002E-2</v>
      </c>
    </row>
    <row r="807" spans="1:29" ht="16" x14ac:dyDescent="0.2">
      <c r="A807" s="25"/>
      <c r="H807" t="str">
        <f>IFERROR(VLOOKUP(G807,FILAMENTI_DB!$A:$C,3,FALSE),"")</f>
        <v/>
      </c>
      <c r="I807" t="str">
        <f>IFERROR(VLOOKUP(G807,FILAMENTI_DB!$A:$E,4,FALSE),"")</f>
        <v/>
      </c>
      <c r="J807" s="26"/>
      <c r="K807" s="27"/>
      <c r="L807" s="27"/>
      <c r="M807" s="27">
        <f t="shared" si="74"/>
        <v>0</v>
      </c>
      <c r="N807" s="26">
        <f t="shared" si="75"/>
        <v>0</v>
      </c>
      <c r="O807" s="26"/>
      <c r="P807" s="26"/>
      <c r="Q807" s="23"/>
      <c r="R807" s="23">
        <f t="shared" si="76"/>
        <v>0</v>
      </c>
      <c r="S807" s="23"/>
      <c r="T807" s="23">
        <f t="shared" si="77"/>
        <v>0</v>
      </c>
      <c r="U807" s="28" t="str">
        <f t="shared" si="78"/>
        <v/>
      </c>
      <c r="V807" s="10" t="str">
        <f>IFERROR(N807*VLOOKUP(G807,FILAMENTI_DB!$A:$J,10,FALSE),"")</f>
        <v/>
      </c>
      <c r="W807" s="23" t="str">
        <f>IFERROR((VLOOKUP(F807,STAMPANTI_DB!$A:$C,3,FALSE)/1000)*O807*SETTINGS!$C$6,"")</f>
        <v/>
      </c>
      <c r="X807" s="23" t="str">
        <f>IFERROR(O807*VLOOKUP(F807,STAMPANTI_DB!$A:$I,9,FALSE),"")</f>
        <v/>
      </c>
      <c r="Y807" s="23">
        <f>IFERROR(P807*SETTINGS!$C$7,"")</f>
        <v>0</v>
      </c>
      <c r="Z807" s="23">
        <f>SETTINGS!$C$11</f>
        <v>0.5</v>
      </c>
      <c r="AA807" s="23">
        <f t="shared" si="79"/>
        <v>0.5</v>
      </c>
      <c r="AB807" s="23">
        <f>IFERROR(AA807*SETTINGS!$C$9,"")</f>
        <v>2.5000000000000001E-2</v>
      </c>
      <c r="AC807" s="23">
        <f>IFERROR((AA807+AB807)*SETTINGS!$C$10,"")</f>
        <v>2.6250000000000002E-2</v>
      </c>
    </row>
    <row r="808" spans="1:29" ht="16" x14ac:dyDescent="0.2">
      <c r="A808" s="25"/>
      <c r="H808" t="str">
        <f>IFERROR(VLOOKUP(G808,FILAMENTI_DB!$A:$C,3,FALSE),"")</f>
        <v/>
      </c>
      <c r="I808" t="str">
        <f>IFERROR(VLOOKUP(G808,FILAMENTI_DB!$A:$E,4,FALSE),"")</f>
        <v/>
      </c>
      <c r="J808" s="26"/>
      <c r="K808" s="27"/>
      <c r="L808" s="27"/>
      <c r="M808" s="27">
        <f t="shared" si="74"/>
        <v>0</v>
      </c>
      <c r="N808" s="26">
        <f t="shared" si="75"/>
        <v>0</v>
      </c>
      <c r="O808" s="26"/>
      <c r="P808" s="26"/>
      <c r="Q808" s="23"/>
      <c r="R808" s="23">
        <f t="shared" si="76"/>
        <v>0</v>
      </c>
      <c r="S808" s="23"/>
      <c r="T808" s="23">
        <f t="shared" si="77"/>
        <v>0</v>
      </c>
      <c r="U808" s="28" t="str">
        <f t="shared" si="78"/>
        <v/>
      </c>
      <c r="V808" s="10" t="str">
        <f>IFERROR(N808*VLOOKUP(G808,FILAMENTI_DB!$A:$J,10,FALSE),"")</f>
        <v/>
      </c>
      <c r="W808" s="23" t="str">
        <f>IFERROR((VLOOKUP(F808,STAMPANTI_DB!$A:$C,3,FALSE)/1000)*O808*SETTINGS!$C$6,"")</f>
        <v/>
      </c>
      <c r="X808" s="23" t="str">
        <f>IFERROR(O808*VLOOKUP(F808,STAMPANTI_DB!$A:$I,9,FALSE),"")</f>
        <v/>
      </c>
      <c r="Y808" s="23">
        <f>IFERROR(P808*SETTINGS!$C$7,"")</f>
        <v>0</v>
      </c>
      <c r="Z808" s="23">
        <f>SETTINGS!$C$11</f>
        <v>0.5</v>
      </c>
      <c r="AA808" s="23">
        <f t="shared" si="79"/>
        <v>0.5</v>
      </c>
      <c r="AB808" s="23">
        <f>IFERROR(AA808*SETTINGS!$C$9,"")</f>
        <v>2.5000000000000001E-2</v>
      </c>
      <c r="AC808" s="23">
        <f>IFERROR((AA808+AB808)*SETTINGS!$C$10,"")</f>
        <v>2.6250000000000002E-2</v>
      </c>
    </row>
    <row r="809" spans="1:29" ht="16" x14ac:dyDescent="0.2">
      <c r="A809" s="25"/>
      <c r="H809" t="str">
        <f>IFERROR(VLOOKUP(G809,FILAMENTI_DB!$A:$C,3,FALSE),"")</f>
        <v/>
      </c>
      <c r="I809" t="str">
        <f>IFERROR(VLOOKUP(G809,FILAMENTI_DB!$A:$E,4,FALSE),"")</f>
        <v/>
      </c>
      <c r="J809" s="26"/>
      <c r="K809" s="27"/>
      <c r="L809" s="27"/>
      <c r="M809" s="27">
        <f t="shared" si="74"/>
        <v>0</v>
      </c>
      <c r="N809" s="26">
        <f t="shared" si="75"/>
        <v>0</v>
      </c>
      <c r="O809" s="26"/>
      <c r="P809" s="26"/>
      <c r="Q809" s="23"/>
      <c r="R809" s="23">
        <f t="shared" si="76"/>
        <v>0</v>
      </c>
      <c r="S809" s="23"/>
      <c r="T809" s="23">
        <f t="shared" si="77"/>
        <v>0</v>
      </c>
      <c r="U809" s="28" t="str">
        <f t="shared" si="78"/>
        <v/>
      </c>
      <c r="V809" s="10" t="str">
        <f>IFERROR(N809*VLOOKUP(G809,FILAMENTI_DB!$A:$J,10,FALSE),"")</f>
        <v/>
      </c>
      <c r="W809" s="23" t="str">
        <f>IFERROR((VLOOKUP(F809,STAMPANTI_DB!$A:$C,3,FALSE)/1000)*O809*SETTINGS!$C$6,"")</f>
        <v/>
      </c>
      <c r="X809" s="23" t="str">
        <f>IFERROR(O809*VLOOKUP(F809,STAMPANTI_DB!$A:$I,9,FALSE),"")</f>
        <v/>
      </c>
      <c r="Y809" s="23">
        <f>IFERROR(P809*SETTINGS!$C$7,"")</f>
        <v>0</v>
      </c>
      <c r="Z809" s="23">
        <f>SETTINGS!$C$11</f>
        <v>0.5</v>
      </c>
      <c r="AA809" s="23">
        <f t="shared" si="79"/>
        <v>0.5</v>
      </c>
      <c r="AB809" s="23">
        <f>IFERROR(AA809*SETTINGS!$C$9,"")</f>
        <v>2.5000000000000001E-2</v>
      </c>
      <c r="AC809" s="23">
        <f>IFERROR((AA809+AB809)*SETTINGS!$C$10,"")</f>
        <v>2.6250000000000002E-2</v>
      </c>
    </row>
    <row r="810" spans="1:29" ht="16" x14ac:dyDescent="0.2">
      <c r="A810" s="25"/>
      <c r="H810" t="str">
        <f>IFERROR(VLOOKUP(G810,FILAMENTI_DB!$A:$C,3,FALSE),"")</f>
        <v/>
      </c>
      <c r="I810" t="str">
        <f>IFERROR(VLOOKUP(G810,FILAMENTI_DB!$A:$E,4,FALSE),"")</f>
        <v/>
      </c>
      <c r="J810" s="26"/>
      <c r="K810" s="27"/>
      <c r="L810" s="27"/>
      <c r="M810" s="27">
        <f t="shared" si="74"/>
        <v>0</v>
      </c>
      <c r="N810" s="26">
        <f t="shared" si="75"/>
        <v>0</v>
      </c>
      <c r="O810" s="26"/>
      <c r="P810" s="26"/>
      <c r="Q810" s="23"/>
      <c r="R810" s="23">
        <f t="shared" si="76"/>
        <v>0</v>
      </c>
      <c r="S810" s="23"/>
      <c r="T810" s="23">
        <f t="shared" si="77"/>
        <v>0</v>
      </c>
      <c r="U810" s="28" t="str">
        <f t="shared" si="78"/>
        <v/>
      </c>
      <c r="V810" s="10" t="str">
        <f>IFERROR(N810*VLOOKUP(G810,FILAMENTI_DB!$A:$J,10,FALSE),"")</f>
        <v/>
      </c>
      <c r="W810" s="23" t="str">
        <f>IFERROR((VLOOKUP(F810,STAMPANTI_DB!$A:$C,3,FALSE)/1000)*O810*SETTINGS!$C$6,"")</f>
        <v/>
      </c>
      <c r="X810" s="23" t="str">
        <f>IFERROR(O810*VLOOKUP(F810,STAMPANTI_DB!$A:$I,9,FALSE),"")</f>
        <v/>
      </c>
      <c r="Y810" s="23">
        <f>IFERROR(P810*SETTINGS!$C$7,"")</f>
        <v>0</v>
      </c>
      <c r="Z810" s="23">
        <f>SETTINGS!$C$11</f>
        <v>0.5</v>
      </c>
      <c r="AA810" s="23">
        <f t="shared" si="79"/>
        <v>0.5</v>
      </c>
      <c r="AB810" s="23">
        <f>IFERROR(AA810*SETTINGS!$C$9,"")</f>
        <v>2.5000000000000001E-2</v>
      </c>
      <c r="AC810" s="23">
        <f>IFERROR((AA810+AB810)*SETTINGS!$C$10,"")</f>
        <v>2.6250000000000002E-2</v>
      </c>
    </row>
    <row r="811" spans="1:29" ht="16" x14ac:dyDescent="0.2">
      <c r="A811" s="25"/>
      <c r="H811" t="str">
        <f>IFERROR(VLOOKUP(G811,FILAMENTI_DB!$A:$C,3,FALSE),"")</f>
        <v/>
      </c>
      <c r="I811" t="str">
        <f>IFERROR(VLOOKUP(G811,FILAMENTI_DB!$A:$E,4,FALSE),"")</f>
        <v/>
      </c>
      <c r="J811" s="26"/>
      <c r="K811" s="27"/>
      <c r="L811" s="27"/>
      <c r="M811" s="27">
        <f t="shared" si="74"/>
        <v>0</v>
      </c>
      <c r="N811" s="26">
        <f t="shared" si="75"/>
        <v>0</v>
      </c>
      <c r="O811" s="26"/>
      <c r="P811" s="26"/>
      <c r="Q811" s="23"/>
      <c r="R811" s="23">
        <f t="shared" si="76"/>
        <v>0</v>
      </c>
      <c r="S811" s="23"/>
      <c r="T811" s="23">
        <f t="shared" si="77"/>
        <v>0</v>
      </c>
      <c r="U811" s="28" t="str">
        <f t="shared" si="78"/>
        <v/>
      </c>
      <c r="V811" s="10" t="str">
        <f>IFERROR(N811*VLOOKUP(G811,FILAMENTI_DB!$A:$J,10,FALSE),"")</f>
        <v/>
      </c>
      <c r="W811" s="23" t="str">
        <f>IFERROR((VLOOKUP(F811,STAMPANTI_DB!$A:$C,3,FALSE)/1000)*O811*SETTINGS!$C$6,"")</f>
        <v/>
      </c>
      <c r="X811" s="23" t="str">
        <f>IFERROR(O811*VLOOKUP(F811,STAMPANTI_DB!$A:$I,9,FALSE),"")</f>
        <v/>
      </c>
      <c r="Y811" s="23">
        <f>IFERROR(P811*SETTINGS!$C$7,"")</f>
        <v>0</v>
      </c>
      <c r="Z811" s="23">
        <f>SETTINGS!$C$11</f>
        <v>0.5</v>
      </c>
      <c r="AA811" s="23">
        <f t="shared" si="79"/>
        <v>0.5</v>
      </c>
      <c r="AB811" s="23">
        <f>IFERROR(AA811*SETTINGS!$C$9,"")</f>
        <v>2.5000000000000001E-2</v>
      </c>
      <c r="AC811" s="23">
        <f>IFERROR((AA811+AB811)*SETTINGS!$C$10,"")</f>
        <v>2.6250000000000002E-2</v>
      </c>
    </row>
    <row r="812" spans="1:29" ht="16" x14ac:dyDescent="0.2">
      <c r="A812" s="25"/>
      <c r="H812" t="str">
        <f>IFERROR(VLOOKUP(G812,FILAMENTI_DB!$A:$C,3,FALSE),"")</f>
        <v/>
      </c>
      <c r="I812" t="str">
        <f>IFERROR(VLOOKUP(G812,FILAMENTI_DB!$A:$E,4,FALSE),"")</f>
        <v/>
      </c>
      <c r="J812" s="26"/>
      <c r="K812" s="27"/>
      <c r="L812" s="27"/>
      <c r="M812" s="27">
        <f t="shared" si="74"/>
        <v>0</v>
      </c>
      <c r="N812" s="26">
        <f t="shared" si="75"/>
        <v>0</v>
      </c>
      <c r="O812" s="26"/>
      <c r="P812" s="26"/>
      <c r="Q812" s="23"/>
      <c r="R812" s="23">
        <f t="shared" si="76"/>
        <v>0</v>
      </c>
      <c r="S812" s="23"/>
      <c r="T812" s="23">
        <f t="shared" si="77"/>
        <v>0</v>
      </c>
      <c r="U812" s="28" t="str">
        <f t="shared" si="78"/>
        <v/>
      </c>
      <c r="V812" s="10" t="str">
        <f>IFERROR(N812*VLOOKUP(G812,FILAMENTI_DB!$A:$J,10,FALSE),"")</f>
        <v/>
      </c>
      <c r="W812" s="23" t="str">
        <f>IFERROR((VLOOKUP(F812,STAMPANTI_DB!$A:$C,3,FALSE)/1000)*O812*SETTINGS!$C$6,"")</f>
        <v/>
      </c>
      <c r="X812" s="23" t="str">
        <f>IFERROR(O812*VLOOKUP(F812,STAMPANTI_DB!$A:$I,9,FALSE),"")</f>
        <v/>
      </c>
      <c r="Y812" s="23">
        <f>IFERROR(P812*SETTINGS!$C$7,"")</f>
        <v>0</v>
      </c>
      <c r="Z812" s="23">
        <f>SETTINGS!$C$11</f>
        <v>0.5</v>
      </c>
      <c r="AA812" s="23">
        <f t="shared" si="79"/>
        <v>0.5</v>
      </c>
      <c r="AB812" s="23">
        <f>IFERROR(AA812*SETTINGS!$C$9,"")</f>
        <v>2.5000000000000001E-2</v>
      </c>
      <c r="AC812" s="23">
        <f>IFERROR((AA812+AB812)*SETTINGS!$C$10,"")</f>
        <v>2.6250000000000002E-2</v>
      </c>
    </row>
    <row r="813" spans="1:29" ht="16" x14ac:dyDescent="0.2">
      <c r="A813" s="25"/>
      <c r="H813" t="str">
        <f>IFERROR(VLOOKUP(G813,FILAMENTI_DB!$A:$C,3,FALSE),"")</f>
        <v/>
      </c>
      <c r="I813" t="str">
        <f>IFERROR(VLOOKUP(G813,FILAMENTI_DB!$A:$E,4,FALSE),"")</f>
        <v/>
      </c>
      <c r="J813" s="26"/>
      <c r="K813" s="27"/>
      <c r="L813" s="27"/>
      <c r="M813" s="27">
        <f t="shared" si="74"/>
        <v>0</v>
      </c>
      <c r="N813" s="26">
        <f t="shared" si="75"/>
        <v>0</v>
      </c>
      <c r="O813" s="26"/>
      <c r="P813" s="26"/>
      <c r="Q813" s="23"/>
      <c r="R813" s="23">
        <f t="shared" si="76"/>
        <v>0</v>
      </c>
      <c r="S813" s="23"/>
      <c r="T813" s="23">
        <f t="shared" si="77"/>
        <v>0</v>
      </c>
      <c r="U813" s="28" t="str">
        <f t="shared" si="78"/>
        <v/>
      </c>
      <c r="V813" s="10" t="str">
        <f>IFERROR(N813*VLOOKUP(G813,FILAMENTI_DB!$A:$J,10,FALSE),"")</f>
        <v/>
      </c>
      <c r="W813" s="23" t="str">
        <f>IFERROR((VLOOKUP(F813,STAMPANTI_DB!$A:$C,3,FALSE)/1000)*O813*SETTINGS!$C$6,"")</f>
        <v/>
      </c>
      <c r="X813" s="23" t="str">
        <f>IFERROR(O813*VLOOKUP(F813,STAMPANTI_DB!$A:$I,9,FALSE),"")</f>
        <v/>
      </c>
      <c r="Y813" s="23">
        <f>IFERROR(P813*SETTINGS!$C$7,"")</f>
        <v>0</v>
      </c>
      <c r="Z813" s="23">
        <f>SETTINGS!$C$11</f>
        <v>0.5</v>
      </c>
      <c r="AA813" s="23">
        <f t="shared" si="79"/>
        <v>0.5</v>
      </c>
      <c r="AB813" s="23">
        <f>IFERROR(AA813*SETTINGS!$C$9,"")</f>
        <v>2.5000000000000001E-2</v>
      </c>
      <c r="AC813" s="23">
        <f>IFERROR((AA813+AB813)*SETTINGS!$C$10,"")</f>
        <v>2.6250000000000002E-2</v>
      </c>
    </row>
    <row r="814" spans="1:29" ht="16" x14ac:dyDescent="0.2">
      <c r="A814" s="25"/>
      <c r="H814" t="str">
        <f>IFERROR(VLOOKUP(G814,FILAMENTI_DB!$A:$C,3,FALSE),"")</f>
        <v/>
      </c>
      <c r="I814" t="str">
        <f>IFERROR(VLOOKUP(G814,FILAMENTI_DB!$A:$E,4,FALSE),"")</f>
        <v/>
      </c>
      <c r="J814" s="26"/>
      <c r="K814" s="27"/>
      <c r="L814" s="27"/>
      <c r="M814" s="27">
        <f t="shared" si="74"/>
        <v>0</v>
      </c>
      <c r="N814" s="26">
        <f t="shared" si="75"/>
        <v>0</v>
      </c>
      <c r="O814" s="26"/>
      <c r="P814" s="26"/>
      <c r="Q814" s="23"/>
      <c r="R814" s="23">
        <f t="shared" si="76"/>
        <v>0</v>
      </c>
      <c r="S814" s="23"/>
      <c r="T814" s="23">
        <f t="shared" si="77"/>
        <v>0</v>
      </c>
      <c r="U814" s="28" t="str">
        <f t="shared" si="78"/>
        <v/>
      </c>
      <c r="V814" s="10" t="str">
        <f>IFERROR(N814*VLOOKUP(G814,FILAMENTI_DB!$A:$J,10,FALSE),"")</f>
        <v/>
      </c>
      <c r="W814" s="23" t="str">
        <f>IFERROR((VLOOKUP(F814,STAMPANTI_DB!$A:$C,3,FALSE)/1000)*O814*SETTINGS!$C$6,"")</f>
        <v/>
      </c>
      <c r="X814" s="23" t="str">
        <f>IFERROR(O814*VLOOKUP(F814,STAMPANTI_DB!$A:$I,9,FALSE),"")</f>
        <v/>
      </c>
      <c r="Y814" s="23">
        <f>IFERROR(P814*SETTINGS!$C$7,"")</f>
        <v>0</v>
      </c>
      <c r="Z814" s="23">
        <f>SETTINGS!$C$11</f>
        <v>0.5</v>
      </c>
      <c r="AA814" s="23">
        <f t="shared" si="79"/>
        <v>0.5</v>
      </c>
      <c r="AB814" s="23">
        <f>IFERROR(AA814*SETTINGS!$C$9,"")</f>
        <v>2.5000000000000001E-2</v>
      </c>
      <c r="AC814" s="23">
        <f>IFERROR((AA814+AB814)*SETTINGS!$C$10,"")</f>
        <v>2.6250000000000002E-2</v>
      </c>
    </row>
    <row r="815" spans="1:29" ht="16" x14ac:dyDescent="0.2">
      <c r="A815" s="25"/>
      <c r="H815" t="str">
        <f>IFERROR(VLOOKUP(G815,FILAMENTI_DB!$A:$C,3,FALSE),"")</f>
        <v/>
      </c>
      <c r="I815" t="str">
        <f>IFERROR(VLOOKUP(G815,FILAMENTI_DB!$A:$E,4,FALSE),"")</f>
        <v/>
      </c>
      <c r="J815" s="26"/>
      <c r="K815" s="27"/>
      <c r="L815" s="27"/>
      <c r="M815" s="27">
        <f t="shared" si="74"/>
        <v>0</v>
      </c>
      <c r="N815" s="26">
        <f t="shared" si="75"/>
        <v>0</v>
      </c>
      <c r="O815" s="26"/>
      <c r="P815" s="26"/>
      <c r="Q815" s="23"/>
      <c r="R815" s="23">
        <f t="shared" si="76"/>
        <v>0</v>
      </c>
      <c r="S815" s="23"/>
      <c r="T815" s="23">
        <f t="shared" si="77"/>
        <v>0</v>
      </c>
      <c r="U815" s="28" t="str">
        <f t="shared" si="78"/>
        <v/>
      </c>
      <c r="V815" s="10" t="str">
        <f>IFERROR(N815*VLOOKUP(G815,FILAMENTI_DB!$A:$J,10,FALSE),"")</f>
        <v/>
      </c>
      <c r="W815" s="23" t="str">
        <f>IFERROR((VLOOKUP(F815,STAMPANTI_DB!$A:$C,3,FALSE)/1000)*O815*SETTINGS!$C$6,"")</f>
        <v/>
      </c>
      <c r="X815" s="23" t="str">
        <f>IFERROR(O815*VLOOKUP(F815,STAMPANTI_DB!$A:$I,9,FALSE),"")</f>
        <v/>
      </c>
      <c r="Y815" s="23">
        <f>IFERROR(P815*SETTINGS!$C$7,"")</f>
        <v>0</v>
      </c>
      <c r="Z815" s="23">
        <f>SETTINGS!$C$11</f>
        <v>0.5</v>
      </c>
      <c r="AA815" s="23">
        <f t="shared" si="79"/>
        <v>0.5</v>
      </c>
      <c r="AB815" s="23">
        <f>IFERROR(AA815*SETTINGS!$C$9,"")</f>
        <v>2.5000000000000001E-2</v>
      </c>
      <c r="AC815" s="23">
        <f>IFERROR((AA815+AB815)*SETTINGS!$C$10,"")</f>
        <v>2.6250000000000002E-2</v>
      </c>
    </row>
    <row r="816" spans="1:29" ht="16" x14ac:dyDescent="0.2">
      <c r="A816" s="25"/>
      <c r="H816" t="str">
        <f>IFERROR(VLOOKUP(G816,FILAMENTI_DB!$A:$C,3,FALSE),"")</f>
        <v/>
      </c>
      <c r="I816" t="str">
        <f>IFERROR(VLOOKUP(G816,FILAMENTI_DB!$A:$E,4,FALSE),"")</f>
        <v/>
      </c>
      <c r="J816" s="26"/>
      <c r="K816" s="27"/>
      <c r="L816" s="27"/>
      <c r="M816" s="27">
        <f t="shared" si="74"/>
        <v>0</v>
      </c>
      <c r="N816" s="26">
        <f t="shared" si="75"/>
        <v>0</v>
      </c>
      <c r="O816" s="26"/>
      <c r="P816" s="26"/>
      <c r="Q816" s="23"/>
      <c r="R816" s="23">
        <f t="shared" si="76"/>
        <v>0</v>
      </c>
      <c r="S816" s="23"/>
      <c r="T816" s="23">
        <f t="shared" si="77"/>
        <v>0</v>
      </c>
      <c r="U816" s="28" t="str">
        <f t="shared" si="78"/>
        <v/>
      </c>
      <c r="V816" s="10" t="str">
        <f>IFERROR(N816*VLOOKUP(G816,FILAMENTI_DB!$A:$J,10,FALSE),"")</f>
        <v/>
      </c>
      <c r="W816" s="23" t="str">
        <f>IFERROR((VLOOKUP(F816,STAMPANTI_DB!$A:$C,3,FALSE)/1000)*O816*SETTINGS!$C$6,"")</f>
        <v/>
      </c>
      <c r="X816" s="23" t="str">
        <f>IFERROR(O816*VLOOKUP(F816,STAMPANTI_DB!$A:$I,9,FALSE),"")</f>
        <v/>
      </c>
      <c r="Y816" s="23">
        <f>IFERROR(P816*SETTINGS!$C$7,"")</f>
        <v>0</v>
      </c>
      <c r="Z816" s="23">
        <f>SETTINGS!$C$11</f>
        <v>0.5</v>
      </c>
      <c r="AA816" s="23">
        <f t="shared" si="79"/>
        <v>0.5</v>
      </c>
      <c r="AB816" s="23">
        <f>IFERROR(AA816*SETTINGS!$C$9,"")</f>
        <v>2.5000000000000001E-2</v>
      </c>
      <c r="AC816" s="23">
        <f>IFERROR((AA816+AB816)*SETTINGS!$C$10,"")</f>
        <v>2.6250000000000002E-2</v>
      </c>
    </row>
    <row r="817" spans="1:29" ht="16" x14ac:dyDescent="0.2">
      <c r="A817" s="25"/>
      <c r="H817" t="str">
        <f>IFERROR(VLOOKUP(G817,FILAMENTI_DB!$A:$C,3,FALSE),"")</f>
        <v/>
      </c>
      <c r="I817" t="str">
        <f>IFERROR(VLOOKUP(G817,FILAMENTI_DB!$A:$E,4,FALSE),"")</f>
        <v/>
      </c>
      <c r="J817" s="26"/>
      <c r="K817" s="27"/>
      <c r="L817" s="27"/>
      <c r="M817" s="27">
        <f t="shared" si="74"/>
        <v>0</v>
      </c>
      <c r="N817" s="26">
        <f t="shared" si="75"/>
        <v>0</v>
      </c>
      <c r="O817" s="26"/>
      <c r="P817" s="26"/>
      <c r="Q817" s="23"/>
      <c r="R817" s="23">
        <f t="shared" si="76"/>
        <v>0</v>
      </c>
      <c r="S817" s="23"/>
      <c r="T817" s="23">
        <f t="shared" si="77"/>
        <v>0</v>
      </c>
      <c r="U817" s="28" t="str">
        <f t="shared" si="78"/>
        <v/>
      </c>
      <c r="V817" s="10" t="str">
        <f>IFERROR(N817*VLOOKUP(G817,FILAMENTI_DB!$A:$J,10,FALSE),"")</f>
        <v/>
      </c>
      <c r="W817" s="23" t="str">
        <f>IFERROR((VLOOKUP(F817,STAMPANTI_DB!$A:$C,3,FALSE)/1000)*O817*SETTINGS!$C$6,"")</f>
        <v/>
      </c>
      <c r="X817" s="23" t="str">
        <f>IFERROR(O817*VLOOKUP(F817,STAMPANTI_DB!$A:$I,9,FALSE),"")</f>
        <v/>
      </c>
      <c r="Y817" s="23">
        <f>IFERROR(P817*SETTINGS!$C$7,"")</f>
        <v>0</v>
      </c>
      <c r="Z817" s="23">
        <f>SETTINGS!$C$11</f>
        <v>0.5</v>
      </c>
      <c r="AA817" s="23">
        <f t="shared" si="79"/>
        <v>0.5</v>
      </c>
      <c r="AB817" s="23">
        <f>IFERROR(AA817*SETTINGS!$C$9,"")</f>
        <v>2.5000000000000001E-2</v>
      </c>
      <c r="AC817" s="23">
        <f>IFERROR((AA817+AB817)*SETTINGS!$C$10,"")</f>
        <v>2.6250000000000002E-2</v>
      </c>
    </row>
    <row r="818" spans="1:29" ht="16" x14ac:dyDescent="0.2">
      <c r="A818" s="25"/>
      <c r="H818" t="str">
        <f>IFERROR(VLOOKUP(G818,FILAMENTI_DB!$A:$C,3,FALSE),"")</f>
        <v/>
      </c>
      <c r="I818" t="str">
        <f>IFERROR(VLOOKUP(G818,FILAMENTI_DB!$A:$E,4,FALSE),"")</f>
        <v/>
      </c>
      <c r="J818" s="26"/>
      <c r="K818" s="27"/>
      <c r="L818" s="27"/>
      <c r="M818" s="27">
        <f t="shared" si="74"/>
        <v>0</v>
      </c>
      <c r="N818" s="26">
        <f t="shared" si="75"/>
        <v>0</v>
      </c>
      <c r="O818" s="26"/>
      <c r="P818" s="26"/>
      <c r="Q818" s="23"/>
      <c r="R818" s="23">
        <f t="shared" si="76"/>
        <v>0</v>
      </c>
      <c r="S818" s="23"/>
      <c r="T818" s="23">
        <f t="shared" si="77"/>
        <v>0</v>
      </c>
      <c r="U818" s="28" t="str">
        <f t="shared" si="78"/>
        <v/>
      </c>
      <c r="V818" s="10" t="str">
        <f>IFERROR(N818*VLOOKUP(G818,FILAMENTI_DB!$A:$J,10,FALSE),"")</f>
        <v/>
      </c>
      <c r="W818" s="23" t="str">
        <f>IFERROR((VLOOKUP(F818,STAMPANTI_DB!$A:$C,3,FALSE)/1000)*O818*SETTINGS!$C$6,"")</f>
        <v/>
      </c>
      <c r="X818" s="23" t="str">
        <f>IFERROR(O818*VLOOKUP(F818,STAMPANTI_DB!$A:$I,9,FALSE),"")</f>
        <v/>
      </c>
      <c r="Y818" s="23">
        <f>IFERROR(P818*SETTINGS!$C$7,"")</f>
        <v>0</v>
      </c>
      <c r="Z818" s="23">
        <f>SETTINGS!$C$11</f>
        <v>0.5</v>
      </c>
      <c r="AA818" s="23">
        <f t="shared" si="79"/>
        <v>0.5</v>
      </c>
      <c r="AB818" s="23">
        <f>IFERROR(AA818*SETTINGS!$C$9,"")</f>
        <v>2.5000000000000001E-2</v>
      </c>
      <c r="AC818" s="23">
        <f>IFERROR((AA818+AB818)*SETTINGS!$C$10,"")</f>
        <v>2.6250000000000002E-2</v>
      </c>
    </row>
    <row r="819" spans="1:29" ht="16" x14ac:dyDescent="0.2">
      <c r="A819" s="25"/>
      <c r="H819" t="str">
        <f>IFERROR(VLOOKUP(G819,FILAMENTI_DB!$A:$C,3,FALSE),"")</f>
        <v/>
      </c>
      <c r="I819" t="str">
        <f>IFERROR(VLOOKUP(G819,FILAMENTI_DB!$A:$E,4,FALSE),"")</f>
        <v/>
      </c>
      <c r="J819" s="26"/>
      <c r="K819" s="27"/>
      <c r="L819" s="27"/>
      <c r="M819" s="27">
        <f t="shared" si="74"/>
        <v>0</v>
      </c>
      <c r="N819" s="26">
        <f t="shared" si="75"/>
        <v>0</v>
      </c>
      <c r="O819" s="26"/>
      <c r="P819" s="26"/>
      <c r="Q819" s="23"/>
      <c r="R819" s="23">
        <f t="shared" si="76"/>
        <v>0</v>
      </c>
      <c r="S819" s="23"/>
      <c r="T819" s="23">
        <f t="shared" si="77"/>
        <v>0</v>
      </c>
      <c r="U819" s="28" t="str">
        <f t="shared" si="78"/>
        <v/>
      </c>
      <c r="V819" s="10" t="str">
        <f>IFERROR(N819*VLOOKUP(G819,FILAMENTI_DB!$A:$J,10,FALSE),"")</f>
        <v/>
      </c>
      <c r="W819" s="23" t="str">
        <f>IFERROR((VLOOKUP(F819,STAMPANTI_DB!$A:$C,3,FALSE)/1000)*O819*SETTINGS!$C$6,"")</f>
        <v/>
      </c>
      <c r="X819" s="23" t="str">
        <f>IFERROR(O819*VLOOKUP(F819,STAMPANTI_DB!$A:$I,9,FALSE),"")</f>
        <v/>
      </c>
      <c r="Y819" s="23">
        <f>IFERROR(P819*SETTINGS!$C$7,"")</f>
        <v>0</v>
      </c>
      <c r="Z819" s="23">
        <f>SETTINGS!$C$11</f>
        <v>0.5</v>
      </c>
      <c r="AA819" s="23">
        <f t="shared" si="79"/>
        <v>0.5</v>
      </c>
      <c r="AB819" s="23">
        <f>IFERROR(AA819*SETTINGS!$C$9,"")</f>
        <v>2.5000000000000001E-2</v>
      </c>
      <c r="AC819" s="23">
        <f>IFERROR((AA819+AB819)*SETTINGS!$C$10,"")</f>
        <v>2.6250000000000002E-2</v>
      </c>
    </row>
    <row r="820" spans="1:29" ht="16" x14ac:dyDescent="0.2">
      <c r="A820" s="25"/>
      <c r="H820" t="str">
        <f>IFERROR(VLOOKUP(G820,FILAMENTI_DB!$A:$C,3,FALSE),"")</f>
        <v/>
      </c>
      <c r="I820" t="str">
        <f>IFERROR(VLOOKUP(G820,FILAMENTI_DB!$A:$E,4,FALSE),"")</f>
        <v/>
      </c>
      <c r="J820" s="26"/>
      <c r="K820" s="27"/>
      <c r="L820" s="27"/>
      <c r="M820" s="27">
        <f t="shared" si="74"/>
        <v>0</v>
      </c>
      <c r="N820" s="26">
        <f t="shared" si="75"/>
        <v>0</v>
      </c>
      <c r="O820" s="26"/>
      <c r="P820" s="26"/>
      <c r="Q820" s="23"/>
      <c r="R820" s="23">
        <f t="shared" si="76"/>
        <v>0</v>
      </c>
      <c r="S820" s="23"/>
      <c r="T820" s="23">
        <f t="shared" si="77"/>
        <v>0</v>
      </c>
      <c r="U820" s="28" t="str">
        <f t="shared" si="78"/>
        <v/>
      </c>
      <c r="V820" s="10" t="str">
        <f>IFERROR(N820*VLOOKUP(G820,FILAMENTI_DB!$A:$J,10,FALSE),"")</f>
        <v/>
      </c>
      <c r="W820" s="23" t="str">
        <f>IFERROR((VLOOKUP(F820,STAMPANTI_DB!$A:$C,3,FALSE)/1000)*O820*SETTINGS!$C$6,"")</f>
        <v/>
      </c>
      <c r="X820" s="23" t="str">
        <f>IFERROR(O820*VLOOKUP(F820,STAMPANTI_DB!$A:$I,9,FALSE),"")</f>
        <v/>
      </c>
      <c r="Y820" s="23">
        <f>IFERROR(P820*SETTINGS!$C$7,"")</f>
        <v>0</v>
      </c>
      <c r="Z820" s="23">
        <f>SETTINGS!$C$11</f>
        <v>0.5</v>
      </c>
      <c r="AA820" s="23">
        <f t="shared" si="79"/>
        <v>0.5</v>
      </c>
      <c r="AB820" s="23">
        <f>IFERROR(AA820*SETTINGS!$C$9,"")</f>
        <v>2.5000000000000001E-2</v>
      </c>
      <c r="AC820" s="23">
        <f>IFERROR((AA820+AB820)*SETTINGS!$C$10,"")</f>
        <v>2.6250000000000002E-2</v>
      </c>
    </row>
    <row r="821" spans="1:29" ht="16" x14ac:dyDescent="0.2">
      <c r="A821" s="25"/>
      <c r="H821" t="str">
        <f>IFERROR(VLOOKUP(G821,FILAMENTI_DB!$A:$C,3,FALSE),"")</f>
        <v/>
      </c>
      <c r="I821" t="str">
        <f>IFERROR(VLOOKUP(G821,FILAMENTI_DB!$A:$E,4,FALSE),"")</f>
        <v/>
      </c>
      <c r="J821" s="26"/>
      <c r="K821" s="27"/>
      <c r="L821" s="27"/>
      <c r="M821" s="27">
        <f t="shared" si="74"/>
        <v>0</v>
      </c>
      <c r="N821" s="26">
        <f t="shared" si="75"/>
        <v>0</v>
      </c>
      <c r="O821" s="26"/>
      <c r="P821" s="26"/>
      <c r="Q821" s="23"/>
      <c r="R821" s="23">
        <f t="shared" si="76"/>
        <v>0</v>
      </c>
      <c r="S821" s="23"/>
      <c r="T821" s="23">
        <f t="shared" si="77"/>
        <v>0</v>
      </c>
      <c r="U821" s="28" t="str">
        <f t="shared" si="78"/>
        <v/>
      </c>
      <c r="V821" s="10" t="str">
        <f>IFERROR(N821*VLOOKUP(G821,FILAMENTI_DB!$A:$J,10,FALSE),"")</f>
        <v/>
      </c>
      <c r="W821" s="23" t="str">
        <f>IFERROR((VLOOKUP(F821,STAMPANTI_DB!$A:$C,3,FALSE)/1000)*O821*SETTINGS!$C$6,"")</f>
        <v/>
      </c>
      <c r="X821" s="23" t="str">
        <f>IFERROR(O821*VLOOKUP(F821,STAMPANTI_DB!$A:$I,9,FALSE),"")</f>
        <v/>
      </c>
      <c r="Y821" s="23">
        <f>IFERROR(P821*SETTINGS!$C$7,"")</f>
        <v>0</v>
      </c>
      <c r="Z821" s="23">
        <f>SETTINGS!$C$11</f>
        <v>0.5</v>
      </c>
      <c r="AA821" s="23">
        <f t="shared" si="79"/>
        <v>0.5</v>
      </c>
      <c r="AB821" s="23">
        <f>IFERROR(AA821*SETTINGS!$C$9,"")</f>
        <v>2.5000000000000001E-2</v>
      </c>
      <c r="AC821" s="23">
        <f>IFERROR((AA821+AB821)*SETTINGS!$C$10,"")</f>
        <v>2.6250000000000002E-2</v>
      </c>
    </row>
    <row r="822" spans="1:29" ht="16" x14ac:dyDescent="0.2">
      <c r="A822" s="25"/>
      <c r="H822" t="str">
        <f>IFERROR(VLOOKUP(G822,FILAMENTI_DB!$A:$C,3,FALSE),"")</f>
        <v/>
      </c>
      <c r="I822" t="str">
        <f>IFERROR(VLOOKUP(G822,FILAMENTI_DB!$A:$E,4,FALSE),"")</f>
        <v/>
      </c>
      <c r="J822" s="26"/>
      <c r="K822" s="27"/>
      <c r="L822" s="27"/>
      <c r="M822" s="27">
        <f t="shared" si="74"/>
        <v>0</v>
      </c>
      <c r="N822" s="26">
        <f t="shared" si="75"/>
        <v>0</v>
      </c>
      <c r="O822" s="26"/>
      <c r="P822" s="26"/>
      <c r="Q822" s="23"/>
      <c r="R822" s="23">
        <f t="shared" si="76"/>
        <v>0</v>
      </c>
      <c r="S822" s="23"/>
      <c r="T822" s="23">
        <f t="shared" si="77"/>
        <v>0</v>
      </c>
      <c r="U822" s="28" t="str">
        <f t="shared" si="78"/>
        <v/>
      </c>
      <c r="V822" s="10" t="str">
        <f>IFERROR(N822*VLOOKUP(G822,FILAMENTI_DB!$A:$J,10,FALSE),"")</f>
        <v/>
      </c>
      <c r="W822" s="23" t="str">
        <f>IFERROR((VLOOKUP(F822,STAMPANTI_DB!$A:$C,3,FALSE)/1000)*O822*SETTINGS!$C$6,"")</f>
        <v/>
      </c>
      <c r="X822" s="23" t="str">
        <f>IFERROR(O822*VLOOKUP(F822,STAMPANTI_DB!$A:$I,9,FALSE),"")</f>
        <v/>
      </c>
      <c r="Y822" s="23">
        <f>IFERROR(P822*SETTINGS!$C$7,"")</f>
        <v>0</v>
      </c>
      <c r="Z822" s="23">
        <f>SETTINGS!$C$11</f>
        <v>0.5</v>
      </c>
      <c r="AA822" s="23">
        <f t="shared" si="79"/>
        <v>0.5</v>
      </c>
      <c r="AB822" s="23">
        <f>IFERROR(AA822*SETTINGS!$C$9,"")</f>
        <v>2.5000000000000001E-2</v>
      </c>
      <c r="AC822" s="23">
        <f>IFERROR((AA822+AB822)*SETTINGS!$C$10,"")</f>
        <v>2.6250000000000002E-2</v>
      </c>
    </row>
    <row r="823" spans="1:29" ht="16" x14ac:dyDescent="0.2">
      <c r="A823" s="25"/>
      <c r="H823" t="str">
        <f>IFERROR(VLOOKUP(G823,FILAMENTI_DB!$A:$C,3,FALSE),"")</f>
        <v/>
      </c>
      <c r="I823" t="str">
        <f>IFERROR(VLOOKUP(G823,FILAMENTI_DB!$A:$E,4,FALSE),"")</f>
        <v/>
      </c>
      <c r="J823" s="26"/>
      <c r="K823" s="27"/>
      <c r="L823" s="27"/>
      <c r="M823" s="27">
        <f t="shared" si="74"/>
        <v>0</v>
      </c>
      <c r="N823" s="26">
        <f t="shared" si="75"/>
        <v>0</v>
      </c>
      <c r="O823" s="26"/>
      <c r="P823" s="26"/>
      <c r="Q823" s="23"/>
      <c r="R823" s="23">
        <f t="shared" si="76"/>
        <v>0</v>
      </c>
      <c r="S823" s="23"/>
      <c r="T823" s="23">
        <f t="shared" si="77"/>
        <v>0</v>
      </c>
      <c r="U823" s="28" t="str">
        <f t="shared" si="78"/>
        <v/>
      </c>
      <c r="V823" s="10" t="str">
        <f>IFERROR(N823*VLOOKUP(G823,FILAMENTI_DB!$A:$J,10,FALSE),"")</f>
        <v/>
      </c>
      <c r="W823" s="23" t="str">
        <f>IFERROR((VLOOKUP(F823,STAMPANTI_DB!$A:$C,3,FALSE)/1000)*O823*SETTINGS!$C$6,"")</f>
        <v/>
      </c>
      <c r="X823" s="23" t="str">
        <f>IFERROR(O823*VLOOKUP(F823,STAMPANTI_DB!$A:$I,9,FALSE),"")</f>
        <v/>
      </c>
      <c r="Y823" s="23">
        <f>IFERROR(P823*SETTINGS!$C$7,"")</f>
        <v>0</v>
      </c>
      <c r="Z823" s="23">
        <f>SETTINGS!$C$11</f>
        <v>0.5</v>
      </c>
      <c r="AA823" s="23">
        <f t="shared" si="79"/>
        <v>0.5</v>
      </c>
      <c r="AB823" s="23">
        <f>IFERROR(AA823*SETTINGS!$C$9,"")</f>
        <v>2.5000000000000001E-2</v>
      </c>
      <c r="AC823" s="23">
        <f>IFERROR((AA823+AB823)*SETTINGS!$C$10,"")</f>
        <v>2.6250000000000002E-2</v>
      </c>
    </row>
    <row r="824" spans="1:29" ht="16" x14ac:dyDescent="0.2">
      <c r="A824" s="25"/>
      <c r="H824" t="str">
        <f>IFERROR(VLOOKUP(G824,FILAMENTI_DB!$A:$C,3,FALSE),"")</f>
        <v/>
      </c>
      <c r="I824" t="str">
        <f>IFERROR(VLOOKUP(G824,FILAMENTI_DB!$A:$E,4,FALSE),"")</f>
        <v/>
      </c>
      <c r="J824" s="26"/>
      <c r="K824" s="27"/>
      <c r="L824" s="27"/>
      <c r="M824" s="27">
        <f t="shared" si="74"/>
        <v>0</v>
      </c>
      <c r="N824" s="26">
        <f t="shared" si="75"/>
        <v>0</v>
      </c>
      <c r="O824" s="26"/>
      <c r="P824" s="26"/>
      <c r="Q824" s="23"/>
      <c r="R824" s="23">
        <f t="shared" si="76"/>
        <v>0</v>
      </c>
      <c r="S824" s="23"/>
      <c r="T824" s="23">
        <f t="shared" si="77"/>
        <v>0</v>
      </c>
      <c r="U824" s="28" t="str">
        <f t="shared" si="78"/>
        <v/>
      </c>
      <c r="V824" s="10" t="str">
        <f>IFERROR(N824*VLOOKUP(G824,FILAMENTI_DB!$A:$J,10,FALSE),"")</f>
        <v/>
      </c>
      <c r="W824" s="23" t="str">
        <f>IFERROR((VLOOKUP(F824,STAMPANTI_DB!$A:$C,3,FALSE)/1000)*O824*SETTINGS!$C$6,"")</f>
        <v/>
      </c>
      <c r="X824" s="23" t="str">
        <f>IFERROR(O824*VLOOKUP(F824,STAMPANTI_DB!$A:$I,9,FALSE),"")</f>
        <v/>
      </c>
      <c r="Y824" s="23">
        <f>IFERROR(P824*SETTINGS!$C$7,"")</f>
        <v>0</v>
      </c>
      <c r="Z824" s="23">
        <f>SETTINGS!$C$11</f>
        <v>0.5</v>
      </c>
      <c r="AA824" s="23">
        <f t="shared" si="79"/>
        <v>0.5</v>
      </c>
      <c r="AB824" s="23">
        <f>IFERROR(AA824*SETTINGS!$C$9,"")</f>
        <v>2.5000000000000001E-2</v>
      </c>
      <c r="AC824" s="23">
        <f>IFERROR((AA824+AB824)*SETTINGS!$C$10,"")</f>
        <v>2.6250000000000002E-2</v>
      </c>
    </row>
    <row r="825" spans="1:29" ht="16" x14ac:dyDescent="0.2">
      <c r="A825" s="25"/>
      <c r="H825" t="str">
        <f>IFERROR(VLOOKUP(G825,FILAMENTI_DB!$A:$C,3,FALSE),"")</f>
        <v/>
      </c>
      <c r="I825" t="str">
        <f>IFERROR(VLOOKUP(G825,FILAMENTI_DB!$A:$E,4,FALSE),"")</f>
        <v/>
      </c>
      <c r="J825" s="26"/>
      <c r="K825" s="27"/>
      <c r="L825" s="27"/>
      <c r="M825" s="27">
        <f t="shared" si="74"/>
        <v>0</v>
      </c>
      <c r="N825" s="26">
        <f t="shared" si="75"/>
        <v>0</v>
      </c>
      <c r="O825" s="26"/>
      <c r="P825" s="26"/>
      <c r="Q825" s="23"/>
      <c r="R825" s="23">
        <f t="shared" si="76"/>
        <v>0</v>
      </c>
      <c r="S825" s="23"/>
      <c r="T825" s="23">
        <f t="shared" si="77"/>
        <v>0</v>
      </c>
      <c r="U825" s="28" t="str">
        <f t="shared" si="78"/>
        <v/>
      </c>
      <c r="V825" s="10" t="str">
        <f>IFERROR(N825*VLOOKUP(G825,FILAMENTI_DB!$A:$J,10,FALSE),"")</f>
        <v/>
      </c>
      <c r="W825" s="23" t="str">
        <f>IFERROR((VLOOKUP(F825,STAMPANTI_DB!$A:$C,3,FALSE)/1000)*O825*SETTINGS!$C$6,"")</f>
        <v/>
      </c>
      <c r="X825" s="23" t="str">
        <f>IFERROR(O825*VLOOKUP(F825,STAMPANTI_DB!$A:$I,9,FALSE),"")</f>
        <v/>
      </c>
      <c r="Y825" s="23">
        <f>IFERROR(P825*SETTINGS!$C$7,"")</f>
        <v>0</v>
      </c>
      <c r="Z825" s="23">
        <f>SETTINGS!$C$11</f>
        <v>0.5</v>
      </c>
      <c r="AA825" s="23">
        <f t="shared" si="79"/>
        <v>0.5</v>
      </c>
      <c r="AB825" s="23">
        <f>IFERROR(AA825*SETTINGS!$C$9,"")</f>
        <v>2.5000000000000001E-2</v>
      </c>
      <c r="AC825" s="23">
        <f>IFERROR((AA825+AB825)*SETTINGS!$C$10,"")</f>
        <v>2.6250000000000002E-2</v>
      </c>
    </row>
    <row r="826" spans="1:29" ht="16" x14ac:dyDescent="0.2">
      <c r="A826" s="25"/>
      <c r="H826" t="str">
        <f>IFERROR(VLOOKUP(G826,FILAMENTI_DB!$A:$C,3,FALSE),"")</f>
        <v/>
      </c>
      <c r="I826" t="str">
        <f>IFERROR(VLOOKUP(G826,FILAMENTI_DB!$A:$E,4,FALSE),"")</f>
        <v/>
      </c>
      <c r="J826" s="26"/>
      <c r="K826" s="27"/>
      <c r="L826" s="27"/>
      <c r="M826" s="27">
        <f t="shared" si="74"/>
        <v>0</v>
      </c>
      <c r="N826" s="26">
        <f t="shared" si="75"/>
        <v>0</v>
      </c>
      <c r="O826" s="26"/>
      <c r="P826" s="26"/>
      <c r="Q826" s="23"/>
      <c r="R826" s="23">
        <f t="shared" si="76"/>
        <v>0</v>
      </c>
      <c r="S826" s="23"/>
      <c r="T826" s="23">
        <f t="shared" si="77"/>
        <v>0</v>
      </c>
      <c r="U826" s="28" t="str">
        <f t="shared" si="78"/>
        <v/>
      </c>
      <c r="V826" s="10" t="str">
        <f>IFERROR(N826*VLOOKUP(G826,FILAMENTI_DB!$A:$J,10,FALSE),"")</f>
        <v/>
      </c>
      <c r="W826" s="23" t="str">
        <f>IFERROR((VLOOKUP(F826,STAMPANTI_DB!$A:$C,3,FALSE)/1000)*O826*SETTINGS!$C$6,"")</f>
        <v/>
      </c>
      <c r="X826" s="23" t="str">
        <f>IFERROR(O826*VLOOKUP(F826,STAMPANTI_DB!$A:$I,9,FALSE),"")</f>
        <v/>
      </c>
      <c r="Y826" s="23">
        <f>IFERROR(P826*SETTINGS!$C$7,"")</f>
        <v>0</v>
      </c>
      <c r="Z826" s="23">
        <f>SETTINGS!$C$11</f>
        <v>0.5</v>
      </c>
      <c r="AA826" s="23">
        <f t="shared" si="79"/>
        <v>0.5</v>
      </c>
      <c r="AB826" s="23">
        <f>IFERROR(AA826*SETTINGS!$C$9,"")</f>
        <v>2.5000000000000001E-2</v>
      </c>
      <c r="AC826" s="23">
        <f>IFERROR((AA826+AB826)*SETTINGS!$C$10,"")</f>
        <v>2.6250000000000002E-2</v>
      </c>
    </row>
    <row r="827" spans="1:29" ht="16" x14ac:dyDescent="0.2">
      <c r="A827" s="25"/>
      <c r="H827" t="str">
        <f>IFERROR(VLOOKUP(G827,FILAMENTI_DB!$A:$C,3,FALSE),"")</f>
        <v/>
      </c>
      <c r="I827" t="str">
        <f>IFERROR(VLOOKUP(G827,FILAMENTI_DB!$A:$E,4,FALSE),"")</f>
        <v/>
      </c>
      <c r="J827" s="26"/>
      <c r="K827" s="27"/>
      <c r="L827" s="27"/>
      <c r="M827" s="27">
        <f t="shared" si="74"/>
        <v>0</v>
      </c>
      <c r="N827" s="26">
        <f t="shared" si="75"/>
        <v>0</v>
      </c>
      <c r="O827" s="26"/>
      <c r="P827" s="26"/>
      <c r="Q827" s="23"/>
      <c r="R827" s="23">
        <f t="shared" si="76"/>
        <v>0</v>
      </c>
      <c r="S827" s="23"/>
      <c r="T827" s="23">
        <f t="shared" si="77"/>
        <v>0</v>
      </c>
      <c r="U827" s="28" t="str">
        <f t="shared" si="78"/>
        <v/>
      </c>
      <c r="V827" s="10" t="str">
        <f>IFERROR(N827*VLOOKUP(G827,FILAMENTI_DB!$A:$J,10,FALSE),"")</f>
        <v/>
      </c>
      <c r="W827" s="23" t="str">
        <f>IFERROR((VLOOKUP(F827,STAMPANTI_DB!$A:$C,3,FALSE)/1000)*O827*SETTINGS!$C$6,"")</f>
        <v/>
      </c>
      <c r="X827" s="23" t="str">
        <f>IFERROR(O827*VLOOKUP(F827,STAMPANTI_DB!$A:$I,9,FALSE),"")</f>
        <v/>
      </c>
      <c r="Y827" s="23">
        <f>IFERROR(P827*SETTINGS!$C$7,"")</f>
        <v>0</v>
      </c>
      <c r="Z827" s="23">
        <f>SETTINGS!$C$11</f>
        <v>0.5</v>
      </c>
      <c r="AA827" s="23">
        <f t="shared" si="79"/>
        <v>0.5</v>
      </c>
      <c r="AB827" s="23">
        <f>IFERROR(AA827*SETTINGS!$C$9,"")</f>
        <v>2.5000000000000001E-2</v>
      </c>
      <c r="AC827" s="23">
        <f>IFERROR((AA827+AB827)*SETTINGS!$C$10,"")</f>
        <v>2.6250000000000002E-2</v>
      </c>
    </row>
    <row r="828" spans="1:29" ht="16" x14ac:dyDescent="0.2">
      <c r="A828" s="25"/>
      <c r="H828" t="str">
        <f>IFERROR(VLOOKUP(G828,FILAMENTI_DB!$A:$C,3,FALSE),"")</f>
        <v/>
      </c>
      <c r="I828" t="str">
        <f>IFERROR(VLOOKUP(G828,FILAMENTI_DB!$A:$E,4,FALSE),"")</f>
        <v/>
      </c>
      <c r="J828" s="26"/>
      <c r="K828" s="27"/>
      <c r="L828" s="27"/>
      <c r="M828" s="27">
        <f t="shared" si="74"/>
        <v>0</v>
      </c>
      <c r="N828" s="26">
        <f t="shared" si="75"/>
        <v>0</v>
      </c>
      <c r="O828" s="26"/>
      <c r="P828" s="26"/>
      <c r="Q828" s="23"/>
      <c r="R828" s="23">
        <f t="shared" si="76"/>
        <v>0</v>
      </c>
      <c r="S828" s="23"/>
      <c r="T828" s="23">
        <f t="shared" si="77"/>
        <v>0</v>
      </c>
      <c r="U828" s="28" t="str">
        <f t="shared" si="78"/>
        <v/>
      </c>
      <c r="V828" s="10" t="str">
        <f>IFERROR(N828*VLOOKUP(G828,FILAMENTI_DB!$A:$J,10,FALSE),"")</f>
        <v/>
      </c>
      <c r="W828" s="23" t="str">
        <f>IFERROR((VLOOKUP(F828,STAMPANTI_DB!$A:$C,3,FALSE)/1000)*O828*SETTINGS!$C$6,"")</f>
        <v/>
      </c>
      <c r="X828" s="23" t="str">
        <f>IFERROR(O828*VLOOKUP(F828,STAMPANTI_DB!$A:$I,9,FALSE),"")</f>
        <v/>
      </c>
      <c r="Y828" s="23">
        <f>IFERROR(P828*SETTINGS!$C$7,"")</f>
        <v>0</v>
      </c>
      <c r="Z828" s="23">
        <f>SETTINGS!$C$11</f>
        <v>0.5</v>
      </c>
      <c r="AA828" s="23">
        <f t="shared" si="79"/>
        <v>0.5</v>
      </c>
      <c r="AB828" s="23">
        <f>IFERROR(AA828*SETTINGS!$C$9,"")</f>
        <v>2.5000000000000001E-2</v>
      </c>
      <c r="AC828" s="23">
        <f>IFERROR((AA828+AB828)*SETTINGS!$C$10,"")</f>
        <v>2.6250000000000002E-2</v>
      </c>
    </row>
    <row r="829" spans="1:29" ht="16" x14ac:dyDescent="0.2">
      <c r="A829" s="25"/>
      <c r="H829" t="str">
        <f>IFERROR(VLOOKUP(G829,FILAMENTI_DB!$A:$C,3,FALSE),"")</f>
        <v/>
      </c>
      <c r="I829" t="str">
        <f>IFERROR(VLOOKUP(G829,FILAMENTI_DB!$A:$E,4,FALSE),"")</f>
        <v/>
      </c>
      <c r="J829" s="26"/>
      <c r="K829" s="27"/>
      <c r="L829" s="27"/>
      <c r="M829" s="27">
        <f t="shared" si="74"/>
        <v>0</v>
      </c>
      <c r="N829" s="26">
        <f t="shared" si="75"/>
        <v>0</v>
      </c>
      <c r="O829" s="26"/>
      <c r="P829" s="26"/>
      <c r="Q829" s="23"/>
      <c r="R829" s="23">
        <f t="shared" si="76"/>
        <v>0</v>
      </c>
      <c r="S829" s="23"/>
      <c r="T829" s="23">
        <f t="shared" si="77"/>
        <v>0</v>
      </c>
      <c r="U829" s="28" t="str">
        <f t="shared" si="78"/>
        <v/>
      </c>
      <c r="V829" s="10" t="str">
        <f>IFERROR(N829*VLOOKUP(G829,FILAMENTI_DB!$A:$J,10,FALSE),"")</f>
        <v/>
      </c>
      <c r="W829" s="23" t="str">
        <f>IFERROR((VLOOKUP(F829,STAMPANTI_DB!$A:$C,3,FALSE)/1000)*O829*SETTINGS!$C$6,"")</f>
        <v/>
      </c>
      <c r="X829" s="23" t="str">
        <f>IFERROR(O829*VLOOKUP(F829,STAMPANTI_DB!$A:$I,9,FALSE),"")</f>
        <v/>
      </c>
      <c r="Y829" s="23">
        <f>IFERROR(P829*SETTINGS!$C$7,"")</f>
        <v>0</v>
      </c>
      <c r="Z829" s="23">
        <f>SETTINGS!$C$11</f>
        <v>0.5</v>
      </c>
      <c r="AA829" s="23">
        <f t="shared" si="79"/>
        <v>0.5</v>
      </c>
      <c r="AB829" s="23">
        <f>IFERROR(AA829*SETTINGS!$C$9,"")</f>
        <v>2.5000000000000001E-2</v>
      </c>
      <c r="AC829" s="23">
        <f>IFERROR((AA829+AB829)*SETTINGS!$C$10,"")</f>
        <v>2.6250000000000002E-2</v>
      </c>
    </row>
    <row r="830" spans="1:29" ht="16" x14ac:dyDescent="0.2">
      <c r="A830" s="25"/>
      <c r="H830" t="str">
        <f>IFERROR(VLOOKUP(G830,FILAMENTI_DB!$A:$C,3,FALSE),"")</f>
        <v/>
      </c>
      <c r="I830" t="str">
        <f>IFERROR(VLOOKUP(G830,FILAMENTI_DB!$A:$E,4,FALSE),"")</f>
        <v/>
      </c>
      <c r="J830" s="26"/>
      <c r="K830" s="27"/>
      <c r="L830" s="27"/>
      <c r="M830" s="27">
        <f t="shared" si="74"/>
        <v>0</v>
      </c>
      <c r="N830" s="26">
        <f t="shared" si="75"/>
        <v>0</v>
      </c>
      <c r="O830" s="26"/>
      <c r="P830" s="26"/>
      <c r="Q830" s="23"/>
      <c r="R830" s="23">
        <f t="shared" si="76"/>
        <v>0</v>
      </c>
      <c r="S830" s="23"/>
      <c r="T830" s="23">
        <f t="shared" si="77"/>
        <v>0</v>
      </c>
      <c r="U830" s="28" t="str">
        <f t="shared" si="78"/>
        <v/>
      </c>
      <c r="V830" s="10" t="str">
        <f>IFERROR(N830*VLOOKUP(G830,FILAMENTI_DB!$A:$J,10,FALSE),"")</f>
        <v/>
      </c>
      <c r="W830" s="23" t="str">
        <f>IFERROR((VLOOKUP(F830,STAMPANTI_DB!$A:$C,3,FALSE)/1000)*O830*SETTINGS!$C$6,"")</f>
        <v/>
      </c>
      <c r="X830" s="23" t="str">
        <f>IFERROR(O830*VLOOKUP(F830,STAMPANTI_DB!$A:$I,9,FALSE),"")</f>
        <v/>
      </c>
      <c r="Y830" s="23">
        <f>IFERROR(P830*SETTINGS!$C$7,"")</f>
        <v>0</v>
      </c>
      <c r="Z830" s="23">
        <f>SETTINGS!$C$11</f>
        <v>0.5</v>
      </c>
      <c r="AA830" s="23">
        <f t="shared" si="79"/>
        <v>0.5</v>
      </c>
      <c r="AB830" s="23">
        <f>IFERROR(AA830*SETTINGS!$C$9,"")</f>
        <v>2.5000000000000001E-2</v>
      </c>
      <c r="AC830" s="23">
        <f>IFERROR((AA830+AB830)*SETTINGS!$C$10,"")</f>
        <v>2.6250000000000002E-2</v>
      </c>
    </row>
    <row r="831" spans="1:29" ht="16" x14ac:dyDescent="0.2">
      <c r="A831" s="25"/>
      <c r="H831" t="str">
        <f>IFERROR(VLOOKUP(G831,FILAMENTI_DB!$A:$C,3,FALSE),"")</f>
        <v/>
      </c>
      <c r="I831" t="str">
        <f>IFERROR(VLOOKUP(G831,FILAMENTI_DB!$A:$E,4,FALSE),"")</f>
        <v/>
      </c>
      <c r="J831" s="26"/>
      <c r="K831" s="27"/>
      <c r="L831" s="27"/>
      <c r="M831" s="27">
        <f t="shared" si="74"/>
        <v>0</v>
      </c>
      <c r="N831" s="26">
        <f t="shared" si="75"/>
        <v>0</v>
      </c>
      <c r="O831" s="26"/>
      <c r="P831" s="26"/>
      <c r="Q831" s="23"/>
      <c r="R831" s="23">
        <f t="shared" si="76"/>
        <v>0</v>
      </c>
      <c r="S831" s="23"/>
      <c r="T831" s="23">
        <f t="shared" si="77"/>
        <v>0</v>
      </c>
      <c r="U831" s="28" t="str">
        <f t="shared" si="78"/>
        <v/>
      </c>
      <c r="V831" s="10" t="str">
        <f>IFERROR(N831*VLOOKUP(G831,FILAMENTI_DB!$A:$J,10,FALSE),"")</f>
        <v/>
      </c>
      <c r="W831" s="23" t="str">
        <f>IFERROR((VLOOKUP(F831,STAMPANTI_DB!$A:$C,3,FALSE)/1000)*O831*SETTINGS!$C$6,"")</f>
        <v/>
      </c>
      <c r="X831" s="23" t="str">
        <f>IFERROR(O831*VLOOKUP(F831,STAMPANTI_DB!$A:$I,9,FALSE),"")</f>
        <v/>
      </c>
      <c r="Y831" s="23">
        <f>IFERROR(P831*SETTINGS!$C$7,"")</f>
        <v>0</v>
      </c>
      <c r="Z831" s="23">
        <f>SETTINGS!$C$11</f>
        <v>0.5</v>
      </c>
      <c r="AA831" s="23">
        <f t="shared" si="79"/>
        <v>0.5</v>
      </c>
      <c r="AB831" s="23">
        <f>IFERROR(AA831*SETTINGS!$C$9,"")</f>
        <v>2.5000000000000001E-2</v>
      </c>
      <c r="AC831" s="23">
        <f>IFERROR((AA831+AB831)*SETTINGS!$C$10,"")</f>
        <v>2.6250000000000002E-2</v>
      </c>
    </row>
    <row r="832" spans="1:29" ht="16" x14ac:dyDescent="0.2">
      <c r="A832" s="25"/>
      <c r="H832" t="str">
        <f>IFERROR(VLOOKUP(G832,FILAMENTI_DB!$A:$C,3,FALSE),"")</f>
        <v/>
      </c>
      <c r="I832" t="str">
        <f>IFERROR(VLOOKUP(G832,FILAMENTI_DB!$A:$E,4,FALSE),"")</f>
        <v/>
      </c>
      <c r="J832" s="26"/>
      <c r="K832" s="27"/>
      <c r="L832" s="27"/>
      <c r="M832" s="27">
        <f t="shared" si="74"/>
        <v>0</v>
      </c>
      <c r="N832" s="26">
        <f t="shared" si="75"/>
        <v>0</v>
      </c>
      <c r="O832" s="26"/>
      <c r="P832" s="26"/>
      <c r="Q832" s="23"/>
      <c r="R832" s="23">
        <f t="shared" si="76"/>
        <v>0</v>
      </c>
      <c r="S832" s="23"/>
      <c r="T832" s="23">
        <f t="shared" si="77"/>
        <v>0</v>
      </c>
      <c r="U832" s="28" t="str">
        <f t="shared" si="78"/>
        <v/>
      </c>
      <c r="V832" s="10" t="str">
        <f>IFERROR(N832*VLOOKUP(G832,FILAMENTI_DB!$A:$J,10,FALSE),"")</f>
        <v/>
      </c>
      <c r="W832" s="23" t="str">
        <f>IFERROR((VLOOKUP(F832,STAMPANTI_DB!$A:$C,3,FALSE)/1000)*O832*SETTINGS!$C$6,"")</f>
        <v/>
      </c>
      <c r="X832" s="23" t="str">
        <f>IFERROR(O832*VLOOKUP(F832,STAMPANTI_DB!$A:$I,9,FALSE),"")</f>
        <v/>
      </c>
      <c r="Y832" s="23">
        <f>IFERROR(P832*SETTINGS!$C$7,"")</f>
        <v>0</v>
      </c>
      <c r="Z832" s="23">
        <f>SETTINGS!$C$11</f>
        <v>0.5</v>
      </c>
      <c r="AA832" s="23">
        <f t="shared" si="79"/>
        <v>0.5</v>
      </c>
      <c r="AB832" s="23">
        <f>IFERROR(AA832*SETTINGS!$C$9,"")</f>
        <v>2.5000000000000001E-2</v>
      </c>
      <c r="AC832" s="23">
        <f>IFERROR((AA832+AB832)*SETTINGS!$C$10,"")</f>
        <v>2.6250000000000002E-2</v>
      </c>
    </row>
    <row r="833" spans="1:29" ht="16" x14ac:dyDescent="0.2">
      <c r="A833" s="25"/>
      <c r="H833" t="str">
        <f>IFERROR(VLOOKUP(G833,FILAMENTI_DB!$A:$C,3,FALSE),"")</f>
        <v/>
      </c>
      <c r="I833" t="str">
        <f>IFERROR(VLOOKUP(G833,FILAMENTI_DB!$A:$E,4,FALSE),"")</f>
        <v/>
      </c>
      <c r="J833" s="26"/>
      <c r="K833" s="27"/>
      <c r="L833" s="27"/>
      <c r="M833" s="27">
        <f t="shared" si="74"/>
        <v>0</v>
      </c>
      <c r="N833" s="26">
        <f t="shared" si="75"/>
        <v>0</v>
      </c>
      <c r="O833" s="26"/>
      <c r="P833" s="26"/>
      <c r="Q833" s="23"/>
      <c r="R833" s="23">
        <f t="shared" si="76"/>
        <v>0</v>
      </c>
      <c r="S833" s="23"/>
      <c r="T833" s="23">
        <f t="shared" si="77"/>
        <v>0</v>
      </c>
      <c r="U833" s="28" t="str">
        <f t="shared" si="78"/>
        <v/>
      </c>
      <c r="V833" s="10" t="str">
        <f>IFERROR(N833*VLOOKUP(G833,FILAMENTI_DB!$A:$J,10,FALSE),"")</f>
        <v/>
      </c>
      <c r="W833" s="23" t="str">
        <f>IFERROR((VLOOKUP(F833,STAMPANTI_DB!$A:$C,3,FALSE)/1000)*O833*SETTINGS!$C$6,"")</f>
        <v/>
      </c>
      <c r="X833" s="23" t="str">
        <f>IFERROR(O833*VLOOKUP(F833,STAMPANTI_DB!$A:$I,9,FALSE),"")</f>
        <v/>
      </c>
      <c r="Y833" s="23">
        <f>IFERROR(P833*SETTINGS!$C$7,"")</f>
        <v>0</v>
      </c>
      <c r="Z833" s="23">
        <f>SETTINGS!$C$11</f>
        <v>0.5</v>
      </c>
      <c r="AA833" s="23">
        <f t="shared" si="79"/>
        <v>0.5</v>
      </c>
      <c r="AB833" s="23">
        <f>IFERROR(AA833*SETTINGS!$C$9,"")</f>
        <v>2.5000000000000001E-2</v>
      </c>
      <c r="AC833" s="23">
        <f>IFERROR((AA833+AB833)*SETTINGS!$C$10,"")</f>
        <v>2.6250000000000002E-2</v>
      </c>
    </row>
    <row r="834" spans="1:29" ht="16" x14ac:dyDescent="0.2">
      <c r="A834" s="25"/>
      <c r="H834" t="str">
        <f>IFERROR(VLOOKUP(G834,FILAMENTI_DB!$A:$C,3,FALSE),"")</f>
        <v/>
      </c>
      <c r="I834" t="str">
        <f>IFERROR(VLOOKUP(G834,FILAMENTI_DB!$A:$E,4,FALSE),"")</f>
        <v/>
      </c>
      <c r="J834" s="26"/>
      <c r="K834" s="27"/>
      <c r="L834" s="27"/>
      <c r="M834" s="27">
        <f t="shared" si="74"/>
        <v>0</v>
      </c>
      <c r="N834" s="26">
        <f t="shared" si="75"/>
        <v>0</v>
      </c>
      <c r="O834" s="26"/>
      <c r="P834" s="26"/>
      <c r="Q834" s="23"/>
      <c r="R834" s="23">
        <f t="shared" si="76"/>
        <v>0</v>
      </c>
      <c r="S834" s="23"/>
      <c r="T834" s="23">
        <f t="shared" si="77"/>
        <v>0</v>
      </c>
      <c r="U834" s="28" t="str">
        <f t="shared" si="78"/>
        <v/>
      </c>
      <c r="V834" s="10" t="str">
        <f>IFERROR(N834*VLOOKUP(G834,FILAMENTI_DB!$A:$J,10,FALSE),"")</f>
        <v/>
      </c>
      <c r="W834" s="23" t="str">
        <f>IFERROR((VLOOKUP(F834,STAMPANTI_DB!$A:$C,3,FALSE)/1000)*O834*SETTINGS!$C$6,"")</f>
        <v/>
      </c>
      <c r="X834" s="23" t="str">
        <f>IFERROR(O834*VLOOKUP(F834,STAMPANTI_DB!$A:$I,9,FALSE),"")</f>
        <v/>
      </c>
      <c r="Y834" s="23">
        <f>IFERROR(P834*SETTINGS!$C$7,"")</f>
        <v>0</v>
      </c>
      <c r="Z834" s="23">
        <f>SETTINGS!$C$11</f>
        <v>0.5</v>
      </c>
      <c r="AA834" s="23">
        <f t="shared" si="79"/>
        <v>0.5</v>
      </c>
      <c r="AB834" s="23">
        <f>IFERROR(AA834*SETTINGS!$C$9,"")</f>
        <v>2.5000000000000001E-2</v>
      </c>
      <c r="AC834" s="23">
        <f>IFERROR((AA834+AB834)*SETTINGS!$C$10,"")</f>
        <v>2.6250000000000002E-2</v>
      </c>
    </row>
    <row r="835" spans="1:29" ht="16" x14ac:dyDescent="0.2">
      <c r="A835" s="25"/>
      <c r="H835" t="str">
        <f>IFERROR(VLOOKUP(G835,FILAMENTI_DB!$A:$C,3,FALSE),"")</f>
        <v/>
      </c>
      <c r="I835" t="str">
        <f>IFERROR(VLOOKUP(G835,FILAMENTI_DB!$A:$E,4,FALSE),"")</f>
        <v/>
      </c>
      <c r="J835" s="26"/>
      <c r="K835" s="27"/>
      <c r="L835" s="27"/>
      <c r="M835" s="27">
        <f t="shared" si="74"/>
        <v>0</v>
      </c>
      <c r="N835" s="26">
        <f t="shared" si="75"/>
        <v>0</v>
      </c>
      <c r="O835" s="26"/>
      <c r="P835" s="26"/>
      <c r="Q835" s="23"/>
      <c r="R835" s="23">
        <f t="shared" si="76"/>
        <v>0</v>
      </c>
      <c r="S835" s="23"/>
      <c r="T835" s="23">
        <f t="shared" si="77"/>
        <v>0</v>
      </c>
      <c r="U835" s="28" t="str">
        <f t="shared" si="78"/>
        <v/>
      </c>
      <c r="V835" s="10" t="str">
        <f>IFERROR(N835*VLOOKUP(G835,FILAMENTI_DB!$A:$J,10,FALSE),"")</f>
        <v/>
      </c>
      <c r="W835" s="23" t="str">
        <f>IFERROR((VLOOKUP(F835,STAMPANTI_DB!$A:$C,3,FALSE)/1000)*O835*SETTINGS!$C$6,"")</f>
        <v/>
      </c>
      <c r="X835" s="23" t="str">
        <f>IFERROR(O835*VLOOKUP(F835,STAMPANTI_DB!$A:$I,9,FALSE),"")</f>
        <v/>
      </c>
      <c r="Y835" s="23">
        <f>IFERROR(P835*SETTINGS!$C$7,"")</f>
        <v>0</v>
      </c>
      <c r="Z835" s="23">
        <f>SETTINGS!$C$11</f>
        <v>0.5</v>
      </c>
      <c r="AA835" s="23">
        <f t="shared" si="79"/>
        <v>0.5</v>
      </c>
      <c r="AB835" s="23">
        <f>IFERROR(AA835*SETTINGS!$C$9,"")</f>
        <v>2.5000000000000001E-2</v>
      </c>
      <c r="AC835" s="23">
        <f>IFERROR((AA835+AB835)*SETTINGS!$C$10,"")</f>
        <v>2.6250000000000002E-2</v>
      </c>
    </row>
    <row r="836" spans="1:29" ht="16" x14ac:dyDescent="0.2">
      <c r="A836" s="25"/>
      <c r="H836" t="str">
        <f>IFERROR(VLOOKUP(G836,FILAMENTI_DB!$A:$C,3,FALSE),"")</f>
        <v/>
      </c>
      <c r="I836" t="str">
        <f>IFERROR(VLOOKUP(G836,FILAMENTI_DB!$A:$E,4,FALSE),"")</f>
        <v/>
      </c>
      <c r="J836" s="26"/>
      <c r="K836" s="27"/>
      <c r="L836" s="27"/>
      <c r="M836" s="27">
        <f t="shared" si="74"/>
        <v>0</v>
      </c>
      <c r="N836" s="26">
        <f t="shared" si="75"/>
        <v>0</v>
      </c>
      <c r="O836" s="26"/>
      <c r="P836" s="26"/>
      <c r="Q836" s="23"/>
      <c r="R836" s="23">
        <f t="shared" si="76"/>
        <v>0</v>
      </c>
      <c r="S836" s="23"/>
      <c r="T836" s="23">
        <f t="shared" si="77"/>
        <v>0</v>
      </c>
      <c r="U836" s="28" t="str">
        <f t="shared" si="78"/>
        <v/>
      </c>
      <c r="V836" s="10" t="str">
        <f>IFERROR(N836*VLOOKUP(G836,FILAMENTI_DB!$A:$J,10,FALSE),"")</f>
        <v/>
      </c>
      <c r="W836" s="23" t="str">
        <f>IFERROR((VLOOKUP(F836,STAMPANTI_DB!$A:$C,3,FALSE)/1000)*O836*SETTINGS!$C$6,"")</f>
        <v/>
      </c>
      <c r="X836" s="23" t="str">
        <f>IFERROR(O836*VLOOKUP(F836,STAMPANTI_DB!$A:$I,9,FALSE),"")</f>
        <v/>
      </c>
      <c r="Y836" s="23">
        <f>IFERROR(P836*SETTINGS!$C$7,"")</f>
        <v>0</v>
      </c>
      <c r="Z836" s="23">
        <f>SETTINGS!$C$11</f>
        <v>0.5</v>
      </c>
      <c r="AA836" s="23">
        <f t="shared" si="79"/>
        <v>0.5</v>
      </c>
      <c r="AB836" s="23">
        <f>IFERROR(AA836*SETTINGS!$C$9,"")</f>
        <v>2.5000000000000001E-2</v>
      </c>
      <c r="AC836" s="23">
        <f>IFERROR((AA836+AB836)*SETTINGS!$C$10,"")</f>
        <v>2.6250000000000002E-2</v>
      </c>
    </row>
    <row r="837" spans="1:29" ht="16" x14ac:dyDescent="0.2">
      <c r="A837" s="25"/>
      <c r="H837" t="str">
        <f>IFERROR(VLOOKUP(G837,FILAMENTI_DB!$A:$C,3,FALSE),"")</f>
        <v/>
      </c>
      <c r="I837" t="str">
        <f>IFERROR(VLOOKUP(G837,FILAMENTI_DB!$A:$E,4,FALSE),"")</f>
        <v/>
      </c>
      <c r="J837" s="26"/>
      <c r="K837" s="27"/>
      <c r="L837" s="27"/>
      <c r="M837" s="27">
        <f t="shared" ref="M837:M900" si="80">IFERROR(K837+L837,"")</f>
        <v>0</v>
      </c>
      <c r="N837" s="26">
        <f t="shared" ref="N837:N900" si="81">IFERROR(J837*M837,"")</f>
        <v>0</v>
      </c>
      <c r="O837" s="26"/>
      <c r="P837" s="26"/>
      <c r="Q837" s="23"/>
      <c r="R837" s="23">
        <f t="shared" ref="R837:R900" si="82">IFERROR(Q837*K837,"")</f>
        <v>0</v>
      </c>
      <c r="S837" s="23"/>
      <c r="T837" s="23">
        <f t="shared" ref="T837:T900" si="83">IFERROR(R837-S837,"")</f>
        <v>0</v>
      </c>
      <c r="U837" s="28" t="str">
        <f t="shared" ref="U837:U900" si="84">IFERROR(T837/R837,"")</f>
        <v/>
      </c>
      <c r="V837" s="10" t="str">
        <f>IFERROR(N837*VLOOKUP(G837,FILAMENTI_DB!$A:$J,10,FALSE),"")</f>
        <v/>
      </c>
      <c r="W837" s="23" t="str">
        <f>IFERROR((VLOOKUP(F837,STAMPANTI_DB!$A:$C,3,FALSE)/1000)*O837*SETTINGS!$C$6,"")</f>
        <v/>
      </c>
      <c r="X837" s="23" t="str">
        <f>IFERROR(O837*VLOOKUP(F837,STAMPANTI_DB!$A:$I,9,FALSE),"")</f>
        <v/>
      </c>
      <c r="Y837" s="23">
        <f>IFERROR(P837*SETTINGS!$C$7,"")</f>
        <v>0</v>
      </c>
      <c r="Z837" s="23">
        <f>SETTINGS!$C$11</f>
        <v>0.5</v>
      </c>
      <c r="AA837" s="23">
        <f t="shared" ref="AA837:AA900" si="85">IFERROR(SUM(V837:Z837),"")</f>
        <v>0.5</v>
      </c>
      <c r="AB837" s="23">
        <f>IFERROR(AA837*SETTINGS!$C$9,"")</f>
        <v>2.5000000000000001E-2</v>
      </c>
      <c r="AC837" s="23">
        <f>IFERROR((AA837+AB837)*SETTINGS!$C$10,"")</f>
        <v>2.6250000000000002E-2</v>
      </c>
    </row>
    <row r="838" spans="1:29" ht="16" x14ac:dyDescent="0.2">
      <c r="A838" s="25"/>
      <c r="H838" t="str">
        <f>IFERROR(VLOOKUP(G838,FILAMENTI_DB!$A:$C,3,FALSE),"")</f>
        <v/>
      </c>
      <c r="I838" t="str">
        <f>IFERROR(VLOOKUP(G838,FILAMENTI_DB!$A:$E,4,FALSE),"")</f>
        <v/>
      </c>
      <c r="J838" s="26"/>
      <c r="K838" s="27"/>
      <c r="L838" s="27"/>
      <c r="M838" s="27">
        <f t="shared" si="80"/>
        <v>0</v>
      </c>
      <c r="N838" s="26">
        <f t="shared" si="81"/>
        <v>0</v>
      </c>
      <c r="O838" s="26"/>
      <c r="P838" s="26"/>
      <c r="Q838" s="23"/>
      <c r="R838" s="23">
        <f t="shared" si="82"/>
        <v>0</v>
      </c>
      <c r="S838" s="23"/>
      <c r="T838" s="23">
        <f t="shared" si="83"/>
        <v>0</v>
      </c>
      <c r="U838" s="28" t="str">
        <f t="shared" si="84"/>
        <v/>
      </c>
      <c r="V838" s="10" t="str">
        <f>IFERROR(N838*VLOOKUP(G838,FILAMENTI_DB!$A:$J,10,FALSE),"")</f>
        <v/>
      </c>
      <c r="W838" s="23" t="str">
        <f>IFERROR((VLOOKUP(F838,STAMPANTI_DB!$A:$C,3,FALSE)/1000)*O838*SETTINGS!$C$6,"")</f>
        <v/>
      </c>
      <c r="X838" s="23" t="str">
        <f>IFERROR(O838*VLOOKUP(F838,STAMPANTI_DB!$A:$I,9,FALSE),"")</f>
        <v/>
      </c>
      <c r="Y838" s="23">
        <f>IFERROR(P838*SETTINGS!$C$7,"")</f>
        <v>0</v>
      </c>
      <c r="Z838" s="23">
        <f>SETTINGS!$C$11</f>
        <v>0.5</v>
      </c>
      <c r="AA838" s="23">
        <f t="shared" si="85"/>
        <v>0.5</v>
      </c>
      <c r="AB838" s="23">
        <f>IFERROR(AA838*SETTINGS!$C$9,"")</f>
        <v>2.5000000000000001E-2</v>
      </c>
      <c r="AC838" s="23">
        <f>IFERROR((AA838+AB838)*SETTINGS!$C$10,"")</f>
        <v>2.6250000000000002E-2</v>
      </c>
    </row>
    <row r="839" spans="1:29" ht="16" x14ac:dyDescent="0.2">
      <c r="A839" s="25"/>
      <c r="H839" t="str">
        <f>IFERROR(VLOOKUP(G839,FILAMENTI_DB!$A:$C,3,FALSE),"")</f>
        <v/>
      </c>
      <c r="I839" t="str">
        <f>IFERROR(VLOOKUP(G839,FILAMENTI_DB!$A:$E,4,FALSE),"")</f>
        <v/>
      </c>
      <c r="J839" s="26"/>
      <c r="K839" s="27"/>
      <c r="L839" s="27"/>
      <c r="M839" s="27">
        <f t="shared" si="80"/>
        <v>0</v>
      </c>
      <c r="N839" s="26">
        <f t="shared" si="81"/>
        <v>0</v>
      </c>
      <c r="O839" s="26"/>
      <c r="P839" s="26"/>
      <c r="Q839" s="23"/>
      <c r="R839" s="23">
        <f t="shared" si="82"/>
        <v>0</v>
      </c>
      <c r="S839" s="23"/>
      <c r="T839" s="23">
        <f t="shared" si="83"/>
        <v>0</v>
      </c>
      <c r="U839" s="28" t="str">
        <f t="shared" si="84"/>
        <v/>
      </c>
      <c r="V839" s="10" t="str">
        <f>IFERROR(N839*VLOOKUP(G839,FILAMENTI_DB!$A:$J,10,FALSE),"")</f>
        <v/>
      </c>
      <c r="W839" s="23" t="str">
        <f>IFERROR((VLOOKUP(F839,STAMPANTI_DB!$A:$C,3,FALSE)/1000)*O839*SETTINGS!$C$6,"")</f>
        <v/>
      </c>
      <c r="X839" s="23" t="str">
        <f>IFERROR(O839*VLOOKUP(F839,STAMPANTI_DB!$A:$I,9,FALSE),"")</f>
        <v/>
      </c>
      <c r="Y839" s="23">
        <f>IFERROR(P839*SETTINGS!$C$7,"")</f>
        <v>0</v>
      </c>
      <c r="Z839" s="23">
        <f>SETTINGS!$C$11</f>
        <v>0.5</v>
      </c>
      <c r="AA839" s="23">
        <f t="shared" si="85"/>
        <v>0.5</v>
      </c>
      <c r="AB839" s="23">
        <f>IFERROR(AA839*SETTINGS!$C$9,"")</f>
        <v>2.5000000000000001E-2</v>
      </c>
      <c r="AC839" s="23">
        <f>IFERROR((AA839+AB839)*SETTINGS!$C$10,"")</f>
        <v>2.6250000000000002E-2</v>
      </c>
    </row>
    <row r="840" spans="1:29" ht="16" x14ac:dyDescent="0.2">
      <c r="A840" s="25"/>
      <c r="H840" t="str">
        <f>IFERROR(VLOOKUP(G840,FILAMENTI_DB!$A:$C,3,FALSE),"")</f>
        <v/>
      </c>
      <c r="I840" t="str">
        <f>IFERROR(VLOOKUP(G840,FILAMENTI_DB!$A:$E,4,FALSE),"")</f>
        <v/>
      </c>
      <c r="J840" s="26"/>
      <c r="K840" s="27"/>
      <c r="L840" s="27"/>
      <c r="M840" s="27">
        <f t="shared" si="80"/>
        <v>0</v>
      </c>
      <c r="N840" s="26">
        <f t="shared" si="81"/>
        <v>0</v>
      </c>
      <c r="O840" s="26"/>
      <c r="P840" s="26"/>
      <c r="Q840" s="23"/>
      <c r="R840" s="23">
        <f t="shared" si="82"/>
        <v>0</v>
      </c>
      <c r="S840" s="23"/>
      <c r="T840" s="23">
        <f t="shared" si="83"/>
        <v>0</v>
      </c>
      <c r="U840" s="28" t="str">
        <f t="shared" si="84"/>
        <v/>
      </c>
      <c r="V840" s="10" t="str">
        <f>IFERROR(N840*VLOOKUP(G840,FILAMENTI_DB!$A:$J,10,FALSE),"")</f>
        <v/>
      </c>
      <c r="W840" s="23" t="str">
        <f>IFERROR((VLOOKUP(F840,STAMPANTI_DB!$A:$C,3,FALSE)/1000)*O840*SETTINGS!$C$6,"")</f>
        <v/>
      </c>
      <c r="X840" s="23" t="str">
        <f>IFERROR(O840*VLOOKUP(F840,STAMPANTI_DB!$A:$I,9,FALSE),"")</f>
        <v/>
      </c>
      <c r="Y840" s="23">
        <f>IFERROR(P840*SETTINGS!$C$7,"")</f>
        <v>0</v>
      </c>
      <c r="Z840" s="23">
        <f>SETTINGS!$C$11</f>
        <v>0.5</v>
      </c>
      <c r="AA840" s="23">
        <f t="shared" si="85"/>
        <v>0.5</v>
      </c>
      <c r="AB840" s="23">
        <f>IFERROR(AA840*SETTINGS!$C$9,"")</f>
        <v>2.5000000000000001E-2</v>
      </c>
      <c r="AC840" s="23">
        <f>IFERROR((AA840+AB840)*SETTINGS!$C$10,"")</f>
        <v>2.6250000000000002E-2</v>
      </c>
    </row>
    <row r="841" spans="1:29" ht="16" x14ac:dyDescent="0.2">
      <c r="A841" s="25"/>
      <c r="H841" t="str">
        <f>IFERROR(VLOOKUP(G841,FILAMENTI_DB!$A:$C,3,FALSE),"")</f>
        <v/>
      </c>
      <c r="I841" t="str">
        <f>IFERROR(VLOOKUP(G841,FILAMENTI_DB!$A:$E,4,FALSE),"")</f>
        <v/>
      </c>
      <c r="J841" s="26"/>
      <c r="K841" s="27"/>
      <c r="L841" s="27"/>
      <c r="M841" s="27">
        <f t="shared" si="80"/>
        <v>0</v>
      </c>
      <c r="N841" s="26">
        <f t="shared" si="81"/>
        <v>0</v>
      </c>
      <c r="O841" s="26"/>
      <c r="P841" s="26"/>
      <c r="Q841" s="23"/>
      <c r="R841" s="23">
        <f t="shared" si="82"/>
        <v>0</v>
      </c>
      <c r="S841" s="23"/>
      <c r="T841" s="23">
        <f t="shared" si="83"/>
        <v>0</v>
      </c>
      <c r="U841" s="28" t="str">
        <f t="shared" si="84"/>
        <v/>
      </c>
      <c r="V841" s="10" t="str">
        <f>IFERROR(N841*VLOOKUP(G841,FILAMENTI_DB!$A:$J,10,FALSE),"")</f>
        <v/>
      </c>
      <c r="W841" s="23" t="str">
        <f>IFERROR((VLOOKUP(F841,STAMPANTI_DB!$A:$C,3,FALSE)/1000)*O841*SETTINGS!$C$6,"")</f>
        <v/>
      </c>
      <c r="X841" s="23" t="str">
        <f>IFERROR(O841*VLOOKUP(F841,STAMPANTI_DB!$A:$I,9,FALSE),"")</f>
        <v/>
      </c>
      <c r="Y841" s="23">
        <f>IFERROR(P841*SETTINGS!$C$7,"")</f>
        <v>0</v>
      </c>
      <c r="Z841" s="23">
        <f>SETTINGS!$C$11</f>
        <v>0.5</v>
      </c>
      <c r="AA841" s="23">
        <f t="shared" si="85"/>
        <v>0.5</v>
      </c>
      <c r="AB841" s="23">
        <f>IFERROR(AA841*SETTINGS!$C$9,"")</f>
        <v>2.5000000000000001E-2</v>
      </c>
      <c r="AC841" s="23">
        <f>IFERROR((AA841+AB841)*SETTINGS!$C$10,"")</f>
        <v>2.6250000000000002E-2</v>
      </c>
    </row>
    <row r="842" spans="1:29" ht="16" x14ac:dyDescent="0.2">
      <c r="A842" s="25"/>
      <c r="H842" t="str">
        <f>IFERROR(VLOOKUP(G842,FILAMENTI_DB!$A:$C,3,FALSE),"")</f>
        <v/>
      </c>
      <c r="I842" t="str">
        <f>IFERROR(VLOOKUP(G842,FILAMENTI_DB!$A:$E,4,FALSE),"")</f>
        <v/>
      </c>
      <c r="J842" s="26"/>
      <c r="K842" s="27"/>
      <c r="L842" s="27"/>
      <c r="M842" s="27">
        <f t="shared" si="80"/>
        <v>0</v>
      </c>
      <c r="N842" s="26">
        <f t="shared" si="81"/>
        <v>0</v>
      </c>
      <c r="O842" s="26"/>
      <c r="P842" s="26"/>
      <c r="Q842" s="23"/>
      <c r="R842" s="23">
        <f t="shared" si="82"/>
        <v>0</v>
      </c>
      <c r="S842" s="23"/>
      <c r="T842" s="23">
        <f t="shared" si="83"/>
        <v>0</v>
      </c>
      <c r="U842" s="28" t="str">
        <f t="shared" si="84"/>
        <v/>
      </c>
      <c r="V842" s="10" t="str">
        <f>IFERROR(N842*VLOOKUP(G842,FILAMENTI_DB!$A:$J,10,FALSE),"")</f>
        <v/>
      </c>
      <c r="W842" s="23" t="str">
        <f>IFERROR((VLOOKUP(F842,STAMPANTI_DB!$A:$C,3,FALSE)/1000)*O842*SETTINGS!$C$6,"")</f>
        <v/>
      </c>
      <c r="X842" s="23" t="str">
        <f>IFERROR(O842*VLOOKUP(F842,STAMPANTI_DB!$A:$I,9,FALSE),"")</f>
        <v/>
      </c>
      <c r="Y842" s="23">
        <f>IFERROR(P842*SETTINGS!$C$7,"")</f>
        <v>0</v>
      </c>
      <c r="Z842" s="23">
        <f>SETTINGS!$C$11</f>
        <v>0.5</v>
      </c>
      <c r="AA842" s="23">
        <f t="shared" si="85"/>
        <v>0.5</v>
      </c>
      <c r="AB842" s="23">
        <f>IFERROR(AA842*SETTINGS!$C$9,"")</f>
        <v>2.5000000000000001E-2</v>
      </c>
      <c r="AC842" s="23">
        <f>IFERROR((AA842+AB842)*SETTINGS!$C$10,"")</f>
        <v>2.6250000000000002E-2</v>
      </c>
    </row>
    <row r="843" spans="1:29" ht="16" x14ac:dyDescent="0.2">
      <c r="A843" s="25"/>
      <c r="H843" t="str">
        <f>IFERROR(VLOOKUP(G843,FILAMENTI_DB!$A:$C,3,FALSE),"")</f>
        <v/>
      </c>
      <c r="I843" t="str">
        <f>IFERROR(VLOOKUP(G843,FILAMENTI_DB!$A:$E,4,FALSE),"")</f>
        <v/>
      </c>
      <c r="J843" s="26"/>
      <c r="K843" s="27"/>
      <c r="L843" s="27"/>
      <c r="M843" s="27">
        <f t="shared" si="80"/>
        <v>0</v>
      </c>
      <c r="N843" s="26">
        <f t="shared" si="81"/>
        <v>0</v>
      </c>
      <c r="O843" s="26"/>
      <c r="P843" s="26"/>
      <c r="Q843" s="23"/>
      <c r="R843" s="23">
        <f t="shared" si="82"/>
        <v>0</v>
      </c>
      <c r="S843" s="23"/>
      <c r="T843" s="23">
        <f t="shared" si="83"/>
        <v>0</v>
      </c>
      <c r="U843" s="28" t="str">
        <f t="shared" si="84"/>
        <v/>
      </c>
      <c r="V843" s="10" t="str">
        <f>IFERROR(N843*VLOOKUP(G843,FILAMENTI_DB!$A:$J,10,FALSE),"")</f>
        <v/>
      </c>
      <c r="W843" s="23" t="str">
        <f>IFERROR((VLOOKUP(F843,STAMPANTI_DB!$A:$C,3,FALSE)/1000)*O843*SETTINGS!$C$6,"")</f>
        <v/>
      </c>
      <c r="X843" s="23" t="str">
        <f>IFERROR(O843*VLOOKUP(F843,STAMPANTI_DB!$A:$I,9,FALSE),"")</f>
        <v/>
      </c>
      <c r="Y843" s="23">
        <f>IFERROR(P843*SETTINGS!$C$7,"")</f>
        <v>0</v>
      </c>
      <c r="Z843" s="23">
        <f>SETTINGS!$C$11</f>
        <v>0.5</v>
      </c>
      <c r="AA843" s="23">
        <f t="shared" si="85"/>
        <v>0.5</v>
      </c>
      <c r="AB843" s="23">
        <f>IFERROR(AA843*SETTINGS!$C$9,"")</f>
        <v>2.5000000000000001E-2</v>
      </c>
      <c r="AC843" s="23">
        <f>IFERROR((AA843+AB843)*SETTINGS!$C$10,"")</f>
        <v>2.6250000000000002E-2</v>
      </c>
    </row>
    <row r="844" spans="1:29" ht="16" x14ac:dyDescent="0.2">
      <c r="A844" s="25"/>
      <c r="H844" t="str">
        <f>IFERROR(VLOOKUP(G844,FILAMENTI_DB!$A:$C,3,FALSE),"")</f>
        <v/>
      </c>
      <c r="I844" t="str">
        <f>IFERROR(VLOOKUP(G844,FILAMENTI_DB!$A:$E,4,FALSE),"")</f>
        <v/>
      </c>
      <c r="J844" s="26"/>
      <c r="K844" s="27"/>
      <c r="L844" s="27"/>
      <c r="M844" s="27">
        <f t="shared" si="80"/>
        <v>0</v>
      </c>
      <c r="N844" s="26">
        <f t="shared" si="81"/>
        <v>0</v>
      </c>
      <c r="O844" s="26"/>
      <c r="P844" s="26"/>
      <c r="Q844" s="23"/>
      <c r="R844" s="23">
        <f t="shared" si="82"/>
        <v>0</v>
      </c>
      <c r="S844" s="23"/>
      <c r="T844" s="23">
        <f t="shared" si="83"/>
        <v>0</v>
      </c>
      <c r="U844" s="28" t="str">
        <f t="shared" si="84"/>
        <v/>
      </c>
      <c r="V844" s="10" t="str">
        <f>IFERROR(N844*VLOOKUP(G844,FILAMENTI_DB!$A:$J,10,FALSE),"")</f>
        <v/>
      </c>
      <c r="W844" s="23" t="str">
        <f>IFERROR((VLOOKUP(F844,STAMPANTI_DB!$A:$C,3,FALSE)/1000)*O844*SETTINGS!$C$6,"")</f>
        <v/>
      </c>
      <c r="X844" s="23" t="str">
        <f>IFERROR(O844*VLOOKUP(F844,STAMPANTI_DB!$A:$I,9,FALSE),"")</f>
        <v/>
      </c>
      <c r="Y844" s="23">
        <f>IFERROR(P844*SETTINGS!$C$7,"")</f>
        <v>0</v>
      </c>
      <c r="Z844" s="23">
        <f>SETTINGS!$C$11</f>
        <v>0.5</v>
      </c>
      <c r="AA844" s="23">
        <f t="shared" si="85"/>
        <v>0.5</v>
      </c>
      <c r="AB844" s="23">
        <f>IFERROR(AA844*SETTINGS!$C$9,"")</f>
        <v>2.5000000000000001E-2</v>
      </c>
      <c r="AC844" s="23">
        <f>IFERROR((AA844+AB844)*SETTINGS!$C$10,"")</f>
        <v>2.6250000000000002E-2</v>
      </c>
    </row>
    <row r="845" spans="1:29" ht="16" x14ac:dyDescent="0.2">
      <c r="A845" s="25"/>
      <c r="H845" t="str">
        <f>IFERROR(VLOOKUP(G845,FILAMENTI_DB!$A:$C,3,FALSE),"")</f>
        <v/>
      </c>
      <c r="I845" t="str">
        <f>IFERROR(VLOOKUP(G845,FILAMENTI_DB!$A:$E,4,FALSE),"")</f>
        <v/>
      </c>
      <c r="J845" s="26"/>
      <c r="K845" s="27"/>
      <c r="L845" s="27"/>
      <c r="M845" s="27">
        <f t="shared" si="80"/>
        <v>0</v>
      </c>
      <c r="N845" s="26">
        <f t="shared" si="81"/>
        <v>0</v>
      </c>
      <c r="O845" s="26"/>
      <c r="P845" s="26"/>
      <c r="Q845" s="23"/>
      <c r="R845" s="23">
        <f t="shared" si="82"/>
        <v>0</v>
      </c>
      <c r="S845" s="23"/>
      <c r="T845" s="23">
        <f t="shared" si="83"/>
        <v>0</v>
      </c>
      <c r="U845" s="28" t="str">
        <f t="shared" si="84"/>
        <v/>
      </c>
      <c r="V845" s="10" t="str">
        <f>IFERROR(N845*VLOOKUP(G845,FILAMENTI_DB!$A:$J,10,FALSE),"")</f>
        <v/>
      </c>
      <c r="W845" s="23" t="str">
        <f>IFERROR((VLOOKUP(F845,STAMPANTI_DB!$A:$C,3,FALSE)/1000)*O845*SETTINGS!$C$6,"")</f>
        <v/>
      </c>
      <c r="X845" s="23" t="str">
        <f>IFERROR(O845*VLOOKUP(F845,STAMPANTI_DB!$A:$I,9,FALSE),"")</f>
        <v/>
      </c>
      <c r="Y845" s="23">
        <f>IFERROR(P845*SETTINGS!$C$7,"")</f>
        <v>0</v>
      </c>
      <c r="Z845" s="23">
        <f>SETTINGS!$C$11</f>
        <v>0.5</v>
      </c>
      <c r="AA845" s="23">
        <f t="shared" si="85"/>
        <v>0.5</v>
      </c>
      <c r="AB845" s="23">
        <f>IFERROR(AA845*SETTINGS!$C$9,"")</f>
        <v>2.5000000000000001E-2</v>
      </c>
      <c r="AC845" s="23">
        <f>IFERROR((AA845+AB845)*SETTINGS!$C$10,"")</f>
        <v>2.6250000000000002E-2</v>
      </c>
    </row>
    <row r="846" spans="1:29" ht="16" x14ac:dyDescent="0.2">
      <c r="A846" s="25"/>
      <c r="H846" t="str">
        <f>IFERROR(VLOOKUP(G846,FILAMENTI_DB!$A:$C,3,FALSE),"")</f>
        <v/>
      </c>
      <c r="I846" t="str">
        <f>IFERROR(VLOOKUP(G846,FILAMENTI_DB!$A:$E,4,FALSE),"")</f>
        <v/>
      </c>
      <c r="J846" s="26"/>
      <c r="K846" s="27"/>
      <c r="L846" s="27"/>
      <c r="M846" s="27">
        <f t="shared" si="80"/>
        <v>0</v>
      </c>
      <c r="N846" s="26">
        <f t="shared" si="81"/>
        <v>0</v>
      </c>
      <c r="O846" s="26"/>
      <c r="P846" s="26"/>
      <c r="Q846" s="23"/>
      <c r="R846" s="23">
        <f t="shared" si="82"/>
        <v>0</v>
      </c>
      <c r="S846" s="23"/>
      <c r="T846" s="23">
        <f t="shared" si="83"/>
        <v>0</v>
      </c>
      <c r="U846" s="28" t="str">
        <f t="shared" si="84"/>
        <v/>
      </c>
      <c r="V846" s="10" t="str">
        <f>IFERROR(N846*VLOOKUP(G846,FILAMENTI_DB!$A:$J,10,FALSE),"")</f>
        <v/>
      </c>
      <c r="W846" s="23" t="str">
        <f>IFERROR((VLOOKUP(F846,STAMPANTI_DB!$A:$C,3,FALSE)/1000)*O846*SETTINGS!$C$6,"")</f>
        <v/>
      </c>
      <c r="X846" s="23" t="str">
        <f>IFERROR(O846*VLOOKUP(F846,STAMPANTI_DB!$A:$I,9,FALSE),"")</f>
        <v/>
      </c>
      <c r="Y846" s="23">
        <f>IFERROR(P846*SETTINGS!$C$7,"")</f>
        <v>0</v>
      </c>
      <c r="Z846" s="23">
        <f>SETTINGS!$C$11</f>
        <v>0.5</v>
      </c>
      <c r="AA846" s="23">
        <f t="shared" si="85"/>
        <v>0.5</v>
      </c>
      <c r="AB846" s="23">
        <f>IFERROR(AA846*SETTINGS!$C$9,"")</f>
        <v>2.5000000000000001E-2</v>
      </c>
      <c r="AC846" s="23">
        <f>IFERROR((AA846+AB846)*SETTINGS!$C$10,"")</f>
        <v>2.6250000000000002E-2</v>
      </c>
    </row>
    <row r="847" spans="1:29" ht="16" x14ac:dyDescent="0.2">
      <c r="A847" s="25"/>
      <c r="H847" t="str">
        <f>IFERROR(VLOOKUP(G847,FILAMENTI_DB!$A:$C,3,FALSE),"")</f>
        <v/>
      </c>
      <c r="I847" t="str">
        <f>IFERROR(VLOOKUP(G847,FILAMENTI_DB!$A:$E,4,FALSE),"")</f>
        <v/>
      </c>
      <c r="J847" s="26"/>
      <c r="K847" s="27"/>
      <c r="L847" s="27"/>
      <c r="M847" s="27">
        <f t="shared" si="80"/>
        <v>0</v>
      </c>
      <c r="N847" s="26">
        <f t="shared" si="81"/>
        <v>0</v>
      </c>
      <c r="O847" s="26"/>
      <c r="P847" s="26"/>
      <c r="Q847" s="23"/>
      <c r="R847" s="23">
        <f t="shared" si="82"/>
        <v>0</v>
      </c>
      <c r="S847" s="23"/>
      <c r="T847" s="23">
        <f t="shared" si="83"/>
        <v>0</v>
      </c>
      <c r="U847" s="28" t="str">
        <f t="shared" si="84"/>
        <v/>
      </c>
      <c r="V847" s="10" t="str">
        <f>IFERROR(N847*VLOOKUP(G847,FILAMENTI_DB!$A:$J,10,FALSE),"")</f>
        <v/>
      </c>
      <c r="W847" s="23" t="str">
        <f>IFERROR((VLOOKUP(F847,STAMPANTI_DB!$A:$C,3,FALSE)/1000)*O847*SETTINGS!$C$6,"")</f>
        <v/>
      </c>
      <c r="X847" s="23" t="str">
        <f>IFERROR(O847*VLOOKUP(F847,STAMPANTI_DB!$A:$I,9,FALSE),"")</f>
        <v/>
      </c>
      <c r="Y847" s="23">
        <f>IFERROR(P847*SETTINGS!$C$7,"")</f>
        <v>0</v>
      </c>
      <c r="Z847" s="23">
        <f>SETTINGS!$C$11</f>
        <v>0.5</v>
      </c>
      <c r="AA847" s="23">
        <f t="shared" si="85"/>
        <v>0.5</v>
      </c>
      <c r="AB847" s="23">
        <f>IFERROR(AA847*SETTINGS!$C$9,"")</f>
        <v>2.5000000000000001E-2</v>
      </c>
      <c r="AC847" s="23">
        <f>IFERROR((AA847+AB847)*SETTINGS!$C$10,"")</f>
        <v>2.6250000000000002E-2</v>
      </c>
    </row>
    <row r="848" spans="1:29" ht="16" x14ac:dyDescent="0.2">
      <c r="A848" s="25"/>
      <c r="H848" t="str">
        <f>IFERROR(VLOOKUP(G848,FILAMENTI_DB!$A:$C,3,FALSE),"")</f>
        <v/>
      </c>
      <c r="I848" t="str">
        <f>IFERROR(VLOOKUP(G848,FILAMENTI_DB!$A:$E,4,FALSE),"")</f>
        <v/>
      </c>
      <c r="J848" s="26"/>
      <c r="K848" s="27"/>
      <c r="L848" s="27"/>
      <c r="M848" s="27">
        <f t="shared" si="80"/>
        <v>0</v>
      </c>
      <c r="N848" s="26">
        <f t="shared" si="81"/>
        <v>0</v>
      </c>
      <c r="O848" s="26"/>
      <c r="P848" s="26"/>
      <c r="Q848" s="23"/>
      <c r="R848" s="23">
        <f t="shared" si="82"/>
        <v>0</v>
      </c>
      <c r="S848" s="23"/>
      <c r="T848" s="23">
        <f t="shared" si="83"/>
        <v>0</v>
      </c>
      <c r="U848" s="28" t="str">
        <f t="shared" si="84"/>
        <v/>
      </c>
      <c r="V848" s="10" t="str">
        <f>IFERROR(N848*VLOOKUP(G848,FILAMENTI_DB!$A:$J,10,FALSE),"")</f>
        <v/>
      </c>
      <c r="W848" s="23" t="str">
        <f>IFERROR((VLOOKUP(F848,STAMPANTI_DB!$A:$C,3,FALSE)/1000)*O848*SETTINGS!$C$6,"")</f>
        <v/>
      </c>
      <c r="X848" s="23" t="str">
        <f>IFERROR(O848*VLOOKUP(F848,STAMPANTI_DB!$A:$I,9,FALSE),"")</f>
        <v/>
      </c>
      <c r="Y848" s="23">
        <f>IFERROR(P848*SETTINGS!$C$7,"")</f>
        <v>0</v>
      </c>
      <c r="Z848" s="23">
        <f>SETTINGS!$C$11</f>
        <v>0.5</v>
      </c>
      <c r="AA848" s="23">
        <f t="shared" si="85"/>
        <v>0.5</v>
      </c>
      <c r="AB848" s="23">
        <f>IFERROR(AA848*SETTINGS!$C$9,"")</f>
        <v>2.5000000000000001E-2</v>
      </c>
      <c r="AC848" s="23">
        <f>IFERROR((AA848+AB848)*SETTINGS!$C$10,"")</f>
        <v>2.6250000000000002E-2</v>
      </c>
    </row>
    <row r="849" spans="1:29" ht="16" x14ac:dyDescent="0.2">
      <c r="A849" s="25"/>
      <c r="H849" t="str">
        <f>IFERROR(VLOOKUP(G849,FILAMENTI_DB!$A:$C,3,FALSE),"")</f>
        <v/>
      </c>
      <c r="I849" t="str">
        <f>IFERROR(VLOOKUP(G849,FILAMENTI_DB!$A:$E,4,FALSE),"")</f>
        <v/>
      </c>
      <c r="J849" s="26"/>
      <c r="K849" s="27"/>
      <c r="L849" s="27"/>
      <c r="M849" s="27">
        <f t="shared" si="80"/>
        <v>0</v>
      </c>
      <c r="N849" s="26">
        <f t="shared" si="81"/>
        <v>0</v>
      </c>
      <c r="O849" s="26"/>
      <c r="P849" s="26"/>
      <c r="Q849" s="23"/>
      <c r="R849" s="23">
        <f t="shared" si="82"/>
        <v>0</v>
      </c>
      <c r="S849" s="23"/>
      <c r="T849" s="23">
        <f t="shared" si="83"/>
        <v>0</v>
      </c>
      <c r="U849" s="28" t="str">
        <f t="shared" si="84"/>
        <v/>
      </c>
      <c r="V849" s="10" t="str">
        <f>IFERROR(N849*VLOOKUP(G849,FILAMENTI_DB!$A:$J,10,FALSE),"")</f>
        <v/>
      </c>
      <c r="W849" s="23" t="str">
        <f>IFERROR((VLOOKUP(F849,STAMPANTI_DB!$A:$C,3,FALSE)/1000)*O849*SETTINGS!$C$6,"")</f>
        <v/>
      </c>
      <c r="X849" s="23" t="str">
        <f>IFERROR(O849*VLOOKUP(F849,STAMPANTI_DB!$A:$I,9,FALSE),"")</f>
        <v/>
      </c>
      <c r="Y849" s="23">
        <f>IFERROR(P849*SETTINGS!$C$7,"")</f>
        <v>0</v>
      </c>
      <c r="Z849" s="23">
        <f>SETTINGS!$C$11</f>
        <v>0.5</v>
      </c>
      <c r="AA849" s="23">
        <f t="shared" si="85"/>
        <v>0.5</v>
      </c>
      <c r="AB849" s="23">
        <f>IFERROR(AA849*SETTINGS!$C$9,"")</f>
        <v>2.5000000000000001E-2</v>
      </c>
      <c r="AC849" s="23">
        <f>IFERROR((AA849+AB849)*SETTINGS!$C$10,"")</f>
        <v>2.6250000000000002E-2</v>
      </c>
    </row>
    <row r="850" spans="1:29" ht="16" x14ac:dyDescent="0.2">
      <c r="A850" s="25"/>
      <c r="H850" t="str">
        <f>IFERROR(VLOOKUP(G850,FILAMENTI_DB!$A:$C,3,FALSE),"")</f>
        <v/>
      </c>
      <c r="I850" t="str">
        <f>IFERROR(VLOOKUP(G850,FILAMENTI_DB!$A:$E,4,FALSE),"")</f>
        <v/>
      </c>
      <c r="J850" s="26"/>
      <c r="K850" s="27"/>
      <c r="L850" s="27"/>
      <c r="M850" s="27">
        <f t="shared" si="80"/>
        <v>0</v>
      </c>
      <c r="N850" s="26">
        <f t="shared" si="81"/>
        <v>0</v>
      </c>
      <c r="O850" s="26"/>
      <c r="P850" s="26"/>
      <c r="Q850" s="23"/>
      <c r="R850" s="23">
        <f t="shared" si="82"/>
        <v>0</v>
      </c>
      <c r="S850" s="23"/>
      <c r="T850" s="23">
        <f t="shared" si="83"/>
        <v>0</v>
      </c>
      <c r="U850" s="28" t="str">
        <f t="shared" si="84"/>
        <v/>
      </c>
      <c r="V850" s="10" t="str">
        <f>IFERROR(N850*VLOOKUP(G850,FILAMENTI_DB!$A:$J,10,FALSE),"")</f>
        <v/>
      </c>
      <c r="W850" s="23" t="str">
        <f>IFERROR((VLOOKUP(F850,STAMPANTI_DB!$A:$C,3,FALSE)/1000)*O850*SETTINGS!$C$6,"")</f>
        <v/>
      </c>
      <c r="X850" s="23" t="str">
        <f>IFERROR(O850*VLOOKUP(F850,STAMPANTI_DB!$A:$I,9,FALSE),"")</f>
        <v/>
      </c>
      <c r="Y850" s="23">
        <f>IFERROR(P850*SETTINGS!$C$7,"")</f>
        <v>0</v>
      </c>
      <c r="Z850" s="23">
        <f>SETTINGS!$C$11</f>
        <v>0.5</v>
      </c>
      <c r="AA850" s="23">
        <f t="shared" si="85"/>
        <v>0.5</v>
      </c>
      <c r="AB850" s="23">
        <f>IFERROR(AA850*SETTINGS!$C$9,"")</f>
        <v>2.5000000000000001E-2</v>
      </c>
      <c r="AC850" s="23">
        <f>IFERROR((AA850+AB850)*SETTINGS!$C$10,"")</f>
        <v>2.6250000000000002E-2</v>
      </c>
    </row>
    <row r="851" spans="1:29" ht="16" x14ac:dyDescent="0.2">
      <c r="A851" s="25"/>
      <c r="H851" t="str">
        <f>IFERROR(VLOOKUP(G851,FILAMENTI_DB!$A:$C,3,FALSE),"")</f>
        <v/>
      </c>
      <c r="I851" t="str">
        <f>IFERROR(VLOOKUP(G851,FILAMENTI_DB!$A:$E,4,FALSE),"")</f>
        <v/>
      </c>
      <c r="J851" s="26"/>
      <c r="K851" s="27"/>
      <c r="L851" s="27"/>
      <c r="M851" s="27">
        <f t="shared" si="80"/>
        <v>0</v>
      </c>
      <c r="N851" s="26">
        <f t="shared" si="81"/>
        <v>0</v>
      </c>
      <c r="O851" s="26"/>
      <c r="P851" s="26"/>
      <c r="Q851" s="23"/>
      <c r="R851" s="23">
        <f t="shared" si="82"/>
        <v>0</v>
      </c>
      <c r="S851" s="23"/>
      <c r="T851" s="23">
        <f t="shared" si="83"/>
        <v>0</v>
      </c>
      <c r="U851" s="28" t="str">
        <f t="shared" si="84"/>
        <v/>
      </c>
      <c r="V851" s="10" t="str">
        <f>IFERROR(N851*VLOOKUP(G851,FILAMENTI_DB!$A:$J,10,FALSE),"")</f>
        <v/>
      </c>
      <c r="W851" s="23" t="str">
        <f>IFERROR((VLOOKUP(F851,STAMPANTI_DB!$A:$C,3,FALSE)/1000)*O851*SETTINGS!$C$6,"")</f>
        <v/>
      </c>
      <c r="X851" s="23" t="str">
        <f>IFERROR(O851*VLOOKUP(F851,STAMPANTI_DB!$A:$I,9,FALSE),"")</f>
        <v/>
      </c>
      <c r="Y851" s="23">
        <f>IFERROR(P851*SETTINGS!$C$7,"")</f>
        <v>0</v>
      </c>
      <c r="Z851" s="23">
        <f>SETTINGS!$C$11</f>
        <v>0.5</v>
      </c>
      <c r="AA851" s="23">
        <f t="shared" si="85"/>
        <v>0.5</v>
      </c>
      <c r="AB851" s="23">
        <f>IFERROR(AA851*SETTINGS!$C$9,"")</f>
        <v>2.5000000000000001E-2</v>
      </c>
      <c r="AC851" s="23">
        <f>IFERROR((AA851+AB851)*SETTINGS!$C$10,"")</f>
        <v>2.6250000000000002E-2</v>
      </c>
    </row>
    <row r="852" spans="1:29" ht="16" x14ac:dyDescent="0.2">
      <c r="A852" s="25"/>
      <c r="H852" t="str">
        <f>IFERROR(VLOOKUP(G852,FILAMENTI_DB!$A:$C,3,FALSE),"")</f>
        <v/>
      </c>
      <c r="I852" t="str">
        <f>IFERROR(VLOOKUP(G852,FILAMENTI_DB!$A:$E,4,FALSE),"")</f>
        <v/>
      </c>
      <c r="J852" s="26"/>
      <c r="K852" s="27"/>
      <c r="L852" s="27"/>
      <c r="M852" s="27">
        <f t="shared" si="80"/>
        <v>0</v>
      </c>
      <c r="N852" s="26">
        <f t="shared" si="81"/>
        <v>0</v>
      </c>
      <c r="O852" s="26"/>
      <c r="P852" s="26"/>
      <c r="Q852" s="23"/>
      <c r="R852" s="23">
        <f t="shared" si="82"/>
        <v>0</v>
      </c>
      <c r="S852" s="23"/>
      <c r="T852" s="23">
        <f t="shared" si="83"/>
        <v>0</v>
      </c>
      <c r="U852" s="28" t="str">
        <f t="shared" si="84"/>
        <v/>
      </c>
      <c r="V852" s="10" t="str">
        <f>IFERROR(N852*VLOOKUP(G852,FILAMENTI_DB!$A:$J,10,FALSE),"")</f>
        <v/>
      </c>
      <c r="W852" s="23" t="str">
        <f>IFERROR((VLOOKUP(F852,STAMPANTI_DB!$A:$C,3,FALSE)/1000)*O852*SETTINGS!$C$6,"")</f>
        <v/>
      </c>
      <c r="X852" s="23" t="str">
        <f>IFERROR(O852*VLOOKUP(F852,STAMPANTI_DB!$A:$I,9,FALSE),"")</f>
        <v/>
      </c>
      <c r="Y852" s="23">
        <f>IFERROR(P852*SETTINGS!$C$7,"")</f>
        <v>0</v>
      </c>
      <c r="Z852" s="23">
        <f>SETTINGS!$C$11</f>
        <v>0.5</v>
      </c>
      <c r="AA852" s="23">
        <f t="shared" si="85"/>
        <v>0.5</v>
      </c>
      <c r="AB852" s="23">
        <f>IFERROR(AA852*SETTINGS!$C$9,"")</f>
        <v>2.5000000000000001E-2</v>
      </c>
      <c r="AC852" s="23">
        <f>IFERROR((AA852+AB852)*SETTINGS!$C$10,"")</f>
        <v>2.6250000000000002E-2</v>
      </c>
    </row>
    <row r="853" spans="1:29" ht="16" x14ac:dyDescent="0.2">
      <c r="A853" s="25"/>
      <c r="H853" t="str">
        <f>IFERROR(VLOOKUP(G853,FILAMENTI_DB!$A:$C,3,FALSE),"")</f>
        <v/>
      </c>
      <c r="I853" t="str">
        <f>IFERROR(VLOOKUP(G853,FILAMENTI_DB!$A:$E,4,FALSE),"")</f>
        <v/>
      </c>
      <c r="J853" s="26"/>
      <c r="K853" s="27"/>
      <c r="L853" s="27"/>
      <c r="M853" s="27">
        <f t="shared" si="80"/>
        <v>0</v>
      </c>
      <c r="N853" s="26">
        <f t="shared" si="81"/>
        <v>0</v>
      </c>
      <c r="O853" s="26"/>
      <c r="P853" s="26"/>
      <c r="Q853" s="23"/>
      <c r="R853" s="23">
        <f t="shared" si="82"/>
        <v>0</v>
      </c>
      <c r="S853" s="23"/>
      <c r="T853" s="23">
        <f t="shared" si="83"/>
        <v>0</v>
      </c>
      <c r="U853" s="28" t="str">
        <f t="shared" si="84"/>
        <v/>
      </c>
      <c r="V853" s="10" t="str">
        <f>IFERROR(N853*VLOOKUP(G853,FILAMENTI_DB!$A:$J,10,FALSE),"")</f>
        <v/>
      </c>
      <c r="W853" s="23" t="str">
        <f>IFERROR((VLOOKUP(F853,STAMPANTI_DB!$A:$C,3,FALSE)/1000)*O853*SETTINGS!$C$6,"")</f>
        <v/>
      </c>
      <c r="X853" s="23" t="str">
        <f>IFERROR(O853*VLOOKUP(F853,STAMPANTI_DB!$A:$I,9,FALSE),"")</f>
        <v/>
      </c>
      <c r="Y853" s="23">
        <f>IFERROR(P853*SETTINGS!$C$7,"")</f>
        <v>0</v>
      </c>
      <c r="Z853" s="23">
        <f>SETTINGS!$C$11</f>
        <v>0.5</v>
      </c>
      <c r="AA853" s="23">
        <f t="shared" si="85"/>
        <v>0.5</v>
      </c>
      <c r="AB853" s="23">
        <f>IFERROR(AA853*SETTINGS!$C$9,"")</f>
        <v>2.5000000000000001E-2</v>
      </c>
      <c r="AC853" s="23">
        <f>IFERROR((AA853+AB853)*SETTINGS!$C$10,"")</f>
        <v>2.6250000000000002E-2</v>
      </c>
    </row>
    <row r="854" spans="1:29" ht="16" x14ac:dyDescent="0.2">
      <c r="A854" s="25"/>
      <c r="H854" t="str">
        <f>IFERROR(VLOOKUP(G854,FILAMENTI_DB!$A:$C,3,FALSE),"")</f>
        <v/>
      </c>
      <c r="I854" t="str">
        <f>IFERROR(VLOOKUP(G854,FILAMENTI_DB!$A:$E,4,FALSE),"")</f>
        <v/>
      </c>
      <c r="J854" s="26"/>
      <c r="K854" s="27"/>
      <c r="L854" s="27"/>
      <c r="M854" s="27">
        <f t="shared" si="80"/>
        <v>0</v>
      </c>
      <c r="N854" s="26">
        <f t="shared" si="81"/>
        <v>0</v>
      </c>
      <c r="O854" s="26"/>
      <c r="P854" s="26"/>
      <c r="Q854" s="23"/>
      <c r="R854" s="23">
        <f t="shared" si="82"/>
        <v>0</v>
      </c>
      <c r="S854" s="23"/>
      <c r="T854" s="23">
        <f t="shared" si="83"/>
        <v>0</v>
      </c>
      <c r="U854" s="28" t="str">
        <f t="shared" si="84"/>
        <v/>
      </c>
      <c r="V854" s="10" t="str">
        <f>IFERROR(N854*VLOOKUP(G854,FILAMENTI_DB!$A:$J,10,FALSE),"")</f>
        <v/>
      </c>
      <c r="W854" s="23" t="str">
        <f>IFERROR((VLOOKUP(F854,STAMPANTI_DB!$A:$C,3,FALSE)/1000)*O854*SETTINGS!$C$6,"")</f>
        <v/>
      </c>
      <c r="X854" s="23" t="str">
        <f>IFERROR(O854*VLOOKUP(F854,STAMPANTI_DB!$A:$I,9,FALSE),"")</f>
        <v/>
      </c>
      <c r="Y854" s="23">
        <f>IFERROR(P854*SETTINGS!$C$7,"")</f>
        <v>0</v>
      </c>
      <c r="Z854" s="23">
        <f>SETTINGS!$C$11</f>
        <v>0.5</v>
      </c>
      <c r="AA854" s="23">
        <f t="shared" si="85"/>
        <v>0.5</v>
      </c>
      <c r="AB854" s="23">
        <f>IFERROR(AA854*SETTINGS!$C$9,"")</f>
        <v>2.5000000000000001E-2</v>
      </c>
      <c r="AC854" s="23">
        <f>IFERROR((AA854+AB854)*SETTINGS!$C$10,"")</f>
        <v>2.6250000000000002E-2</v>
      </c>
    </row>
    <row r="855" spans="1:29" ht="16" x14ac:dyDescent="0.2">
      <c r="A855" s="25"/>
      <c r="H855" t="str">
        <f>IFERROR(VLOOKUP(G855,FILAMENTI_DB!$A:$C,3,FALSE),"")</f>
        <v/>
      </c>
      <c r="I855" t="str">
        <f>IFERROR(VLOOKUP(G855,FILAMENTI_DB!$A:$E,4,FALSE),"")</f>
        <v/>
      </c>
      <c r="J855" s="26"/>
      <c r="K855" s="27"/>
      <c r="L855" s="27"/>
      <c r="M855" s="27">
        <f t="shared" si="80"/>
        <v>0</v>
      </c>
      <c r="N855" s="26">
        <f t="shared" si="81"/>
        <v>0</v>
      </c>
      <c r="O855" s="26"/>
      <c r="P855" s="26"/>
      <c r="Q855" s="23"/>
      <c r="R855" s="23">
        <f t="shared" si="82"/>
        <v>0</v>
      </c>
      <c r="S855" s="23"/>
      <c r="T855" s="23">
        <f t="shared" si="83"/>
        <v>0</v>
      </c>
      <c r="U855" s="28" t="str">
        <f t="shared" si="84"/>
        <v/>
      </c>
      <c r="V855" s="10" t="str">
        <f>IFERROR(N855*VLOOKUP(G855,FILAMENTI_DB!$A:$J,10,FALSE),"")</f>
        <v/>
      </c>
      <c r="W855" s="23" t="str">
        <f>IFERROR((VLOOKUP(F855,STAMPANTI_DB!$A:$C,3,FALSE)/1000)*O855*SETTINGS!$C$6,"")</f>
        <v/>
      </c>
      <c r="X855" s="23" t="str">
        <f>IFERROR(O855*VLOOKUP(F855,STAMPANTI_DB!$A:$I,9,FALSE),"")</f>
        <v/>
      </c>
      <c r="Y855" s="23">
        <f>IFERROR(P855*SETTINGS!$C$7,"")</f>
        <v>0</v>
      </c>
      <c r="Z855" s="23">
        <f>SETTINGS!$C$11</f>
        <v>0.5</v>
      </c>
      <c r="AA855" s="23">
        <f t="shared" si="85"/>
        <v>0.5</v>
      </c>
      <c r="AB855" s="23">
        <f>IFERROR(AA855*SETTINGS!$C$9,"")</f>
        <v>2.5000000000000001E-2</v>
      </c>
      <c r="AC855" s="23">
        <f>IFERROR((AA855+AB855)*SETTINGS!$C$10,"")</f>
        <v>2.6250000000000002E-2</v>
      </c>
    </row>
    <row r="856" spans="1:29" ht="16" x14ac:dyDescent="0.2">
      <c r="A856" s="25"/>
      <c r="H856" t="str">
        <f>IFERROR(VLOOKUP(G856,FILAMENTI_DB!$A:$C,3,FALSE),"")</f>
        <v/>
      </c>
      <c r="I856" t="str">
        <f>IFERROR(VLOOKUP(G856,FILAMENTI_DB!$A:$E,4,FALSE),"")</f>
        <v/>
      </c>
      <c r="J856" s="26"/>
      <c r="K856" s="27"/>
      <c r="L856" s="27"/>
      <c r="M856" s="27">
        <f t="shared" si="80"/>
        <v>0</v>
      </c>
      <c r="N856" s="26">
        <f t="shared" si="81"/>
        <v>0</v>
      </c>
      <c r="O856" s="26"/>
      <c r="P856" s="26"/>
      <c r="Q856" s="23"/>
      <c r="R856" s="23">
        <f t="shared" si="82"/>
        <v>0</v>
      </c>
      <c r="S856" s="23"/>
      <c r="T856" s="23">
        <f t="shared" si="83"/>
        <v>0</v>
      </c>
      <c r="U856" s="28" t="str">
        <f t="shared" si="84"/>
        <v/>
      </c>
      <c r="V856" s="10" t="str">
        <f>IFERROR(N856*VLOOKUP(G856,FILAMENTI_DB!$A:$J,10,FALSE),"")</f>
        <v/>
      </c>
      <c r="W856" s="23" t="str">
        <f>IFERROR((VLOOKUP(F856,STAMPANTI_DB!$A:$C,3,FALSE)/1000)*O856*SETTINGS!$C$6,"")</f>
        <v/>
      </c>
      <c r="X856" s="23" t="str">
        <f>IFERROR(O856*VLOOKUP(F856,STAMPANTI_DB!$A:$I,9,FALSE),"")</f>
        <v/>
      </c>
      <c r="Y856" s="23">
        <f>IFERROR(P856*SETTINGS!$C$7,"")</f>
        <v>0</v>
      </c>
      <c r="Z856" s="23">
        <f>SETTINGS!$C$11</f>
        <v>0.5</v>
      </c>
      <c r="AA856" s="23">
        <f t="shared" si="85"/>
        <v>0.5</v>
      </c>
      <c r="AB856" s="23">
        <f>IFERROR(AA856*SETTINGS!$C$9,"")</f>
        <v>2.5000000000000001E-2</v>
      </c>
      <c r="AC856" s="23">
        <f>IFERROR((AA856+AB856)*SETTINGS!$C$10,"")</f>
        <v>2.6250000000000002E-2</v>
      </c>
    </row>
    <row r="857" spans="1:29" ht="16" x14ac:dyDescent="0.2">
      <c r="A857" s="25"/>
      <c r="H857" t="str">
        <f>IFERROR(VLOOKUP(G857,FILAMENTI_DB!$A:$C,3,FALSE),"")</f>
        <v/>
      </c>
      <c r="I857" t="str">
        <f>IFERROR(VLOOKUP(G857,FILAMENTI_DB!$A:$E,4,FALSE),"")</f>
        <v/>
      </c>
      <c r="J857" s="26"/>
      <c r="K857" s="27"/>
      <c r="L857" s="27"/>
      <c r="M857" s="27">
        <f t="shared" si="80"/>
        <v>0</v>
      </c>
      <c r="N857" s="26">
        <f t="shared" si="81"/>
        <v>0</v>
      </c>
      <c r="O857" s="26"/>
      <c r="P857" s="26"/>
      <c r="Q857" s="23"/>
      <c r="R857" s="23">
        <f t="shared" si="82"/>
        <v>0</v>
      </c>
      <c r="S857" s="23"/>
      <c r="T857" s="23">
        <f t="shared" si="83"/>
        <v>0</v>
      </c>
      <c r="U857" s="28" t="str">
        <f t="shared" si="84"/>
        <v/>
      </c>
      <c r="V857" s="10" t="str">
        <f>IFERROR(N857*VLOOKUP(G857,FILAMENTI_DB!$A:$J,10,FALSE),"")</f>
        <v/>
      </c>
      <c r="W857" s="23" t="str">
        <f>IFERROR((VLOOKUP(F857,STAMPANTI_DB!$A:$C,3,FALSE)/1000)*O857*SETTINGS!$C$6,"")</f>
        <v/>
      </c>
      <c r="X857" s="23" t="str">
        <f>IFERROR(O857*VLOOKUP(F857,STAMPANTI_DB!$A:$I,9,FALSE),"")</f>
        <v/>
      </c>
      <c r="Y857" s="23">
        <f>IFERROR(P857*SETTINGS!$C$7,"")</f>
        <v>0</v>
      </c>
      <c r="Z857" s="23">
        <f>SETTINGS!$C$11</f>
        <v>0.5</v>
      </c>
      <c r="AA857" s="23">
        <f t="shared" si="85"/>
        <v>0.5</v>
      </c>
      <c r="AB857" s="23">
        <f>IFERROR(AA857*SETTINGS!$C$9,"")</f>
        <v>2.5000000000000001E-2</v>
      </c>
      <c r="AC857" s="23">
        <f>IFERROR((AA857+AB857)*SETTINGS!$C$10,"")</f>
        <v>2.6250000000000002E-2</v>
      </c>
    </row>
    <row r="858" spans="1:29" ht="16" x14ac:dyDescent="0.2">
      <c r="A858" s="25"/>
      <c r="H858" t="str">
        <f>IFERROR(VLOOKUP(G858,FILAMENTI_DB!$A:$C,3,FALSE),"")</f>
        <v/>
      </c>
      <c r="I858" t="str">
        <f>IFERROR(VLOOKUP(G858,FILAMENTI_DB!$A:$E,4,FALSE),"")</f>
        <v/>
      </c>
      <c r="J858" s="26"/>
      <c r="K858" s="27"/>
      <c r="L858" s="27"/>
      <c r="M858" s="27">
        <f t="shared" si="80"/>
        <v>0</v>
      </c>
      <c r="N858" s="26">
        <f t="shared" si="81"/>
        <v>0</v>
      </c>
      <c r="O858" s="26"/>
      <c r="P858" s="26"/>
      <c r="Q858" s="23"/>
      <c r="R858" s="23">
        <f t="shared" si="82"/>
        <v>0</v>
      </c>
      <c r="S858" s="23"/>
      <c r="T858" s="23">
        <f t="shared" si="83"/>
        <v>0</v>
      </c>
      <c r="U858" s="28" t="str">
        <f t="shared" si="84"/>
        <v/>
      </c>
      <c r="V858" s="10" t="str">
        <f>IFERROR(N858*VLOOKUP(G858,FILAMENTI_DB!$A:$J,10,FALSE),"")</f>
        <v/>
      </c>
      <c r="W858" s="23" t="str">
        <f>IFERROR((VLOOKUP(F858,STAMPANTI_DB!$A:$C,3,FALSE)/1000)*O858*SETTINGS!$C$6,"")</f>
        <v/>
      </c>
      <c r="X858" s="23" t="str">
        <f>IFERROR(O858*VLOOKUP(F858,STAMPANTI_DB!$A:$I,9,FALSE),"")</f>
        <v/>
      </c>
      <c r="Y858" s="23">
        <f>IFERROR(P858*SETTINGS!$C$7,"")</f>
        <v>0</v>
      </c>
      <c r="Z858" s="23">
        <f>SETTINGS!$C$11</f>
        <v>0.5</v>
      </c>
      <c r="AA858" s="23">
        <f t="shared" si="85"/>
        <v>0.5</v>
      </c>
      <c r="AB858" s="23">
        <f>IFERROR(AA858*SETTINGS!$C$9,"")</f>
        <v>2.5000000000000001E-2</v>
      </c>
      <c r="AC858" s="23">
        <f>IFERROR((AA858+AB858)*SETTINGS!$C$10,"")</f>
        <v>2.6250000000000002E-2</v>
      </c>
    </row>
    <row r="859" spans="1:29" ht="16" x14ac:dyDescent="0.2">
      <c r="A859" s="25"/>
      <c r="H859" t="str">
        <f>IFERROR(VLOOKUP(G859,FILAMENTI_DB!$A:$C,3,FALSE),"")</f>
        <v/>
      </c>
      <c r="I859" t="str">
        <f>IFERROR(VLOOKUP(G859,FILAMENTI_DB!$A:$E,4,FALSE),"")</f>
        <v/>
      </c>
      <c r="J859" s="26"/>
      <c r="K859" s="27"/>
      <c r="L859" s="27"/>
      <c r="M859" s="27">
        <f t="shared" si="80"/>
        <v>0</v>
      </c>
      <c r="N859" s="26">
        <f t="shared" si="81"/>
        <v>0</v>
      </c>
      <c r="O859" s="26"/>
      <c r="P859" s="26"/>
      <c r="Q859" s="23"/>
      <c r="R859" s="23">
        <f t="shared" si="82"/>
        <v>0</v>
      </c>
      <c r="S859" s="23"/>
      <c r="T859" s="23">
        <f t="shared" si="83"/>
        <v>0</v>
      </c>
      <c r="U859" s="28" t="str">
        <f t="shared" si="84"/>
        <v/>
      </c>
      <c r="V859" s="10" t="str">
        <f>IFERROR(N859*VLOOKUP(G859,FILAMENTI_DB!$A:$J,10,FALSE),"")</f>
        <v/>
      </c>
      <c r="W859" s="23" t="str">
        <f>IFERROR((VLOOKUP(F859,STAMPANTI_DB!$A:$C,3,FALSE)/1000)*O859*SETTINGS!$C$6,"")</f>
        <v/>
      </c>
      <c r="X859" s="23" t="str">
        <f>IFERROR(O859*VLOOKUP(F859,STAMPANTI_DB!$A:$I,9,FALSE),"")</f>
        <v/>
      </c>
      <c r="Y859" s="23">
        <f>IFERROR(P859*SETTINGS!$C$7,"")</f>
        <v>0</v>
      </c>
      <c r="Z859" s="23">
        <f>SETTINGS!$C$11</f>
        <v>0.5</v>
      </c>
      <c r="AA859" s="23">
        <f t="shared" si="85"/>
        <v>0.5</v>
      </c>
      <c r="AB859" s="23">
        <f>IFERROR(AA859*SETTINGS!$C$9,"")</f>
        <v>2.5000000000000001E-2</v>
      </c>
      <c r="AC859" s="23">
        <f>IFERROR((AA859+AB859)*SETTINGS!$C$10,"")</f>
        <v>2.6250000000000002E-2</v>
      </c>
    </row>
    <row r="860" spans="1:29" ht="16" x14ac:dyDescent="0.2">
      <c r="A860" s="25"/>
      <c r="H860" t="str">
        <f>IFERROR(VLOOKUP(G860,FILAMENTI_DB!$A:$C,3,FALSE),"")</f>
        <v/>
      </c>
      <c r="I860" t="str">
        <f>IFERROR(VLOOKUP(G860,FILAMENTI_DB!$A:$E,4,FALSE),"")</f>
        <v/>
      </c>
      <c r="J860" s="26"/>
      <c r="K860" s="27"/>
      <c r="L860" s="27"/>
      <c r="M860" s="27">
        <f t="shared" si="80"/>
        <v>0</v>
      </c>
      <c r="N860" s="26">
        <f t="shared" si="81"/>
        <v>0</v>
      </c>
      <c r="O860" s="26"/>
      <c r="P860" s="26"/>
      <c r="Q860" s="23"/>
      <c r="R860" s="23">
        <f t="shared" si="82"/>
        <v>0</v>
      </c>
      <c r="S860" s="23"/>
      <c r="T860" s="23">
        <f t="shared" si="83"/>
        <v>0</v>
      </c>
      <c r="U860" s="28" t="str">
        <f t="shared" si="84"/>
        <v/>
      </c>
      <c r="V860" s="10" t="str">
        <f>IFERROR(N860*VLOOKUP(G860,FILAMENTI_DB!$A:$J,10,FALSE),"")</f>
        <v/>
      </c>
      <c r="W860" s="23" t="str">
        <f>IFERROR((VLOOKUP(F860,STAMPANTI_DB!$A:$C,3,FALSE)/1000)*O860*SETTINGS!$C$6,"")</f>
        <v/>
      </c>
      <c r="X860" s="23" t="str">
        <f>IFERROR(O860*VLOOKUP(F860,STAMPANTI_DB!$A:$I,9,FALSE),"")</f>
        <v/>
      </c>
      <c r="Y860" s="23">
        <f>IFERROR(P860*SETTINGS!$C$7,"")</f>
        <v>0</v>
      </c>
      <c r="Z860" s="23">
        <f>SETTINGS!$C$11</f>
        <v>0.5</v>
      </c>
      <c r="AA860" s="23">
        <f t="shared" si="85"/>
        <v>0.5</v>
      </c>
      <c r="AB860" s="23">
        <f>IFERROR(AA860*SETTINGS!$C$9,"")</f>
        <v>2.5000000000000001E-2</v>
      </c>
      <c r="AC860" s="23">
        <f>IFERROR((AA860+AB860)*SETTINGS!$C$10,"")</f>
        <v>2.6250000000000002E-2</v>
      </c>
    </row>
    <row r="861" spans="1:29" ht="16" x14ac:dyDescent="0.2">
      <c r="A861" s="25"/>
      <c r="H861" t="str">
        <f>IFERROR(VLOOKUP(G861,FILAMENTI_DB!$A:$C,3,FALSE),"")</f>
        <v/>
      </c>
      <c r="I861" t="str">
        <f>IFERROR(VLOOKUP(G861,FILAMENTI_DB!$A:$E,4,FALSE),"")</f>
        <v/>
      </c>
      <c r="J861" s="26"/>
      <c r="K861" s="27"/>
      <c r="L861" s="27"/>
      <c r="M861" s="27">
        <f t="shared" si="80"/>
        <v>0</v>
      </c>
      <c r="N861" s="26">
        <f t="shared" si="81"/>
        <v>0</v>
      </c>
      <c r="O861" s="26"/>
      <c r="P861" s="26"/>
      <c r="Q861" s="23"/>
      <c r="R861" s="23">
        <f t="shared" si="82"/>
        <v>0</v>
      </c>
      <c r="S861" s="23"/>
      <c r="T861" s="23">
        <f t="shared" si="83"/>
        <v>0</v>
      </c>
      <c r="U861" s="28" t="str">
        <f t="shared" si="84"/>
        <v/>
      </c>
      <c r="V861" s="10" t="str">
        <f>IFERROR(N861*VLOOKUP(G861,FILAMENTI_DB!$A:$J,10,FALSE),"")</f>
        <v/>
      </c>
      <c r="W861" s="23" t="str">
        <f>IFERROR((VLOOKUP(F861,STAMPANTI_DB!$A:$C,3,FALSE)/1000)*O861*SETTINGS!$C$6,"")</f>
        <v/>
      </c>
      <c r="X861" s="23" t="str">
        <f>IFERROR(O861*VLOOKUP(F861,STAMPANTI_DB!$A:$I,9,FALSE),"")</f>
        <v/>
      </c>
      <c r="Y861" s="23">
        <f>IFERROR(P861*SETTINGS!$C$7,"")</f>
        <v>0</v>
      </c>
      <c r="Z861" s="23">
        <f>SETTINGS!$C$11</f>
        <v>0.5</v>
      </c>
      <c r="AA861" s="23">
        <f t="shared" si="85"/>
        <v>0.5</v>
      </c>
      <c r="AB861" s="23">
        <f>IFERROR(AA861*SETTINGS!$C$9,"")</f>
        <v>2.5000000000000001E-2</v>
      </c>
      <c r="AC861" s="23">
        <f>IFERROR((AA861+AB861)*SETTINGS!$C$10,"")</f>
        <v>2.6250000000000002E-2</v>
      </c>
    </row>
    <row r="862" spans="1:29" ht="16" x14ac:dyDescent="0.2">
      <c r="A862" s="25"/>
      <c r="H862" t="str">
        <f>IFERROR(VLOOKUP(G862,FILAMENTI_DB!$A:$C,3,FALSE),"")</f>
        <v/>
      </c>
      <c r="I862" t="str">
        <f>IFERROR(VLOOKUP(G862,FILAMENTI_DB!$A:$E,4,FALSE),"")</f>
        <v/>
      </c>
      <c r="J862" s="26"/>
      <c r="K862" s="27"/>
      <c r="L862" s="27"/>
      <c r="M862" s="27">
        <f t="shared" si="80"/>
        <v>0</v>
      </c>
      <c r="N862" s="26">
        <f t="shared" si="81"/>
        <v>0</v>
      </c>
      <c r="O862" s="26"/>
      <c r="P862" s="26"/>
      <c r="Q862" s="23"/>
      <c r="R862" s="23">
        <f t="shared" si="82"/>
        <v>0</v>
      </c>
      <c r="S862" s="23"/>
      <c r="T862" s="23">
        <f t="shared" si="83"/>
        <v>0</v>
      </c>
      <c r="U862" s="28" t="str">
        <f t="shared" si="84"/>
        <v/>
      </c>
      <c r="V862" s="10" t="str">
        <f>IFERROR(N862*VLOOKUP(G862,FILAMENTI_DB!$A:$J,10,FALSE),"")</f>
        <v/>
      </c>
      <c r="W862" s="23" t="str">
        <f>IFERROR((VLOOKUP(F862,STAMPANTI_DB!$A:$C,3,FALSE)/1000)*O862*SETTINGS!$C$6,"")</f>
        <v/>
      </c>
      <c r="X862" s="23" t="str">
        <f>IFERROR(O862*VLOOKUP(F862,STAMPANTI_DB!$A:$I,9,FALSE),"")</f>
        <v/>
      </c>
      <c r="Y862" s="23">
        <f>IFERROR(P862*SETTINGS!$C$7,"")</f>
        <v>0</v>
      </c>
      <c r="Z862" s="23">
        <f>SETTINGS!$C$11</f>
        <v>0.5</v>
      </c>
      <c r="AA862" s="23">
        <f t="shared" si="85"/>
        <v>0.5</v>
      </c>
      <c r="AB862" s="23">
        <f>IFERROR(AA862*SETTINGS!$C$9,"")</f>
        <v>2.5000000000000001E-2</v>
      </c>
      <c r="AC862" s="23">
        <f>IFERROR((AA862+AB862)*SETTINGS!$C$10,"")</f>
        <v>2.6250000000000002E-2</v>
      </c>
    </row>
    <row r="863" spans="1:29" ht="16" x14ac:dyDescent="0.2">
      <c r="A863" s="25"/>
      <c r="H863" t="str">
        <f>IFERROR(VLOOKUP(G863,FILAMENTI_DB!$A:$C,3,FALSE),"")</f>
        <v/>
      </c>
      <c r="I863" t="str">
        <f>IFERROR(VLOOKUP(G863,FILAMENTI_DB!$A:$E,4,FALSE),"")</f>
        <v/>
      </c>
      <c r="J863" s="26"/>
      <c r="K863" s="27"/>
      <c r="L863" s="27"/>
      <c r="M863" s="27">
        <f t="shared" si="80"/>
        <v>0</v>
      </c>
      <c r="N863" s="26">
        <f t="shared" si="81"/>
        <v>0</v>
      </c>
      <c r="O863" s="26"/>
      <c r="P863" s="26"/>
      <c r="Q863" s="23"/>
      <c r="R863" s="23">
        <f t="shared" si="82"/>
        <v>0</v>
      </c>
      <c r="S863" s="23"/>
      <c r="T863" s="23">
        <f t="shared" si="83"/>
        <v>0</v>
      </c>
      <c r="U863" s="28" t="str">
        <f t="shared" si="84"/>
        <v/>
      </c>
      <c r="V863" s="10" t="str">
        <f>IFERROR(N863*VLOOKUP(G863,FILAMENTI_DB!$A:$J,10,FALSE),"")</f>
        <v/>
      </c>
      <c r="W863" s="23" t="str">
        <f>IFERROR((VLOOKUP(F863,STAMPANTI_DB!$A:$C,3,FALSE)/1000)*O863*SETTINGS!$C$6,"")</f>
        <v/>
      </c>
      <c r="X863" s="23" t="str">
        <f>IFERROR(O863*VLOOKUP(F863,STAMPANTI_DB!$A:$I,9,FALSE),"")</f>
        <v/>
      </c>
      <c r="Y863" s="23">
        <f>IFERROR(P863*SETTINGS!$C$7,"")</f>
        <v>0</v>
      </c>
      <c r="Z863" s="23">
        <f>SETTINGS!$C$11</f>
        <v>0.5</v>
      </c>
      <c r="AA863" s="23">
        <f t="shared" si="85"/>
        <v>0.5</v>
      </c>
      <c r="AB863" s="23">
        <f>IFERROR(AA863*SETTINGS!$C$9,"")</f>
        <v>2.5000000000000001E-2</v>
      </c>
      <c r="AC863" s="23">
        <f>IFERROR((AA863+AB863)*SETTINGS!$C$10,"")</f>
        <v>2.6250000000000002E-2</v>
      </c>
    </row>
    <row r="864" spans="1:29" ht="16" x14ac:dyDescent="0.2">
      <c r="A864" s="25"/>
      <c r="H864" t="str">
        <f>IFERROR(VLOOKUP(G864,FILAMENTI_DB!$A:$C,3,FALSE),"")</f>
        <v/>
      </c>
      <c r="I864" t="str">
        <f>IFERROR(VLOOKUP(G864,FILAMENTI_DB!$A:$E,4,FALSE),"")</f>
        <v/>
      </c>
      <c r="J864" s="26"/>
      <c r="K864" s="27"/>
      <c r="L864" s="27"/>
      <c r="M864" s="27">
        <f t="shared" si="80"/>
        <v>0</v>
      </c>
      <c r="N864" s="26">
        <f t="shared" si="81"/>
        <v>0</v>
      </c>
      <c r="O864" s="26"/>
      <c r="P864" s="26"/>
      <c r="Q864" s="23"/>
      <c r="R864" s="23">
        <f t="shared" si="82"/>
        <v>0</v>
      </c>
      <c r="S864" s="23"/>
      <c r="T864" s="23">
        <f t="shared" si="83"/>
        <v>0</v>
      </c>
      <c r="U864" s="28" t="str">
        <f t="shared" si="84"/>
        <v/>
      </c>
      <c r="V864" s="10" t="str">
        <f>IFERROR(N864*VLOOKUP(G864,FILAMENTI_DB!$A:$J,10,FALSE),"")</f>
        <v/>
      </c>
      <c r="W864" s="23" t="str">
        <f>IFERROR((VLOOKUP(F864,STAMPANTI_DB!$A:$C,3,FALSE)/1000)*O864*SETTINGS!$C$6,"")</f>
        <v/>
      </c>
      <c r="X864" s="23" t="str">
        <f>IFERROR(O864*VLOOKUP(F864,STAMPANTI_DB!$A:$I,9,FALSE),"")</f>
        <v/>
      </c>
      <c r="Y864" s="23">
        <f>IFERROR(P864*SETTINGS!$C$7,"")</f>
        <v>0</v>
      </c>
      <c r="Z864" s="23">
        <f>SETTINGS!$C$11</f>
        <v>0.5</v>
      </c>
      <c r="AA864" s="23">
        <f t="shared" si="85"/>
        <v>0.5</v>
      </c>
      <c r="AB864" s="23">
        <f>IFERROR(AA864*SETTINGS!$C$9,"")</f>
        <v>2.5000000000000001E-2</v>
      </c>
      <c r="AC864" s="23">
        <f>IFERROR((AA864+AB864)*SETTINGS!$C$10,"")</f>
        <v>2.6250000000000002E-2</v>
      </c>
    </row>
    <row r="865" spans="1:29" ht="16" x14ac:dyDescent="0.2">
      <c r="A865" s="25"/>
      <c r="H865" t="str">
        <f>IFERROR(VLOOKUP(G865,FILAMENTI_DB!$A:$C,3,FALSE),"")</f>
        <v/>
      </c>
      <c r="I865" t="str">
        <f>IFERROR(VLOOKUP(G865,FILAMENTI_DB!$A:$E,4,FALSE),"")</f>
        <v/>
      </c>
      <c r="J865" s="26"/>
      <c r="K865" s="27"/>
      <c r="L865" s="27"/>
      <c r="M865" s="27">
        <f t="shared" si="80"/>
        <v>0</v>
      </c>
      <c r="N865" s="26">
        <f t="shared" si="81"/>
        <v>0</v>
      </c>
      <c r="O865" s="26"/>
      <c r="P865" s="26"/>
      <c r="Q865" s="23"/>
      <c r="R865" s="23">
        <f t="shared" si="82"/>
        <v>0</v>
      </c>
      <c r="S865" s="23"/>
      <c r="T865" s="23">
        <f t="shared" si="83"/>
        <v>0</v>
      </c>
      <c r="U865" s="28" t="str">
        <f t="shared" si="84"/>
        <v/>
      </c>
      <c r="V865" s="10" t="str">
        <f>IFERROR(N865*VLOOKUP(G865,FILAMENTI_DB!$A:$J,10,FALSE),"")</f>
        <v/>
      </c>
      <c r="W865" s="23" t="str">
        <f>IFERROR((VLOOKUP(F865,STAMPANTI_DB!$A:$C,3,FALSE)/1000)*O865*SETTINGS!$C$6,"")</f>
        <v/>
      </c>
      <c r="X865" s="23" t="str">
        <f>IFERROR(O865*VLOOKUP(F865,STAMPANTI_DB!$A:$I,9,FALSE),"")</f>
        <v/>
      </c>
      <c r="Y865" s="23">
        <f>IFERROR(P865*SETTINGS!$C$7,"")</f>
        <v>0</v>
      </c>
      <c r="Z865" s="23">
        <f>SETTINGS!$C$11</f>
        <v>0.5</v>
      </c>
      <c r="AA865" s="23">
        <f t="shared" si="85"/>
        <v>0.5</v>
      </c>
      <c r="AB865" s="23">
        <f>IFERROR(AA865*SETTINGS!$C$9,"")</f>
        <v>2.5000000000000001E-2</v>
      </c>
      <c r="AC865" s="23">
        <f>IFERROR((AA865+AB865)*SETTINGS!$C$10,"")</f>
        <v>2.6250000000000002E-2</v>
      </c>
    </row>
    <row r="866" spans="1:29" ht="16" x14ac:dyDescent="0.2">
      <c r="A866" s="25"/>
      <c r="H866" t="str">
        <f>IFERROR(VLOOKUP(G866,FILAMENTI_DB!$A:$C,3,FALSE),"")</f>
        <v/>
      </c>
      <c r="I866" t="str">
        <f>IFERROR(VLOOKUP(G866,FILAMENTI_DB!$A:$E,4,FALSE),"")</f>
        <v/>
      </c>
      <c r="J866" s="26"/>
      <c r="K866" s="27"/>
      <c r="L866" s="27"/>
      <c r="M866" s="27">
        <f t="shared" si="80"/>
        <v>0</v>
      </c>
      <c r="N866" s="26">
        <f t="shared" si="81"/>
        <v>0</v>
      </c>
      <c r="O866" s="26"/>
      <c r="P866" s="26"/>
      <c r="Q866" s="23"/>
      <c r="R866" s="23">
        <f t="shared" si="82"/>
        <v>0</v>
      </c>
      <c r="S866" s="23"/>
      <c r="T866" s="23">
        <f t="shared" si="83"/>
        <v>0</v>
      </c>
      <c r="U866" s="28" t="str">
        <f t="shared" si="84"/>
        <v/>
      </c>
      <c r="V866" s="10" t="str">
        <f>IFERROR(N866*VLOOKUP(G866,FILAMENTI_DB!$A:$J,10,FALSE),"")</f>
        <v/>
      </c>
      <c r="W866" s="23" t="str">
        <f>IFERROR((VLOOKUP(F866,STAMPANTI_DB!$A:$C,3,FALSE)/1000)*O866*SETTINGS!$C$6,"")</f>
        <v/>
      </c>
      <c r="X866" s="23" t="str">
        <f>IFERROR(O866*VLOOKUP(F866,STAMPANTI_DB!$A:$I,9,FALSE),"")</f>
        <v/>
      </c>
      <c r="Y866" s="23">
        <f>IFERROR(P866*SETTINGS!$C$7,"")</f>
        <v>0</v>
      </c>
      <c r="Z866" s="23">
        <f>SETTINGS!$C$11</f>
        <v>0.5</v>
      </c>
      <c r="AA866" s="23">
        <f t="shared" si="85"/>
        <v>0.5</v>
      </c>
      <c r="AB866" s="23">
        <f>IFERROR(AA866*SETTINGS!$C$9,"")</f>
        <v>2.5000000000000001E-2</v>
      </c>
      <c r="AC866" s="23">
        <f>IFERROR((AA866+AB866)*SETTINGS!$C$10,"")</f>
        <v>2.6250000000000002E-2</v>
      </c>
    </row>
    <row r="867" spans="1:29" ht="16" x14ac:dyDescent="0.2">
      <c r="A867" s="25"/>
      <c r="H867" t="str">
        <f>IFERROR(VLOOKUP(G867,FILAMENTI_DB!$A:$C,3,FALSE),"")</f>
        <v/>
      </c>
      <c r="I867" t="str">
        <f>IFERROR(VLOOKUP(G867,FILAMENTI_DB!$A:$E,4,FALSE),"")</f>
        <v/>
      </c>
      <c r="J867" s="26"/>
      <c r="K867" s="27"/>
      <c r="L867" s="27"/>
      <c r="M867" s="27">
        <f t="shared" si="80"/>
        <v>0</v>
      </c>
      <c r="N867" s="26">
        <f t="shared" si="81"/>
        <v>0</v>
      </c>
      <c r="O867" s="26"/>
      <c r="P867" s="26"/>
      <c r="Q867" s="23"/>
      <c r="R867" s="23">
        <f t="shared" si="82"/>
        <v>0</v>
      </c>
      <c r="S867" s="23"/>
      <c r="T867" s="23">
        <f t="shared" si="83"/>
        <v>0</v>
      </c>
      <c r="U867" s="28" t="str">
        <f t="shared" si="84"/>
        <v/>
      </c>
      <c r="V867" s="10" t="str">
        <f>IFERROR(N867*VLOOKUP(G867,FILAMENTI_DB!$A:$J,10,FALSE),"")</f>
        <v/>
      </c>
      <c r="W867" s="23" t="str">
        <f>IFERROR((VLOOKUP(F867,STAMPANTI_DB!$A:$C,3,FALSE)/1000)*O867*SETTINGS!$C$6,"")</f>
        <v/>
      </c>
      <c r="X867" s="23" t="str">
        <f>IFERROR(O867*VLOOKUP(F867,STAMPANTI_DB!$A:$I,9,FALSE),"")</f>
        <v/>
      </c>
      <c r="Y867" s="23">
        <f>IFERROR(P867*SETTINGS!$C$7,"")</f>
        <v>0</v>
      </c>
      <c r="Z867" s="23">
        <f>SETTINGS!$C$11</f>
        <v>0.5</v>
      </c>
      <c r="AA867" s="23">
        <f t="shared" si="85"/>
        <v>0.5</v>
      </c>
      <c r="AB867" s="23">
        <f>IFERROR(AA867*SETTINGS!$C$9,"")</f>
        <v>2.5000000000000001E-2</v>
      </c>
      <c r="AC867" s="23">
        <f>IFERROR((AA867+AB867)*SETTINGS!$C$10,"")</f>
        <v>2.6250000000000002E-2</v>
      </c>
    </row>
    <row r="868" spans="1:29" ht="16" x14ac:dyDescent="0.2">
      <c r="A868" s="25"/>
      <c r="H868" t="str">
        <f>IFERROR(VLOOKUP(G868,FILAMENTI_DB!$A:$C,3,FALSE),"")</f>
        <v/>
      </c>
      <c r="I868" t="str">
        <f>IFERROR(VLOOKUP(G868,FILAMENTI_DB!$A:$E,4,FALSE),"")</f>
        <v/>
      </c>
      <c r="J868" s="26"/>
      <c r="K868" s="27"/>
      <c r="L868" s="27"/>
      <c r="M868" s="27">
        <f t="shared" si="80"/>
        <v>0</v>
      </c>
      <c r="N868" s="26">
        <f t="shared" si="81"/>
        <v>0</v>
      </c>
      <c r="O868" s="26"/>
      <c r="P868" s="26"/>
      <c r="Q868" s="23"/>
      <c r="R868" s="23">
        <f t="shared" si="82"/>
        <v>0</v>
      </c>
      <c r="S868" s="23"/>
      <c r="T868" s="23">
        <f t="shared" si="83"/>
        <v>0</v>
      </c>
      <c r="U868" s="28" t="str">
        <f t="shared" si="84"/>
        <v/>
      </c>
      <c r="V868" s="10" t="str">
        <f>IFERROR(N868*VLOOKUP(G868,FILAMENTI_DB!$A:$J,10,FALSE),"")</f>
        <v/>
      </c>
      <c r="W868" s="23" t="str">
        <f>IFERROR((VLOOKUP(F868,STAMPANTI_DB!$A:$C,3,FALSE)/1000)*O868*SETTINGS!$C$6,"")</f>
        <v/>
      </c>
      <c r="X868" s="23" t="str">
        <f>IFERROR(O868*VLOOKUP(F868,STAMPANTI_DB!$A:$I,9,FALSE),"")</f>
        <v/>
      </c>
      <c r="Y868" s="23">
        <f>IFERROR(P868*SETTINGS!$C$7,"")</f>
        <v>0</v>
      </c>
      <c r="Z868" s="23">
        <f>SETTINGS!$C$11</f>
        <v>0.5</v>
      </c>
      <c r="AA868" s="23">
        <f t="shared" si="85"/>
        <v>0.5</v>
      </c>
      <c r="AB868" s="23">
        <f>IFERROR(AA868*SETTINGS!$C$9,"")</f>
        <v>2.5000000000000001E-2</v>
      </c>
      <c r="AC868" s="23">
        <f>IFERROR((AA868+AB868)*SETTINGS!$C$10,"")</f>
        <v>2.6250000000000002E-2</v>
      </c>
    </row>
    <row r="869" spans="1:29" ht="16" x14ac:dyDescent="0.2">
      <c r="A869" s="25"/>
      <c r="H869" t="str">
        <f>IFERROR(VLOOKUP(G869,FILAMENTI_DB!$A:$C,3,FALSE),"")</f>
        <v/>
      </c>
      <c r="I869" t="str">
        <f>IFERROR(VLOOKUP(G869,FILAMENTI_DB!$A:$E,4,FALSE),"")</f>
        <v/>
      </c>
      <c r="J869" s="26"/>
      <c r="K869" s="27"/>
      <c r="L869" s="27"/>
      <c r="M869" s="27">
        <f t="shared" si="80"/>
        <v>0</v>
      </c>
      <c r="N869" s="26">
        <f t="shared" si="81"/>
        <v>0</v>
      </c>
      <c r="O869" s="26"/>
      <c r="P869" s="26"/>
      <c r="Q869" s="23"/>
      <c r="R869" s="23">
        <f t="shared" si="82"/>
        <v>0</v>
      </c>
      <c r="S869" s="23"/>
      <c r="T869" s="23">
        <f t="shared" si="83"/>
        <v>0</v>
      </c>
      <c r="U869" s="28" t="str">
        <f t="shared" si="84"/>
        <v/>
      </c>
      <c r="V869" s="10" t="str">
        <f>IFERROR(N869*VLOOKUP(G869,FILAMENTI_DB!$A:$J,10,FALSE),"")</f>
        <v/>
      </c>
      <c r="W869" s="23" t="str">
        <f>IFERROR((VLOOKUP(F869,STAMPANTI_DB!$A:$C,3,FALSE)/1000)*O869*SETTINGS!$C$6,"")</f>
        <v/>
      </c>
      <c r="X869" s="23" t="str">
        <f>IFERROR(O869*VLOOKUP(F869,STAMPANTI_DB!$A:$I,9,FALSE),"")</f>
        <v/>
      </c>
      <c r="Y869" s="23">
        <f>IFERROR(P869*SETTINGS!$C$7,"")</f>
        <v>0</v>
      </c>
      <c r="Z869" s="23">
        <f>SETTINGS!$C$11</f>
        <v>0.5</v>
      </c>
      <c r="AA869" s="23">
        <f t="shared" si="85"/>
        <v>0.5</v>
      </c>
      <c r="AB869" s="23">
        <f>IFERROR(AA869*SETTINGS!$C$9,"")</f>
        <v>2.5000000000000001E-2</v>
      </c>
      <c r="AC869" s="23">
        <f>IFERROR((AA869+AB869)*SETTINGS!$C$10,"")</f>
        <v>2.6250000000000002E-2</v>
      </c>
    </row>
    <row r="870" spans="1:29" ht="16" x14ac:dyDescent="0.2">
      <c r="A870" s="25"/>
      <c r="H870" t="str">
        <f>IFERROR(VLOOKUP(G870,FILAMENTI_DB!$A:$C,3,FALSE),"")</f>
        <v/>
      </c>
      <c r="I870" t="str">
        <f>IFERROR(VLOOKUP(G870,FILAMENTI_DB!$A:$E,4,FALSE),"")</f>
        <v/>
      </c>
      <c r="J870" s="26"/>
      <c r="K870" s="27"/>
      <c r="L870" s="27"/>
      <c r="M870" s="27">
        <f t="shared" si="80"/>
        <v>0</v>
      </c>
      <c r="N870" s="26">
        <f t="shared" si="81"/>
        <v>0</v>
      </c>
      <c r="O870" s="26"/>
      <c r="P870" s="26"/>
      <c r="Q870" s="23"/>
      <c r="R870" s="23">
        <f t="shared" si="82"/>
        <v>0</v>
      </c>
      <c r="S870" s="23"/>
      <c r="T870" s="23">
        <f t="shared" si="83"/>
        <v>0</v>
      </c>
      <c r="U870" s="28" t="str">
        <f t="shared" si="84"/>
        <v/>
      </c>
      <c r="V870" s="10" t="str">
        <f>IFERROR(N870*VLOOKUP(G870,FILAMENTI_DB!$A:$J,10,FALSE),"")</f>
        <v/>
      </c>
      <c r="W870" s="23" t="str">
        <f>IFERROR((VLOOKUP(F870,STAMPANTI_DB!$A:$C,3,FALSE)/1000)*O870*SETTINGS!$C$6,"")</f>
        <v/>
      </c>
      <c r="X870" s="23" t="str">
        <f>IFERROR(O870*VLOOKUP(F870,STAMPANTI_DB!$A:$I,9,FALSE),"")</f>
        <v/>
      </c>
      <c r="Y870" s="23">
        <f>IFERROR(P870*SETTINGS!$C$7,"")</f>
        <v>0</v>
      </c>
      <c r="Z870" s="23">
        <f>SETTINGS!$C$11</f>
        <v>0.5</v>
      </c>
      <c r="AA870" s="23">
        <f t="shared" si="85"/>
        <v>0.5</v>
      </c>
      <c r="AB870" s="23">
        <f>IFERROR(AA870*SETTINGS!$C$9,"")</f>
        <v>2.5000000000000001E-2</v>
      </c>
      <c r="AC870" s="23">
        <f>IFERROR((AA870+AB870)*SETTINGS!$C$10,"")</f>
        <v>2.6250000000000002E-2</v>
      </c>
    </row>
    <row r="871" spans="1:29" ht="16" x14ac:dyDescent="0.2">
      <c r="A871" s="25"/>
      <c r="H871" t="str">
        <f>IFERROR(VLOOKUP(G871,FILAMENTI_DB!$A:$C,3,FALSE),"")</f>
        <v/>
      </c>
      <c r="I871" t="str">
        <f>IFERROR(VLOOKUP(G871,FILAMENTI_DB!$A:$E,4,FALSE),"")</f>
        <v/>
      </c>
      <c r="J871" s="26"/>
      <c r="K871" s="27"/>
      <c r="L871" s="27"/>
      <c r="M871" s="27">
        <f t="shared" si="80"/>
        <v>0</v>
      </c>
      <c r="N871" s="26">
        <f t="shared" si="81"/>
        <v>0</v>
      </c>
      <c r="O871" s="26"/>
      <c r="P871" s="26"/>
      <c r="Q871" s="23"/>
      <c r="R871" s="23">
        <f t="shared" si="82"/>
        <v>0</v>
      </c>
      <c r="S871" s="23"/>
      <c r="T871" s="23">
        <f t="shared" si="83"/>
        <v>0</v>
      </c>
      <c r="U871" s="28" t="str">
        <f t="shared" si="84"/>
        <v/>
      </c>
      <c r="V871" s="10" t="str">
        <f>IFERROR(N871*VLOOKUP(G871,FILAMENTI_DB!$A:$J,10,FALSE),"")</f>
        <v/>
      </c>
      <c r="W871" s="23" t="str">
        <f>IFERROR((VLOOKUP(F871,STAMPANTI_DB!$A:$C,3,FALSE)/1000)*O871*SETTINGS!$C$6,"")</f>
        <v/>
      </c>
      <c r="X871" s="23" t="str">
        <f>IFERROR(O871*VLOOKUP(F871,STAMPANTI_DB!$A:$I,9,FALSE),"")</f>
        <v/>
      </c>
      <c r="Y871" s="23">
        <f>IFERROR(P871*SETTINGS!$C$7,"")</f>
        <v>0</v>
      </c>
      <c r="Z871" s="23">
        <f>SETTINGS!$C$11</f>
        <v>0.5</v>
      </c>
      <c r="AA871" s="23">
        <f t="shared" si="85"/>
        <v>0.5</v>
      </c>
      <c r="AB871" s="23">
        <f>IFERROR(AA871*SETTINGS!$C$9,"")</f>
        <v>2.5000000000000001E-2</v>
      </c>
      <c r="AC871" s="23">
        <f>IFERROR((AA871+AB871)*SETTINGS!$C$10,"")</f>
        <v>2.6250000000000002E-2</v>
      </c>
    </row>
    <row r="872" spans="1:29" ht="16" x14ac:dyDescent="0.2">
      <c r="A872" s="25"/>
      <c r="H872" t="str">
        <f>IFERROR(VLOOKUP(G872,FILAMENTI_DB!$A:$C,3,FALSE),"")</f>
        <v/>
      </c>
      <c r="I872" t="str">
        <f>IFERROR(VLOOKUP(G872,FILAMENTI_DB!$A:$E,4,FALSE),"")</f>
        <v/>
      </c>
      <c r="J872" s="26"/>
      <c r="K872" s="27"/>
      <c r="L872" s="27"/>
      <c r="M872" s="27">
        <f t="shared" si="80"/>
        <v>0</v>
      </c>
      <c r="N872" s="26">
        <f t="shared" si="81"/>
        <v>0</v>
      </c>
      <c r="O872" s="26"/>
      <c r="P872" s="26"/>
      <c r="Q872" s="23"/>
      <c r="R872" s="23">
        <f t="shared" si="82"/>
        <v>0</v>
      </c>
      <c r="S872" s="23"/>
      <c r="T872" s="23">
        <f t="shared" si="83"/>
        <v>0</v>
      </c>
      <c r="U872" s="28" t="str">
        <f t="shared" si="84"/>
        <v/>
      </c>
      <c r="V872" s="10" t="str">
        <f>IFERROR(N872*VLOOKUP(G872,FILAMENTI_DB!$A:$J,10,FALSE),"")</f>
        <v/>
      </c>
      <c r="W872" s="23" t="str">
        <f>IFERROR((VLOOKUP(F872,STAMPANTI_DB!$A:$C,3,FALSE)/1000)*O872*SETTINGS!$C$6,"")</f>
        <v/>
      </c>
      <c r="X872" s="23" t="str">
        <f>IFERROR(O872*VLOOKUP(F872,STAMPANTI_DB!$A:$I,9,FALSE),"")</f>
        <v/>
      </c>
      <c r="Y872" s="23">
        <f>IFERROR(P872*SETTINGS!$C$7,"")</f>
        <v>0</v>
      </c>
      <c r="Z872" s="23">
        <f>SETTINGS!$C$11</f>
        <v>0.5</v>
      </c>
      <c r="AA872" s="23">
        <f t="shared" si="85"/>
        <v>0.5</v>
      </c>
      <c r="AB872" s="23">
        <f>IFERROR(AA872*SETTINGS!$C$9,"")</f>
        <v>2.5000000000000001E-2</v>
      </c>
      <c r="AC872" s="23">
        <f>IFERROR((AA872+AB872)*SETTINGS!$C$10,"")</f>
        <v>2.6250000000000002E-2</v>
      </c>
    </row>
    <row r="873" spans="1:29" ht="16" x14ac:dyDescent="0.2">
      <c r="A873" s="25"/>
      <c r="H873" t="str">
        <f>IFERROR(VLOOKUP(G873,FILAMENTI_DB!$A:$C,3,FALSE),"")</f>
        <v/>
      </c>
      <c r="I873" t="str">
        <f>IFERROR(VLOOKUP(G873,FILAMENTI_DB!$A:$E,4,FALSE),"")</f>
        <v/>
      </c>
      <c r="J873" s="26"/>
      <c r="K873" s="27"/>
      <c r="L873" s="27"/>
      <c r="M873" s="27">
        <f t="shared" si="80"/>
        <v>0</v>
      </c>
      <c r="N873" s="26">
        <f t="shared" si="81"/>
        <v>0</v>
      </c>
      <c r="O873" s="26"/>
      <c r="P873" s="26"/>
      <c r="Q873" s="23"/>
      <c r="R873" s="23">
        <f t="shared" si="82"/>
        <v>0</v>
      </c>
      <c r="S873" s="23"/>
      <c r="T873" s="23">
        <f t="shared" si="83"/>
        <v>0</v>
      </c>
      <c r="U873" s="28" t="str">
        <f t="shared" si="84"/>
        <v/>
      </c>
      <c r="V873" s="10" t="str">
        <f>IFERROR(N873*VLOOKUP(G873,FILAMENTI_DB!$A:$J,10,FALSE),"")</f>
        <v/>
      </c>
      <c r="W873" s="23" t="str">
        <f>IFERROR((VLOOKUP(F873,STAMPANTI_DB!$A:$C,3,FALSE)/1000)*O873*SETTINGS!$C$6,"")</f>
        <v/>
      </c>
      <c r="X873" s="23" t="str">
        <f>IFERROR(O873*VLOOKUP(F873,STAMPANTI_DB!$A:$I,9,FALSE),"")</f>
        <v/>
      </c>
      <c r="Y873" s="23">
        <f>IFERROR(P873*SETTINGS!$C$7,"")</f>
        <v>0</v>
      </c>
      <c r="Z873" s="23">
        <f>SETTINGS!$C$11</f>
        <v>0.5</v>
      </c>
      <c r="AA873" s="23">
        <f t="shared" si="85"/>
        <v>0.5</v>
      </c>
      <c r="AB873" s="23">
        <f>IFERROR(AA873*SETTINGS!$C$9,"")</f>
        <v>2.5000000000000001E-2</v>
      </c>
      <c r="AC873" s="23">
        <f>IFERROR((AA873+AB873)*SETTINGS!$C$10,"")</f>
        <v>2.6250000000000002E-2</v>
      </c>
    </row>
    <row r="874" spans="1:29" ht="16" x14ac:dyDescent="0.2">
      <c r="A874" s="25"/>
      <c r="H874" t="str">
        <f>IFERROR(VLOOKUP(G874,FILAMENTI_DB!$A:$C,3,FALSE),"")</f>
        <v/>
      </c>
      <c r="I874" t="str">
        <f>IFERROR(VLOOKUP(G874,FILAMENTI_DB!$A:$E,4,FALSE),"")</f>
        <v/>
      </c>
      <c r="J874" s="26"/>
      <c r="K874" s="27"/>
      <c r="L874" s="27"/>
      <c r="M874" s="27">
        <f t="shared" si="80"/>
        <v>0</v>
      </c>
      <c r="N874" s="26">
        <f t="shared" si="81"/>
        <v>0</v>
      </c>
      <c r="O874" s="26"/>
      <c r="P874" s="26"/>
      <c r="Q874" s="23"/>
      <c r="R874" s="23">
        <f t="shared" si="82"/>
        <v>0</v>
      </c>
      <c r="S874" s="23"/>
      <c r="T874" s="23">
        <f t="shared" si="83"/>
        <v>0</v>
      </c>
      <c r="U874" s="28" t="str">
        <f t="shared" si="84"/>
        <v/>
      </c>
      <c r="V874" s="10" t="str">
        <f>IFERROR(N874*VLOOKUP(G874,FILAMENTI_DB!$A:$J,10,FALSE),"")</f>
        <v/>
      </c>
      <c r="W874" s="23" t="str">
        <f>IFERROR((VLOOKUP(F874,STAMPANTI_DB!$A:$C,3,FALSE)/1000)*O874*SETTINGS!$C$6,"")</f>
        <v/>
      </c>
      <c r="X874" s="23" t="str">
        <f>IFERROR(O874*VLOOKUP(F874,STAMPANTI_DB!$A:$I,9,FALSE),"")</f>
        <v/>
      </c>
      <c r="Y874" s="23">
        <f>IFERROR(P874*SETTINGS!$C$7,"")</f>
        <v>0</v>
      </c>
      <c r="Z874" s="23">
        <f>SETTINGS!$C$11</f>
        <v>0.5</v>
      </c>
      <c r="AA874" s="23">
        <f t="shared" si="85"/>
        <v>0.5</v>
      </c>
      <c r="AB874" s="23">
        <f>IFERROR(AA874*SETTINGS!$C$9,"")</f>
        <v>2.5000000000000001E-2</v>
      </c>
      <c r="AC874" s="23">
        <f>IFERROR((AA874+AB874)*SETTINGS!$C$10,"")</f>
        <v>2.6250000000000002E-2</v>
      </c>
    </row>
    <row r="875" spans="1:29" ht="16" x14ac:dyDescent="0.2">
      <c r="A875" s="25"/>
      <c r="H875" t="str">
        <f>IFERROR(VLOOKUP(G875,FILAMENTI_DB!$A:$C,3,FALSE),"")</f>
        <v/>
      </c>
      <c r="I875" t="str">
        <f>IFERROR(VLOOKUP(G875,FILAMENTI_DB!$A:$E,4,FALSE),"")</f>
        <v/>
      </c>
      <c r="J875" s="26"/>
      <c r="K875" s="27"/>
      <c r="L875" s="27"/>
      <c r="M875" s="27">
        <f t="shared" si="80"/>
        <v>0</v>
      </c>
      <c r="N875" s="26">
        <f t="shared" si="81"/>
        <v>0</v>
      </c>
      <c r="O875" s="26"/>
      <c r="P875" s="26"/>
      <c r="Q875" s="23"/>
      <c r="R875" s="23">
        <f t="shared" si="82"/>
        <v>0</v>
      </c>
      <c r="S875" s="23"/>
      <c r="T875" s="23">
        <f t="shared" si="83"/>
        <v>0</v>
      </c>
      <c r="U875" s="28" t="str">
        <f t="shared" si="84"/>
        <v/>
      </c>
      <c r="V875" s="10" t="str">
        <f>IFERROR(N875*VLOOKUP(G875,FILAMENTI_DB!$A:$J,10,FALSE),"")</f>
        <v/>
      </c>
      <c r="W875" s="23" t="str">
        <f>IFERROR((VLOOKUP(F875,STAMPANTI_DB!$A:$C,3,FALSE)/1000)*O875*SETTINGS!$C$6,"")</f>
        <v/>
      </c>
      <c r="X875" s="23" t="str">
        <f>IFERROR(O875*VLOOKUP(F875,STAMPANTI_DB!$A:$I,9,FALSE),"")</f>
        <v/>
      </c>
      <c r="Y875" s="23">
        <f>IFERROR(P875*SETTINGS!$C$7,"")</f>
        <v>0</v>
      </c>
      <c r="Z875" s="23">
        <f>SETTINGS!$C$11</f>
        <v>0.5</v>
      </c>
      <c r="AA875" s="23">
        <f t="shared" si="85"/>
        <v>0.5</v>
      </c>
      <c r="AB875" s="23">
        <f>IFERROR(AA875*SETTINGS!$C$9,"")</f>
        <v>2.5000000000000001E-2</v>
      </c>
      <c r="AC875" s="23">
        <f>IFERROR((AA875+AB875)*SETTINGS!$C$10,"")</f>
        <v>2.6250000000000002E-2</v>
      </c>
    </row>
    <row r="876" spans="1:29" ht="16" x14ac:dyDescent="0.2">
      <c r="A876" s="25"/>
      <c r="H876" t="str">
        <f>IFERROR(VLOOKUP(G876,FILAMENTI_DB!$A:$C,3,FALSE),"")</f>
        <v/>
      </c>
      <c r="I876" t="str">
        <f>IFERROR(VLOOKUP(G876,FILAMENTI_DB!$A:$E,4,FALSE),"")</f>
        <v/>
      </c>
      <c r="J876" s="26"/>
      <c r="K876" s="27"/>
      <c r="L876" s="27"/>
      <c r="M876" s="27">
        <f t="shared" si="80"/>
        <v>0</v>
      </c>
      <c r="N876" s="26">
        <f t="shared" si="81"/>
        <v>0</v>
      </c>
      <c r="O876" s="26"/>
      <c r="P876" s="26"/>
      <c r="Q876" s="23"/>
      <c r="R876" s="23">
        <f t="shared" si="82"/>
        <v>0</v>
      </c>
      <c r="S876" s="23"/>
      <c r="T876" s="23">
        <f t="shared" si="83"/>
        <v>0</v>
      </c>
      <c r="U876" s="28" t="str">
        <f t="shared" si="84"/>
        <v/>
      </c>
      <c r="V876" s="10" t="str">
        <f>IFERROR(N876*VLOOKUP(G876,FILAMENTI_DB!$A:$J,10,FALSE),"")</f>
        <v/>
      </c>
      <c r="W876" s="23" t="str">
        <f>IFERROR((VLOOKUP(F876,STAMPANTI_DB!$A:$C,3,FALSE)/1000)*O876*SETTINGS!$C$6,"")</f>
        <v/>
      </c>
      <c r="X876" s="23" t="str">
        <f>IFERROR(O876*VLOOKUP(F876,STAMPANTI_DB!$A:$I,9,FALSE),"")</f>
        <v/>
      </c>
      <c r="Y876" s="23">
        <f>IFERROR(P876*SETTINGS!$C$7,"")</f>
        <v>0</v>
      </c>
      <c r="Z876" s="23">
        <f>SETTINGS!$C$11</f>
        <v>0.5</v>
      </c>
      <c r="AA876" s="23">
        <f t="shared" si="85"/>
        <v>0.5</v>
      </c>
      <c r="AB876" s="23">
        <f>IFERROR(AA876*SETTINGS!$C$9,"")</f>
        <v>2.5000000000000001E-2</v>
      </c>
      <c r="AC876" s="23">
        <f>IFERROR((AA876+AB876)*SETTINGS!$C$10,"")</f>
        <v>2.6250000000000002E-2</v>
      </c>
    </row>
    <row r="877" spans="1:29" ht="16" x14ac:dyDescent="0.2">
      <c r="A877" s="25"/>
      <c r="H877" t="str">
        <f>IFERROR(VLOOKUP(G877,FILAMENTI_DB!$A:$C,3,FALSE),"")</f>
        <v/>
      </c>
      <c r="I877" t="str">
        <f>IFERROR(VLOOKUP(G877,FILAMENTI_DB!$A:$E,4,FALSE),"")</f>
        <v/>
      </c>
      <c r="J877" s="26"/>
      <c r="K877" s="27"/>
      <c r="L877" s="27"/>
      <c r="M877" s="27">
        <f t="shared" si="80"/>
        <v>0</v>
      </c>
      <c r="N877" s="26">
        <f t="shared" si="81"/>
        <v>0</v>
      </c>
      <c r="O877" s="26"/>
      <c r="P877" s="26"/>
      <c r="Q877" s="23"/>
      <c r="R877" s="23">
        <f t="shared" si="82"/>
        <v>0</v>
      </c>
      <c r="S877" s="23"/>
      <c r="T877" s="23">
        <f t="shared" si="83"/>
        <v>0</v>
      </c>
      <c r="U877" s="28" t="str">
        <f t="shared" si="84"/>
        <v/>
      </c>
      <c r="V877" s="10" t="str">
        <f>IFERROR(N877*VLOOKUP(G877,FILAMENTI_DB!$A:$J,10,FALSE),"")</f>
        <v/>
      </c>
      <c r="W877" s="23" t="str">
        <f>IFERROR((VLOOKUP(F877,STAMPANTI_DB!$A:$C,3,FALSE)/1000)*O877*SETTINGS!$C$6,"")</f>
        <v/>
      </c>
      <c r="X877" s="23" t="str">
        <f>IFERROR(O877*VLOOKUP(F877,STAMPANTI_DB!$A:$I,9,FALSE),"")</f>
        <v/>
      </c>
      <c r="Y877" s="23">
        <f>IFERROR(P877*SETTINGS!$C$7,"")</f>
        <v>0</v>
      </c>
      <c r="Z877" s="23">
        <f>SETTINGS!$C$11</f>
        <v>0.5</v>
      </c>
      <c r="AA877" s="23">
        <f t="shared" si="85"/>
        <v>0.5</v>
      </c>
      <c r="AB877" s="23">
        <f>IFERROR(AA877*SETTINGS!$C$9,"")</f>
        <v>2.5000000000000001E-2</v>
      </c>
      <c r="AC877" s="23">
        <f>IFERROR((AA877+AB877)*SETTINGS!$C$10,"")</f>
        <v>2.6250000000000002E-2</v>
      </c>
    </row>
    <row r="878" spans="1:29" ht="16" x14ac:dyDescent="0.2">
      <c r="A878" s="25"/>
      <c r="H878" t="str">
        <f>IFERROR(VLOOKUP(G878,FILAMENTI_DB!$A:$C,3,FALSE),"")</f>
        <v/>
      </c>
      <c r="I878" t="str">
        <f>IFERROR(VLOOKUP(G878,FILAMENTI_DB!$A:$E,4,FALSE),"")</f>
        <v/>
      </c>
      <c r="J878" s="26"/>
      <c r="K878" s="27"/>
      <c r="L878" s="27"/>
      <c r="M878" s="27">
        <f t="shared" si="80"/>
        <v>0</v>
      </c>
      <c r="N878" s="26">
        <f t="shared" si="81"/>
        <v>0</v>
      </c>
      <c r="O878" s="26"/>
      <c r="P878" s="26"/>
      <c r="Q878" s="23"/>
      <c r="R878" s="23">
        <f t="shared" si="82"/>
        <v>0</v>
      </c>
      <c r="S878" s="23"/>
      <c r="T878" s="23">
        <f t="shared" si="83"/>
        <v>0</v>
      </c>
      <c r="U878" s="28" t="str">
        <f t="shared" si="84"/>
        <v/>
      </c>
      <c r="V878" s="10" t="str">
        <f>IFERROR(N878*VLOOKUP(G878,FILAMENTI_DB!$A:$J,10,FALSE),"")</f>
        <v/>
      </c>
      <c r="W878" s="23" t="str">
        <f>IFERROR((VLOOKUP(F878,STAMPANTI_DB!$A:$C,3,FALSE)/1000)*O878*SETTINGS!$C$6,"")</f>
        <v/>
      </c>
      <c r="X878" s="23" t="str">
        <f>IFERROR(O878*VLOOKUP(F878,STAMPANTI_DB!$A:$I,9,FALSE),"")</f>
        <v/>
      </c>
      <c r="Y878" s="23">
        <f>IFERROR(P878*SETTINGS!$C$7,"")</f>
        <v>0</v>
      </c>
      <c r="Z878" s="23">
        <f>SETTINGS!$C$11</f>
        <v>0.5</v>
      </c>
      <c r="AA878" s="23">
        <f t="shared" si="85"/>
        <v>0.5</v>
      </c>
      <c r="AB878" s="23">
        <f>IFERROR(AA878*SETTINGS!$C$9,"")</f>
        <v>2.5000000000000001E-2</v>
      </c>
      <c r="AC878" s="23">
        <f>IFERROR((AA878+AB878)*SETTINGS!$C$10,"")</f>
        <v>2.6250000000000002E-2</v>
      </c>
    </row>
    <row r="879" spans="1:29" ht="16" x14ac:dyDescent="0.2">
      <c r="A879" s="25"/>
      <c r="H879" t="str">
        <f>IFERROR(VLOOKUP(G879,FILAMENTI_DB!$A:$C,3,FALSE),"")</f>
        <v/>
      </c>
      <c r="I879" t="str">
        <f>IFERROR(VLOOKUP(G879,FILAMENTI_DB!$A:$E,4,FALSE),"")</f>
        <v/>
      </c>
      <c r="J879" s="26"/>
      <c r="K879" s="27"/>
      <c r="L879" s="27"/>
      <c r="M879" s="27">
        <f t="shared" si="80"/>
        <v>0</v>
      </c>
      <c r="N879" s="26">
        <f t="shared" si="81"/>
        <v>0</v>
      </c>
      <c r="O879" s="26"/>
      <c r="P879" s="26"/>
      <c r="Q879" s="23"/>
      <c r="R879" s="23">
        <f t="shared" si="82"/>
        <v>0</v>
      </c>
      <c r="S879" s="23"/>
      <c r="T879" s="23">
        <f t="shared" si="83"/>
        <v>0</v>
      </c>
      <c r="U879" s="28" t="str">
        <f t="shared" si="84"/>
        <v/>
      </c>
      <c r="V879" s="10" t="str">
        <f>IFERROR(N879*VLOOKUP(G879,FILAMENTI_DB!$A:$J,10,FALSE),"")</f>
        <v/>
      </c>
      <c r="W879" s="23" t="str">
        <f>IFERROR((VLOOKUP(F879,STAMPANTI_DB!$A:$C,3,FALSE)/1000)*O879*SETTINGS!$C$6,"")</f>
        <v/>
      </c>
      <c r="X879" s="23" t="str">
        <f>IFERROR(O879*VLOOKUP(F879,STAMPANTI_DB!$A:$I,9,FALSE),"")</f>
        <v/>
      </c>
      <c r="Y879" s="23">
        <f>IFERROR(P879*SETTINGS!$C$7,"")</f>
        <v>0</v>
      </c>
      <c r="Z879" s="23">
        <f>SETTINGS!$C$11</f>
        <v>0.5</v>
      </c>
      <c r="AA879" s="23">
        <f t="shared" si="85"/>
        <v>0.5</v>
      </c>
      <c r="AB879" s="23">
        <f>IFERROR(AA879*SETTINGS!$C$9,"")</f>
        <v>2.5000000000000001E-2</v>
      </c>
      <c r="AC879" s="23">
        <f>IFERROR((AA879+AB879)*SETTINGS!$C$10,"")</f>
        <v>2.6250000000000002E-2</v>
      </c>
    </row>
    <row r="880" spans="1:29" ht="16" x14ac:dyDescent="0.2">
      <c r="A880" s="25"/>
      <c r="H880" t="str">
        <f>IFERROR(VLOOKUP(G880,FILAMENTI_DB!$A:$C,3,FALSE),"")</f>
        <v/>
      </c>
      <c r="I880" t="str">
        <f>IFERROR(VLOOKUP(G880,FILAMENTI_DB!$A:$E,4,FALSE),"")</f>
        <v/>
      </c>
      <c r="J880" s="26"/>
      <c r="K880" s="27"/>
      <c r="L880" s="27"/>
      <c r="M880" s="27">
        <f t="shared" si="80"/>
        <v>0</v>
      </c>
      <c r="N880" s="26">
        <f t="shared" si="81"/>
        <v>0</v>
      </c>
      <c r="O880" s="26"/>
      <c r="P880" s="26"/>
      <c r="Q880" s="23"/>
      <c r="R880" s="23">
        <f t="shared" si="82"/>
        <v>0</v>
      </c>
      <c r="S880" s="23"/>
      <c r="T880" s="23">
        <f t="shared" si="83"/>
        <v>0</v>
      </c>
      <c r="U880" s="28" t="str">
        <f t="shared" si="84"/>
        <v/>
      </c>
      <c r="V880" s="10" t="str">
        <f>IFERROR(N880*VLOOKUP(G880,FILAMENTI_DB!$A:$J,10,FALSE),"")</f>
        <v/>
      </c>
      <c r="W880" s="23" t="str">
        <f>IFERROR((VLOOKUP(F880,STAMPANTI_DB!$A:$C,3,FALSE)/1000)*O880*SETTINGS!$C$6,"")</f>
        <v/>
      </c>
      <c r="X880" s="23" t="str">
        <f>IFERROR(O880*VLOOKUP(F880,STAMPANTI_DB!$A:$I,9,FALSE),"")</f>
        <v/>
      </c>
      <c r="Y880" s="23">
        <f>IFERROR(P880*SETTINGS!$C$7,"")</f>
        <v>0</v>
      </c>
      <c r="Z880" s="23">
        <f>SETTINGS!$C$11</f>
        <v>0.5</v>
      </c>
      <c r="AA880" s="23">
        <f t="shared" si="85"/>
        <v>0.5</v>
      </c>
      <c r="AB880" s="23">
        <f>IFERROR(AA880*SETTINGS!$C$9,"")</f>
        <v>2.5000000000000001E-2</v>
      </c>
      <c r="AC880" s="23">
        <f>IFERROR((AA880+AB880)*SETTINGS!$C$10,"")</f>
        <v>2.6250000000000002E-2</v>
      </c>
    </row>
    <row r="881" spans="1:29" ht="16" x14ac:dyDescent="0.2">
      <c r="A881" s="25"/>
      <c r="H881" t="str">
        <f>IFERROR(VLOOKUP(G881,FILAMENTI_DB!$A:$C,3,FALSE),"")</f>
        <v/>
      </c>
      <c r="I881" t="str">
        <f>IFERROR(VLOOKUP(G881,FILAMENTI_DB!$A:$E,4,FALSE),"")</f>
        <v/>
      </c>
      <c r="J881" s="26"/>
      <c r="K881" s="27"/>
      <c r="L881" s="27"/>
      <c r="M881" s="27">
        <f t="shared" si="80"/>
        <v>0</v>
      </c>
      <c r="N881" s="26">
        <f t="shared" si="81"/>
        <v>0</v>
      </c>
      <c r="O881" s="26"/>
      <c r="P881" s="26"/>
      <c r="Q881" s="23"/>
      <c r="R881" s="23">
        <f t="shared" si="82"/>
        <v>0</v>
      </c>
      <c r="S881" s="23"/>
      <c r="T881" s="23">
        <f t="shared" si="83"/>
        <v>0</v>
      </c>
      <c r="U881" s="28" t="str">
        <f t="shared" si="84"/>
        <v/>
      </c>
      <c r="V881" s="10" t="str">
        <f>IFERROR(N881*VLOOKUP(G881,FILAMENTI_DB!$A:$J,10,FALSE),"")</f>
        <v/>
      </c>
      <c r="W881" s="23" t="str">
        <f>IFERROR((VLOOKUP(F881,STAMPANTI_DB!$A:$C,3,FALSE)/1000)*O881*SETTINGS!$C$6,"")</f>
        <v/>
      </c>
      <c r="X881" s="23" t="str">
        <f>IFERROR(O881*VLOOKUP(F881,STAMPANTI_DB!$A:$I,9,FALSE),"")</f>
        <v/>
      </c>
      <c r="Y881" s="23">
        <f>IFERROR(P881*SETTINGS!$C$7,"")</f>
        <v>0</v>
      </c>
      <c r="Z881" s="23">
        <f>SETTINGS!$C$11</f>
        <v>0.5</v>
      </c>
      <c r="AA881" s="23">
        <f t="shared" si="85"/>
        <v>0.5</v>
      </c>
      <c r="AB881" s="23">
        <f>IFERROR(AA881*SETTINGS!$C$9,"")</f>
        <v>2.5000000000000001E-2</v>
      </c>
      <c r="AC881" s="23">
        <f>IFERROR((AA881+AB881)*SETTINGS!$C$10,"")</f>
        <v>2.6250000000000002E-2</v>
      </c>
    </row>
    <row r="882" spans="1:29" ht="16" x14ac:dyDescent="0.2">
      <c r="A882" s="25"/>
      <c r="H882" t="str">
        <f>IFERROR(VLOOKUP(G882,FILAMENTI_DB!$A:$C,3,FALSE),"")</f>
        <v/>
      </c>
      <c r="I882" t="str">
        <f>IFERROR(VLOOKUP(G882,FILAMENTI_DB!$A:$E,4,FALSE),"")</f>
        <v/>
      </c>
      <c r="J882" s="26"/>
      <c r="K882" s="27"/>
      <c r="L882" s="27"/>
      <c r="M882" s="27">
        <f t="shared" si="80"/>
        <v>0</v>
      </c>
      <c r="N882" s="26">
        <f t="shared" si="81"/>
        <v>0</v>
      </c>
      <c r="O882" s="26"/>
      <c r="P882" s="26"/>
      <c r="Q882" s="23"/>
      <c r="R882" s="23">
        <f t="shared" si="82"/>
        <v>0</v>
      </c>
      <c r="S882" s="23"/>
      <c r="T882" s="23">
        <f t="shared" si="83"/>
        <v>0</v>
      </c>
      <c r="U882" s="28" t="str">
        <f t="shared" si="84"/>
        <v/>
      </c>
      <c r="V882" s="10" t="str">
        <f>IFERROR(N882*VLOOKUP(G882,FILAMENTI_DB!$A:$J,10,FALSE),"")</f>
        <v/>
      </c>
      <c r="W882" s="23" t="str">
        <f>IFERROR((VLOOKUP(F882,STAMPANTI_DB!$A:$C,3,FALSE)/1000)*O882*SETTINGS!$C$6,"")</f>
        <v/>
      </c>
      <c r="X882" s="23" t="str">
        <f>IFERROR(O882*VLOOKUP(F882,STAMPANTI_DB!$A:$I,9,FALSE),"")</f>
        <v/>
      </c>
      <c r="Y882" s="23">
        <f>IFERROR(P882*SETTINGS!$C$7,"")</f>
        <v>0</v>
      </c>
      <c r="Z882" s="23">
        <f>SETTINGS!$C$11</f>
        <v>0.5</v>
      </c>
      <c r="AA882" s="23">
        <f t="shared" si="85"/>
        <v>0.5</v>
      </c>
      <c r="AB882" s="23">
        <f>IFERROR(AA882*SETTINGS!$C$9,"")</f>
        <v>2.5000000000000001E-2</v>
      </c>
      <c r="AC882" s="23">
        <f>IFERROR((AA882+AB882)*SETTINGS!$C$10,"")</f>
        <v>2.6250000000000002E-2</v>
      </c>
    </row>
    <row r="883" spans="1:29" ht="16" x14ac:dyDescent="0.2">
      <c r="A883" s="25"/>
      <c r="H883" t="str">
        <f>IFERROR(VLOOKUP(G883,FILAMENTI_DB!$A:$C,3,FALSE),"")</f>
        <v/>
      </c>
      <c r="I883" t="str">
        <f>IFERROR(VLOOKUP(G883,FILAMENTI_DB!$A:$E,4,FALSE),"")</f>
        <v/>
      </c>
      <c r="J883" s="26"/>
      <c r="K883" s="27"/>
      <c r="L883" s="27"/>
      <c r="M883" s="27">
        <f t="shared" si="80"/>
        <v>0</v>
      </c>
      <c r="N883" s="26">
        <f t="shared" si="81"/>
        <v>0</v>
      </c>
      <c r="O883" s="26"/>
      <c r="P883" s="26"/>
      <c r="Q883" s="23"/>
      <c r="R883" s="23">
        <f t="shared" si="82"/>
        <v>0</v>
      </c>
      <c r="S883" s="23"/>
      <c r="T883" s="23">
        <f t="shared" si="83"/>
        <v>0</v>
      </c>
      <c r="U883" s="28" t="str">
        <f t="shared" si="84"/>
        <v/>
      </c>
      <c r="V883" s="10" t="str">
        <f>IFERROR(N883*VLOOKUP(G883,FILAMENTI_DB!$A:$J,10,FALSE),"")</f>
        <v/>
      </c>
      <c r="W883" s="23" t="str">
        <f>IFERROR((VLOOKUP(F883,STAMPANTI_DB!$A:$C,3,FALSE)/1000)*O883*SETTINGS!$C$6,"")</f>
        <v/>
      </c>
      <c r="X883" s="23" t="str">
        <f>IFERROR(O883*VLOOKUP(F883,STAMPANTI_DB!$A:$I,9,FALSE),"")</f>
        <v/>
      </c>
      <c r="Y883" s="23">
        <f>IFERROR(P883*SETTINGS!$C$7,"")</f>
        <v>0</v>
      </c>
      <c r="Z883" s="23">
        <f>SETTINGS!$C$11</f>
        <v>0.5</v>
      </c>
      <c r="AA883" s="23">
        <f t="shared" si="85"/>
        <v>0.5</v>
      </c>
      <c r="AB883" s="23">
        <f>IFERROR(AA883*SETTINGS!$C$9,"")</f>
        <v>2.5000000000000001E-2</v>
      </c>
      <c r="AC883" s="23">
        <f>IFERROR((AA883+AB883)*SETTINGS!$C$10,"")</f>
        <v>2.6250000000000002E-2</v>
      </c>
    </row>
    <row r="884" spans="1:29" ht="16" x14ac:dyDescent="0.2">
      <c r="A884" s="25"/>
      <c r="H884" t="str">
        <f>IFERROR(VLOOKUP(G884,FILAMENTI_DB!$A:$C,3,FALSE),"")</f>
        <v/>
      </c>
      <c r="I884" t="str">
        <f>IFERROR(VLOOKUP(G884,FILAMENTI_DB!$A:$E,4,FALSE),"")</f>
        <v/>
      </c>
      <c r="J884" s="26"/>
      <c r="K884" s="27"/>
      <c r="L884" s="27"/>
      <c r="M884" s="27">
        <f t="shared" si="80"/>
        <v>0</v>
      </c>
      <c r="N884" s="26">
        <f t="shared" si="81"/>
        <v>0</v>
      </c>
      <c r="O884" s="26"/>
      <c r="P884" s="26"/>
      <c r="Q884" s="23"/>
      <c r="R884" s="23">
        <f t="shared" si="82"/>
        <v>0</v>
      </c>
      <c r="S884" s="23"/>
      <c r="T884" s="23">
        <f t="shared" si="83"/>
        <v>0</v>
      </c>
      <c r="U884" s="28" t="str">
        <f t="shared" si="84"/>
        <v/>
      </c>
      <c r="V884" s="10" t="str">
        <f>IFERROR(N884*VLOOKUP(G884,FILAMENTI_DB!$A:$J,10,FALSE),"")</f>
        <v/>
      </c>
      <c r="W884" s="23" t="str">
        <f>IFERROR((VLOOKUP(F884,STAMPANTI_DB!$A:$C,3,FALSE)/1000)*O884*SETTINGS!$C$6,"")</f>
        <v/>
      </c>
      <c r="X884" s="23" t="str">
        <f>IFERROR(O884*VLOOKUP(F884,STAMPANTI_DB!$A:$I,9,FALSE),"")</f>
        <v/>
      </c>
      <c r="Y884" s="23">
        <f>IFERROR(P884*SETTINGS!$C$7,"")</f>
        <v>0</v>
      </c>
      <c r="Z884" s="23">
        <f>SETTINGS!$C$11</f>
        <v>0.5</v>
      </c>
      <c r="AA884" s="23">
        <f t="shared" si="85"/>
        <v>0.5</v>
      </c>
      <c r="AB884" s="23">
        <f>IFERROR(AA884*SETTINGS!$C$9,"")</f>
        <v>2.5000000000000001E-2</v>
      </c>
      <c r="AC884" s="23">
        <f>IFERROR((AA884+AB884)*SETTINGS!$C$10,"")</f>
        <v>2.6250000000000002E-2</v>
      </c>
    </row>
    <row r="885" spans="1:29" ht="16" x14ac:dyDescent="0.2">
      <c r="A885" s="25"/>
      <c r="H885" t="str">
        <f>IFERROR(VLOOKUP(G885,FILAMENTI_DB!$A:$C,3,FALSE),"")</f>
        <v/>
      </c>
      <c r="I885" t="str">
        <f>IFERROR(VLOOKUP(G885,FILAMENTI_DB!$A:$E,4,FALSE),"")</f>
        <v/>
      </c>
      <c r="J885" s="26"/>
      <c r="K885" s="27"/>
      <c r="L885" s="27"/>
      <c r="M885" s="27">
        <f t="shared" si="80"/>
        <v>0</v>
      </c>
      <c r="N885" s="26">
        <f t="shared" si="81"/>
        <v>0</v>
      </c>
      <c r="O885" s="26"/>
      <c r="P885" s="26"/>
      <c r="Q885" s="23"/>
      <c r="R885" s="23">
        <f t="shared" si="82"/>
        <v>0</v>
      </c>
      <c r="S885" s="23"/>
      <c r="T885" s="23">
        <f t="shared" si="83"/>
        <v>0</v>
      </c>
      <c r="U885" s="28" t="str">
        <f t="shared" si="84"/>
        <v/>
      </c>
      <c r="V885" s="10" t="str">
        <f>IFERROR(N885*VLOOKUP(G885,FILAMENTI_DB!$A:$J,10,FALSE),"")</f>
        <v/>
      </c>
      <c r="W885" s="23" t="str">
        <f>IFERROR((VLOOKUP(F885,STAMPANTI_DB!$A:$C,3,FALSE)/1000)*O885*SETTINGS!$C$6,"")</f>
        <v/>
      </c>
      <c r="X885" s="23" t="str">
        <f>IFERROR(O885*VLOOKUP(F885,STAMPANTI_DB!$A:$I,9,FALSE),"")</f>
        <v/>
      </c>
      <c r="Y885" s="23">
        <f>IFERROR(P885*SETTINGS!$C$7,"")</f>
        <v>0</v>
      </c>
      <c r="Z885" s="23">
        <f>SETTINGS!$C$11</f>
        <v>0.5</v>
      </c>
      <c r="AA885" s="23">
        <f t="shared" si="85"/>
        <v>0.5</v>
      </c>
      <c r="AB885" s="23">
        <f>IFERROR(AA885*SETTINGS!$C$9,"")</f>
        <v>2.5000000000000001E-2</v>
      </c>
      <c r="AC885" s="23">
        <f>IFERROR((AA885+AB885)*SETTINGS!$C$10,"")</f>
        <v>2.6250000000000002E-2</v>
      </c>
    </row>
    <row r="886" spans="1:29" ht="16" x14ac:dyDescent="0.2">
      <c r="A886" s="25"/>
      <c r="H886" t="str">
        <f>IFERROR(VLOOKUP(G886,FILAMENTI_DB!$A:$C,3,FALSE),"")</f>
        <v/>
      </c>
      <c r="I886" t="str">
        <f>IFERROR(VLOOKUP(G886,FILAMENTI_DB!$A:$E,4,FALSE),"")</f>
        <v/>
      </c>
      <c r="J886" s="26"/>
      <c r="K886" s="27"/>
      <c r="L886" s="27"/>
      <c r="M886" s="27">
        <f t="shared" si="80"/>
        <v>0</v>
      </c>
      <c r="N886" s="26">
        <f t="shared" si="81"/>
        <v>0</v>
      </c>
      <c r="O886" s="26"/>
      <c r="P886" s="26"/>
      <c r="Q886" s="23"/>
      <c r="R886" s="23">
        <f t="shared" si="82"/>
        <v>0</v>
      </c>
      <c r="S886" s="23"/>
      <c r="T886" s="23">
        <f t="shared" si="83"/>
        <v>0</v>
      </c>
      <c r="U886" s="28" t="str">
        <f t="shared" si="84"/>
        <v/>
      </c>
      <c r="V886" s="10" t="str">
        <f>IFERROR(N886*VLOOKUP(G886,FILAMENTI_DB!$A:$J,10,FALSE),"")</f>
        <v/>
      </c>
      <c r="W886" s="23" t="str">
        <f>IFERROR((VLOOKUP(F886,STAMPANTI_DB!$A:$C,3,FALSE)/1000)*O886*SETTINGS!$C$6,"")</f>
        <v/>
      </c>
      <c r="X886" s="23" t="str">
        <f>IFERROR(O886*VLOOKUP(F886,STAMPANTI_DB!$A:$I,9,FALSE),"")</f>
        <v/>
      </c>
      <c r="Y886" s="23">
        <f>IFERROR(P886*SETTINGS!$C$7,"")</f>
        <v>0</v>
      </c>
      <c r="Z886" s="23">
        <f>SETTINGS!$C$11</f>
        <v>0.5</v>
      </c>
      <c r="AA886" s="23">
        <f t="shared" si="85"/>
        <v>0.5</v>
      </c>
      <c r="AB886" s="23">
        <f>IFERROR(AA886*SETTINGS!$C$9,"")</f>
        <v>2.5000000000000001E-2</v>
      </c>
      <c r="AC886" s="23">
        <f>IFERROR((AA886+AB886)*SETTINGS!$C$10,"")</f>
        <v>2.6250000000000002E-2</v>
      </c>
    </row>
    <row r="887" spans="1:29" ht="16" x14ac:dyDescent="0.2">
      <c r="A887" s="25"/>
      <c r="H887" t="str">
        <f>IFERROR(VLOOKUP(G887,FILAMENTI_DB!$A:$C,3,FALSE),"")</f>
        <v/>
      </c>
      <c r="I887" t="str">
        <f>IFERROR(VLOOKUP(G887,FILAMENTI_DB!$A:$E,4,FALSE),"")</f>
        <v/>
      </c>
      <c r="J887" s="26"/>
      <c r="K887" s="27"/>
      <c r="L887" s="27"/>
      <c r="M887" s="27">
        <f t="shared" si="80"/>
        <v>0</v>
      </c>
      <c r="N887" s="26">
        <f t="shared" si="81"/>
        <v>0</v>
      </c>
      <c r="O887" s="26"/>
      <c r="P887" s="26"/>
      <c r="Q887" s="23"/>
      <c r="R887" s="23">
        <f t="shared" si="82"/>
        <v>0</v>
      </c>
      <c r="S887" s="23"/>
      <c r="T887" s="23">
        <f t="shared" si="83"/>
        <v>0</v>
      </c>
      <c r="U887" s="28" t="str">
        <f t="shared" si="84"/>
        <v/>
      </c>
      <c r="V887" s="10" t="str">
        <f>IFERROR(N887*VLOOKUP(G887,FILAMENTI_DB!$A:$J,10,FALSE),"")</f>
        <v/>
      </c>
      <c r="W887" s="23" t="str">
        <f>IFERROR((VLOOKUP(F887,STAMPANTI_DB!$A:$C,3,FALSE)/1000)*O887*SETTINGS!$C$6,"")</f>
        <v/>
      </c>
      <c r="X887" s="23" t="str">
        <f>IFERROR(O887*VLOOKUP(F887,STAMPANTI_DB!$A:$I,9,FALSE),"")</f>
        <v/>
      </c>
      <c r="Y887" s="23">
        <f>IFERROR(P887*SETTINGS!$C$7,"")</f>
        <v>0</v>
      </c>
      <c r="Z887" s="23">
        <f>SETTINGS!$C$11</f>
        <v>0.5</v>
      </c>
      <c r="AA887" s="23">
        <f t="shared" si="85"/>
        <v>0.5</v>
      </c>
      <c r="AB887" s="23">
        <f>IFERROR(AA887*SETTINGS!$C$9,"")</f>
        <v>2.5000000000000001E-2</v>
      </c>
      <c r="AC887" s="23">
        <f>IFERROR((AA887+AB887)*SETTINGS!$C$10,"")</f>
        <v>2.6250000000000002E-2</v>
      </c>
    </row>
    <row r="888" spans="1:29" ht="16" x14ac:dyDescent="0.2">
      <c r="A888" s="25"/>
      <c r="H888" t="str">
        <f>IFERROR(VLOOKUP(G888,FILAMENTI_DB!$A:$C,3,FALSE),"")</f>
        <v/>
      </c>
      <c r="I888" t="str">
        <f>IFERROR(VLOOKUP(G888,FILAMENTI_DB!$A:$E,4,FALSE),"")</f>
        <v/>
      </c>
      <c r="J888" s="26"/>
      <c r="K888" s="27"/>
      <c r="L888" s="27"/>
      <c r="M888" s="27">
        <f t="shared" si="80"/>
        <v>0</v>
      </c>
      <c r="N888" s="26">
        <f t="shared" si="81"/>
        <v>0</v>
      </c>
      <c r="O888" s="26"/>
      <c r="P888" s="26"/>
      <c r="Q888" s="23"/>
      <c r="R888" s="23">
        <f t="shared" si="82"/>
        <v>0</v>
      </c>
      <c r="S888" s="23"/>
      <c r="T888" s="23">
        <f t="shared" si="83"/>
        <v>0</v>
      </c>
      <c r="U888" s="28" t="str">
        <f t="shared" si="84"/>
        <v/>
      </c>
      <c r="V888" s="10" t="str">
        <f>IFERROR(N888*VLOOKUP(G888,FILAMENTI_DB!$A:$J,10,FALSE),"")</f>
        <v/>
      </c>
      <c r="W888" s="23" t="str">
        <f>IFERROR((VLOOKUP(F888,STAMPANTI_DB!$A:$C,3,FALSE)/1000)*O888*SETTINGS!$C$6,"")</f>
        <v/>
      </c>
      <c r="X888" s="23" t="str">
        <f>IFERROR(O888*VLOOKUP(F888,STAMPANTI_DB!$A:$I,9,FALSE),"")</f>
        <v/>
      </c>
      <c r="Y888" s="23">
        <f>IFERROR(P888*SETTINGS!$C$7,"")</f>
        <v>0</v>
      </c>
      <c r="Z888" s="23">
        <f>SETTINGS!$C$11</f>
        <v>0.5</v>
      </c>
      <c r="AA888" s="23">
        <f t="shared" si="85"/>
        <v>0.5</v>
      </c>
      <c r="AB888" s="23">
        <f>IFERROR(AA888*SETTINGS!$C$9,"")</f>
        <v>2.5000000000000001E-2</v>
      </c>
      <c r="AC888" s="23">
        <f>IFERROR((AA888+AB888)*SETTINGS!$C$10,"")</f>
        <v>2.6250000000000002E-2</v>
      </c>
    </row>
    <row r="889" spans="1:29" ht="16" x14ac:dyDescent="0.2">
      <c r="A889" s="25"/>
      <c r="H889" t="str">
        <f>IFERROR(VLOOKUP(G889,FILAMENTI_DB!$A:$C,3,FALSE),"")</f>
        <v/>
      </c>
      <c r="I889" t="str">
        <f>IFERROR(VLOOKUP(G889,FILAMENTI_DB!$A:$E,4,FALSE),"")</f>
        <v/>
      </c>
      <c r="J889" s="26"/>
      <c r="K889" s="27"/>
      <c r="L889" s="27"/>
      <c r="M889" s="27">
        <f t="shared" si="80"/>
        <v>0</v>
      </c>
      <c r="N889" s="26">
        <f t="shared" si="81"/>
        <v>0</v>
      </c>
      <c r="O889" s="26"/>
      <c r="P889" s="26"/>
      <c r="Q889" s="23"/>
      <c r="R889" s="23">
        <f t="shared" si="82"/>
        <v>0</v>
      </c>
      <c r="S889" s="23"/>
      <c r="T889" s="23">
        <f t="shared" si="83"/>
        <v>0</v>
      </c>
      <c r="U889" s="28" t="str">
        <f t="shared" si="84"/>
        <v/>
      </c>
      <c r="V889" s="10" t="str">
        <f>IFERROR(N889*VLOOKUP(G889,FILAMENTI_DB!$A:$J,10,FALSE),"")</f>
        <v/>
      </c>
      <c r="W889" s="23" t="str">
        <f>IFERROR((VLOOKUP(F889,STAMPANTI_DB!$A:$C,3,FALSE)/1000)*O889*SETTINGS!$C$6,"")</f>
        <v/>
      </c>
      <c r="X889" s="23" t="str">
        <f>IFERROR(O889*VLOOKUP(F889,STAMPANTI_DB!$A:$I,9,FALSE),"")</f>
        <v/>
      </c>
      <c r="Y889" s="23">
        <f>IFERROR(P889*SETTINGS!$C$7,"")</f>
        <v>0</v>
      </c>
      <c r="Z889" s="23">
        <f>SETTINGS!$C$11</f>
        <v>0.5</v>
      </c>
      <c r="AA889" s="23">
        <f t="shared" si="85"/>
        <v>0.5</v>
      </c>
      <c r="AB889" s="23">
        <f>IFERROR(AA889*SETTINGS!$C$9,"")</f>
        <v>2.5000000000000001E-2</v>
      </c>
      <c r="AC889" s="23">
        <f>IFERROR((AA889+AB889)*SETTINGS!$C$10,"")</f>
        <v>2.6250000000000002E-2</v>
      </c>
    </row>
    <row r="890" spans="1:29" ht="16" x14ac:dyDescent="0.2">
      <c r="A890" s="25"/>
      <c r="H890" t="str">
        <f>IFERROR(VLOOKUP(G890,FILAMENTI_DB!$A:$C,3,FALSE),"")</f>
        <v/>
      </c>
      <c r="I890" t="str">
        <f>IFERROR(VLOOKUP(G890,FILAMENTI_DB!$A:$E,4,FALSE),"")</f>
        <v/>
      </c>
      <c r="J890" s="26"/>
      <c r="K890" s="27"/>
      <c r="L890" s="27"/>
      <c r="M890" s="27">
        <f t="shared" si="80"/>
        <v>0</v>
      </c>
      <c r="N890" s="26">
        <f t="shared" si="81"/>
        <v>0</v>
      </c>
      <c r="O890" s="26"/>
      <c r="P890" s="26"/>
      <c r="Q890" s="23"/>
      <c r="R890" s="23">
        <f t="shared" si="82"/>
        <v>0</v>
      </c>
      <c r="S890" s="23"/>
      <c r="T890" s="23">
        <f t="shared" si="83"/>
        <v>0</v>
      </c>
      <c r="U890" s="28" t="str">
        <f t="shared" si="84"/>
        <v/>
      </c>
      <c r="V890" s="10" t="str">
        <f>IFERROR(N890*VLOOKUP(G890,FILAMENTI_DB!$A:$J,10,FALSE),"")</f>
        <v/>
      </c>
      <c r="W890" s="23" t="str">
        <f>IFERROR((VLOOKUP(F890,STAMPANTI_DB!$A:$C,3,FALSE)/1000)*O890*SETTINGS!$C$6,"")</f>
        <v/>
      </c>
      <c r="X890" s="23" t="str">
        <f>IFERROR(O890*VLOOKUP(F890,STAMPANTI_DB!$A:$I,9,FALSE),"")</f>
        <v/>
      </c>
      <c r="Y890" s="23">
        <f>IFERROR(P890*SETTINGS!$C$7,"")</f>
        <v>0</v>
      </c>
      <c r="Z890" s="23">
        <f>SETTINGS!$C$11</f>
        <v>0.5</v>
      </c>
      <c r="AA890" s="23">
        <f t="shared" si="85"/>
        <v>0.5</v>
      </c>
      <c r="AB890" s="23">
        <f>IFERROR(AA890*SETTINGS!$C$9,"")</f>
        <v>2.5000000000000001E-2</v>
      </c>
      <c r="AC890" s="23">
        <f>IFERROR((AA890+AB890)*SETTINGS!$C$10,"")</f>
        <v>2.6250000000000002E-2</v>
      </c>
    </row>
    <row r="891" spans="1:29" ht="16" x14ac:dyDescent="0.2">
      <c r="A891" s="25"/>
      <c r="H891" t="str">
        <f>IFERROR(VLOOKUP(G891,FILAMENTI_DB!$A:$C,3,FALSE),"")</f>
        <v/>
      </c>
      <c r="I891" t="str">
        <f>IFERROR(VLOOKUP(G891,FILAMENTI_DB!$A:$E,4,FALSE),"")</f>
        <v/>
      </c>
      <c r="J891" s="26"/>
      <c r="K891" s="27"/>
      <c r="L891" s="27"/>
      <c r="M891" s="27">
        <f t="shared" si="80"/>
        <v>0</v>
      </c>
      <c r="N891" s="26">
        <f t="shared" si="81"/>
        <v>0</v>
      </c>
      <c r="O891" s="26"/>
      <c r="P891" s="26"/>
      <c r="Q891" s="23"/>
      <c r="R891" s="23">
        <f t="shared" si="82"/>
        <v>0</v>
      </c>
      <c r="S891" s="23"/>
      <c r="T891" s="23">
        <f t="shared" si="83"/>
        <v>0</v>
      </c>
      <c r="U891" s="28" t="str">
        <f t="shared" si="84"/>
        <v/>
      </c>
      <c r="V891" s="10" t="str">
        <f>IFERROR(N891*VLOOKUP(G891,FILAMENTI_DB!$A:$J,10,FALSE),"")</f>
        <v/>
      </c>
      <c r="W891" s="23" t="str">
        <f>IFERROR((VLOOKUP(F891,STAMPANTI_DB!$A:$C,3,FALSE)/1000)*O891*SETTINGS!$C$6,"")</f>
        <v/>
      </c>
      <c r="X891" s="23" t="str">
        <f>IFERROR(O891*VLOOKUP(F891,STAMPANTI_DB!$A:$I,9,FALSE),"")</f>
        <v/>
      </c>
      <c r="Y891" s="23">
        <f>IFERROR(P891*SETTINGS!$C$7,"")</f>
        <v>0</v>
      </c>
      <c r="Z891" s="23">
        <f>SETTINGS!$C$11</f>
        <v>0.5</v>
      </c>
      <c r="AA891" s="23">
        <f t="shared" si="85"/>
        <v>0.5</v>
      </c>
      <c r="AB891" s="23">
        <f>IFERROR(AA891*SETTINGS!$C$9,"")</f>
        <v>2.5000000000000001E-2</v>
      </c>
      <c r="AC891" s="23">
        <f>IFERROR((AA891+AB891)*SETTINGS!$C$10,"")</f>
        <v>2.6250000000000002E-2</v>
      </c>
    </row>
    <row r="892" spans="1:29" ht="16" x14ac:dyDescent="0.2">
      <c r="A892" s="25"/>
      <c r="H892" t="str">
        <f>IFERROR(VLOOKUP(G892,FILAMENTI_DB!$A:$C,3,FALSE),"")</f>
        <v/>
      </c>
      <c r="I892" t="str">
        <f>IFERROR(VLOOKUP(G892,FILAMENTI_DB!$A:$E,4,FALSE),"")</f>
        <v/>
      </c>
      <c r="J892" s="26"/>
      <c r="K892" s="27"/>
      <c r="L892" s="27"/>
      <c r="M892" s="27">
        <f t="shared" si="80"/>
        <v>0</v>
      </c>
      <c r="N892" s="26">
        <f t="shared" si="81"/>
        <v>0</v>
      </c>
      <c r="O892" s="26"/>
      <c r="P892" s="26"/>
      <c r="Q892" s="23"/>
      <c r="R892" s="23">
        <f t="shared" si="82"/>
        <v>0</v>
      </c>
      <c r="S892" s="23"/>
      <c r="T892" s="23">
        <f t="shared" si="83"/>
        <v>0</v>
      </c>
      <c r="U892" s="28" t="str">
        <f t="shared" si="84"/>
        <v/>
      </c>
      <c r="V892" s="10" t="str">
        <f>IFERROR(N892*VLOOKUP(G892,FILAMENTI_DB!$A:$J,10,FALSE),"")</f>
        <v/>
      </c>
      <c r="W892" s="23" t="str">
        <f>IFERROR((VLOOKUP(F892,STAMPANTI_DB!$A:$C,3,FALSE)/1000)*O892*SETTINGS!$C$6,"")</f>
        <v/>
      </c>
      <c r="X892" s="23" t="str">
        <f>IFERROR(O892*VLOOKUP(F892,STAMPANTI_DB!$A:$I,9,FALSE),"")</f>
        <v/>
      </c>
      <c r="Y892" s="23">
        <f>IFERROR(P892*SETTINGS!$C$7,"")</f>
        <v>0</v>
      </c>
      <c r="Z892" s="23">
        <f>SETTINGS!$C$11</f>
        <v>0.5</v>
      </c>
      <c r="AA892" s="23">
        <f t="shared" si="85"/>
        <v>0.5</v>
      </c>
      <c r="AB892" s="23">
        <f>IFERROR(AA892*SETTINGS!$C$9,"")</f>
        <v>2.5000000000000001E-2</v>
      </c>
      <c r="AC892" s="23">
        <f>IFERROR((AA892+AB892)*SETTINGS!$C$10,"")</f>
        <v>2.6250000000000002E-2</v>
      </c>
    </row>
    <row r="893" spans="1:29" ht="16" x14ac:dyDescent="0.2">
      <c r="A893" s="25"/>
      <c r="H893" t="str">
        <f>IFERROR(VLOOKUP(G893,FILAMENTI_DB!$A:$C,3,FALSE),"")</f>
        <v/>
      </c>
      <c r="I893" t="str">
        <f>IFERROR(VLOOKUP(G893,FILAMENTI_DB!$A:$E,4,FALSE),"")</f>
        <v/>
      </c>
      <c r="J893" s="26"/>
      <c r="K893" s="27"/>
      <c r="L893" s="27"/>
      <c r="M893" s="27">
        <f t="shared" si="80"/>
        <v>0</v>
      </c>
      <c r="N893" s="26">
        <f t="shared" si="81"/>
        <v>0</v>
      </c>
      <c r="O893" s="26"/>
      <c r="P893" s="26"/>
      <c r="Q893" s="23"/>
      <c r="R893" s="23">
        <f t="shared" si="82"/>
        <v>0</v>
      </c>
      <c r="S893" s="23"/>
      <c r="T893" s="23">
        <f t="shared" si="83"/>
        <v>0</v>
      </c>
      <c r="U893" s="28" t="str">
        <f t="shared" si="84"/>
        <v/>
      </c>
      <c r="V893" s="10" t="str">
        <f>IFERROR(N893*VLOOKUP(G893,FILAMENTI_DB!$A:$J,10,FALSE),"")</f>
        <v/>
      </c>
      <c r="W893" s="23" t="str">
        <f>IFERROR((VLOOKUP(F893,STAMPANTI_DB!$A:$C,3,FALSE)/1000)*O893*SETTINGS!$C$6,"")</f>
        <v/>
      </c>
      <c r="X893" s="23" t="str">
        <f>IFERROR(O893*VLOOKUP(F893,STAMPANTI_DB!$A:$I,9,FALSE),"")</f>
        <v/>
      </c>
      <c r="Y893" s="23">
        <f>IFERROR(P893*SETTINGS!$C$7,"")</f>
        <v>0</v>
      </c>
      <c r="Z893" s="23">
        <f>SETTINGS!$C$11</f>
        <v>0.5</v>
      </c>
      <c r="AA893" s="23">
        <f t="shared" si="85"/>
        <v>0.5</v>
      </c>
      <c r="AB893" s="23">
        <f>IFERROR(AA893*SETTINGS!$C$9,"")</f>
        <v>2.5000000000000001E-2</v>
      </c>
      <c r="AC893" s="23">
        <f>IFERROR((AA893+AB893)*SETTINGS!$C$10,"")</f>
        <v>2.6250000000000002E-2</v>
      </c>
    </row>
    <row r="894" spans="1:29" ht="16" x14ac:dyDescent="0.2">
      <c r="A894" s="25"/>
      <c r="H894" t="str">
        <f>IFERROR(VLOOKUP(G894,FILAMENTI_DB!$A:$C,3,FALSE),"")</f>
        <v/>
      </c>
      <c r="I894" t="str">
        <f>IFERROR(VLOOKUP(G894,FILAMENTI_DB!$A:$E,4,FALSE),"")</f>
        <v/>
      </c>
      <c r="J894" s="26"/>
      <c r="K894" s="27"/>
      <c r="L894" s="27"/>
      <c r="M894" s="27">
        <f t="shared" si="80"/>
        <v>0</v>
      </c>
      <c r="N894" s="26">
        <f t="shared" si="81"/>
        <v>0</v>
      </c>
      <c r="O894" s="26"/>
      <c r="P894" s="26"/>
      <c r="Q894" s="23"/>
      <c r="R894" s="23">
        <f t="shared" si="82"/>
        <v>0</v>
      </c>
      <c r="S894" s="23"/>
      <c r="T894" s="23">
        <f t="shared" si="83"/>
        <v>0</v>
      </c>
      <c r="U894" s="28" t="str">
        <f t="shared" si="84"/>
        <v/>
      </c>
      <c r="V894" s="10" t="str">
        <f>IFERROR(N894*VLOOKUP(G894,FILAMENTI_DB!$A:$J,10,FALSE),"")</f>
        <v/>
      </c>
      <c r="W894" s="23" t="str">
        <f>IFERROR((VLOOKUP(F894,STAMPANTI_DB!$A:$C,3,FALSE)/1000)*O894*SETTINGS!$C$6,"")</f>
        <v/>
      </c>
      <c r="X894" s="23" t="str">
        <f>IFERROR(O894*VLOOKUP(F894,STAMPANTI_DB!$A:$I,9,FALSE),"")</f>
        <v/>
      </c>
      <c r="Y894" s="23">
        <f>IFERROR(P894*SETTINGS!$C$7,"")</f>
        <v>0</v>
      </c>
      <c r="Z894" s="23">
        <f>SETTINGS!$C$11</f>
        <v>0.5</v>
      </c>
      <c r="AA894" s="23">
        <f t="shared" si="85"/>
        <v>0.5</v>
      </c>
      <c r="AB894" s="23">
        <f>IFERROR(AA894*SETTINGS!$C$9,"")</f>
        <v>2.5000000000000001E-2</v>
      </c>
      <c r="AC894" s="23">
        <f>IFERROR((AA894+AB894)*SETTINGS!$C$10,"")</f>
        <v>2.6250000000000002E-2</v>
      </c>
    </row>
    <row r="895" spans="1:29" ht="16" x14ac:dyDescent="0.2">
      <c r="A895" s="25"/>
      <c r="H895" t="str">
        <f>IFERROR(VLOOKUP(G895,FILAMENTI_DB!$A:$C,3,FALSE),"")</f>
        <v/>
      </c>
      <c r="I895" t="str">
        <f>IFERROR(VLOOKUP(G895,FILAMENTI_DB!$A:$E,4,FALSE),"")</f>
        <v/>
      </c>
      <c r="J895" s="26"/>
      <c r="K895" s="27"/>
      <c r="L895" s="27"/>
      <c r="M895" s="27">
        <f t="shared" si="80"/>
        <v>0</v>
      </c>
      <c r="N895" s="26">
        <f t="shared" si="81"/>
        <v>0</v>
      </c>
      <c r="O895" s="26"/>
      <c r="P895" s="26"/>
      <c r="Q895" s="23"/>
      <c r="R895" s="23">
        <f t="shared" si="82"/>
        <v>0</v>
      </c>
      <c r="S895" s="23"/>
      <c r="T895" s="23">
        <f t="shared" si="83"/>
        <v>0</v>
      </c>
      <c r="U895" s="28" t="str">
        <f t="shared" si="84"/>
        <v/>
      </c>
      <c r="V895" s="10" t="str">
        <f>IFERROR(N895*VLOOKUP(G895,FILAMENTI_DB!$A:$J,10,FALSE),"")</f>
        <v/>
      </c>
      <c r="W895" s="23" t="str">
        <f>IFERROR((VLOOKUP(F895,STAMPANTI_DB!$A:$C,3,FALSE)/1000)*O895*SETTINGS!$C$6,"")</f>
        <v/>
      </c>
      <c r="X895" s="23" t="str">
        <f>IFERROR(O895*VLOOKUP(F895,STAMPANTI_DB!$A:$I,9,FALSE),"")</f>
        <v/>
      </c>
      <c r="Y895" s="23">
        <f>IFERROR(P895*SETTINGS!$C$7,"")</f>
        <v>0</v>
      </c>
      <c r="Z895" s="23">
        <f>SETTINGS!$C$11</f>
        <v>0.5</v>
      </c>
      <c r="AA895" s="23">
        <f t="shared" si="85"/>
        <v>0.5</v>
      </c>
      <c r="AB895" s="23">
        <f>IFERROR(AA895*SETTINGS!$C$9,"")</f>
        <v>2.5000000000000001E-2</v>
      </c>
      <c r="AC895" s="23">
        <f>IFERROR((AA895+AB895)*SETTINGS!$C$10,"")</f>
        <v>2.6250000000000002E-2</v>
      </c>
    </row>
    <row r="896" spans="1:29" ht="16" x14ac:dyDescent="0.2">
      <c r="A896" s="25"/>
      <c r="H896" t="str">
        <f>IFERROR(VLOOKUP(G896,FILAMENTI_DB!$A:$C,3,FALSE),"")</f>
        <v/>
      </c>
      <c r="I896" t="str">
        <f>IFERROR(VLOOKUP(G896,FILAMENTI_DB!$A:$E,4,FALSE),"")</f>
        <v/>
      </c>
      <c r="J896" s="26"/>
      <c r="K896" s="27"/>
      <c r="L896" s="27"/>
      <c r="M896" s="27">
        <f t="shared" si="80"/>
        <v>0</v>
      </c>
      <c r="N896" s="26">
        <f t="shared" si="81"/>
        <v>0</v>
      </c>
      <c r="O896" s="26"/>
      <c r="P896" s="26"/>
      <c r="Q896" s="23"/>
      <c r="R896" s="23">
        <f t="shared" si="82"/>
        <v>0</v>
      </c>
      <c r="S896" s="23"/>
      <c r="T896" s="23">
        <f t="shared" si="83"/>
        <v>0</v>
      </c>
      <c r="U896" s="28" t="str">
        <f t="shared" si="84"/>
        <v/>
      </c>
      <c r="V896" s="10" t="str">
        <f>IFERROR(N896*VLOOKUP(G896,FILAMENTI_DB!$A:$J,10,FALSE),"")</f>
        <v/>
      </c>
      <c r="W896" s="23" t="str">
        <f>IFERROR((VLOOKUP(F896,STAMPANTI_DB!$A:$C,3,FALSE)/1000)*O896*SETTINGS!$C$6,"")</f>
        <v/>
      </c>
      <c r="X896" s="23" t="str">
        <f>IFERROR(O896*VLOOKUP(F896,STAMPANTI_DB!$A:$I,9,FALSE),"")</f>
        <v/>
      </c>
      <c r="Y896" s="23">
        <f>IFERROR(P896*SETTINGS!$C$7,"")</f>
        <v>0</v>
      </c>
      <c r="Z896" s="23">
        <f>SETTINGS!$C$11</f>
        <v>0.5</v>
      </c>
      <c r="AA896" s="23">
        <f t="shared" si="85"/>
        <v>0.5</v>
      </c>
      <c r="AB896" s="23">
        <f>IFERROR(AA896*SETTINGS!$C$9,"")</f>
        <v>2.5000000000000001E-2</v>
      </c>
      <c r="AC896" s="23">
        <f>IFERROR((AA896+AB896)*SETTINGS!$C$10,"")</f>
        <v>2.6250000000000002E-2</v>
      </c>
    </row>
    <row r="897" spans="1:29" ht="16" x14ac:dyDescent="0.2">
      <c r="A897" s="25"/>
      <c r="H897" t="str">
        <f>IFERROR(VLOOKUP(G897,FILAMENTI_DB!$A:$C,3,FALSE),"")</f>
        <v/>
      </c>
      <c r="I897" t="str">
        <f>IFERROR(VLOOKUP(G897,FILAMENTI_DB!$A:$E,4,FALSE),"")</f>
        <v/>
      </c>
      <c r="J897" s="26"/>
      <c r="K897" s="27"/>
      <c r="L897" s="27"/>
      <c r="M897" s="27">
        <f t="shared" si="80"/>
        <v>0</v>
      </c>
      <c r="N897" s="26">
        <f t="shared" si="81"/>
        <v>0</v>
      </c>
      <c r="O897" s="26"/>
      <c r="P897" s="26"/>
      <c r="Q897" s="23"/>
      <c r="R897" s="23">
        <f t="shared" si="82"/>
        <v>0</v>
      </c>
      <c r="S897" s="23"/>
      <c r="T897" s="23">
        <f t="shared" si="83"/>
        <v>0</v>
      </c>
      <c r="U897" s="28" t="str">
        <f t="shared" si="84"/>
        <v/>
      </c>
      <c r="V897" s="10" t="str">
        <f>IFERROR(N897*VLOOKUP(G897,FILAMENTI_DB!$A:$J,10,FALSE),"")</f>
        <v/>
      </c>
      <c r="W897" s="23" t="str">
        <f>IFERROR((VLOOKUP(F897,STAMPANTI_DB!$A:$C,3,FALSE)/1000)*O897*SETTINGS!$C$6,"")</f>
        <v/>
      </c>
      <c r="X897" s="23" t="str">
        <f>IFERROR(O897*VLOOKUP(F897,STAMPANTI_DB!$A:$I,9,FALSE),"")</f>
        <v/>
      </c>
      <c r="Y897" s="23">
        <f>IFERROR(P897*SETTINGS!$C$7,"")</f>
        <v>0</v>
      </c>
      <c r="Z897" s="23">
        <f>SETTINGS!$C$11</f>
        <v>0.5</v>
      </c>
      <c r="AA897" s="23">
        <f t="shared" si="85"/>
        <v>0.5</v>
      </c>
      <c r="AB897" s="23">
        <f>IFERROR(AA897*SETTINGS!$C$9,"")</f>
        <v>2.5000000000000001E-2</v>
      </c>
      <c r="AC897" s="23">
        <f>IFERROR((AA897+AB897)*SETTINGS!$C$10,"")</f>
        <v>2.6250000000000002E-2</v>
      </c>
    </row>
    <row r="898" spans="1:29" ht="16" x14ac:dyDescent="0.2">
      <c r="A898" s="25"/>
      <c r="H898" t="str">
        <f>IFERROR(VLOOKUP(G898,FILAMENTI_DB!$A:$C,3,FALSE),"")</f>
        <v/>
      </c>
      <c r="I898" t="str">
        <f>IFERROR(VLOOKUP(G898,FILAMENTI_DB!$A:$E,4,FALSE),"")</f>
        <v/>
      </c>
      <c r="J898" s="26"/>
      <c r="K898" s="27"/>
      <c r="L898" s="27"/>
      <c r="M898" s="27">
        <f t="shared" si="80"/>
        <v>0</v>
      </c>
      <c r="N898" s="26">
        <f t="shared" si="81"/>
        <v>0</v>
      </c>
      <c r="O898" s="26"/>
      <c r="P898" s="26"/>
      <c r="Q898" s="23"/>
      <c r="R898" s="23">
        <f t="shared" si="82"/>
        <v>0</v>
      </c>
      <c r="S898" s="23"/>
      <c r="T898" s="23">
        <f t="shared" si="83"/>
        <v>0</v>
      </c>
      <c r="U898" s="28" t="str">
        <f t="shared" si="84"/>
        <v/>
      </c>
      <c r="V898" s="10" t="str">
        <f>IFERROR(N898*VLOOKUP(G898,FILAMENTI_DB!$A:$J,10,FALSE),"")</f>
        <v/>
      </c>
      <c r="W898" s="23" t="str">
        <f>IFERROR((VLOOKUP(F898,STAMPANTI_DB!$A:$C,3,FALSE)/1000)*O898*SETTINGS!$C$6,"")</f>
        <v/>
      </c>
      <c r="X898" s="23" t="str">
        <f>IFERROR(O898*VLOOKUP(F898,STAMPANTI_DB!$A:$I,9,FALSE),"")</f>
        <v/>
      </c>
      <c r="Y898" s="23">
        <f>IFERROR(P898*SETTINGS!$C$7,"")</f>
        <v>0</v>
      </c>
      <c r="Z898" s="23">
        <f>SETTINGS!$C$11</f>
        <v>0.5</v>
      </c>
      <c r="AA898" s="23">
        <f t="shared" si="85"/>
        <v>0.5</v>
      </c>
      <c r="AB898" s="23">
        <f>IFERROR(AA898*SETTINGS!$C$9,"")</f>
        <v>2.5000000000000001E-2</v>
      </c>
      <c r="AC898" s="23">
        <f>IFERROR((AA898+AB898)*SETTINGS!$C$10,"")</f>
        <v>2.6250000000000002E-2</v>
      </c>
    </row>
    <row r="899" spans="1:29" ht="16" x14ac:dyDescent="0.2">
      <c r="A899" s="25"/>
      <c r="H899" t="str">
        <f>IFERROR(VLOOKUP(G899,FILAMENTI_DB!$A:$C,3,FALSE),"")</f>
        <v/>
      </c>
      <c r="I899" t="str">
        <f>IFERROR(VLOOKUP(G899,FILAMENTI_DB!$A:$E,4,FALSE),"")</f>
        <v/>
      </c>
      <c r="J899" s="26"/>
      <c r="K899" s="27"/>
      <c r="L899" s="27"/>
      <c r="M899" s="27">
        <f t="shared" si="80"/>
        <v>0</v>
      </c>
      <c r="N899" s="26">
        <f t="shared" si="81"/>
        <v>0</v>
      </c>
      <c r="O899" s="26"/>
      <c r="P899" s="26"/>
      <c r="Q899" s="23"/>
      <c r="R899" s="23">
        <f t="shared" si="82"/>
        <v>0</v>
      </c>
      <c r="S899" s="23"/>
      <c r="T899" s="23">
        <f t="shared" si="83"/>
        <v>0</v>
      </c>
      <c r="U899" s="28" t="str">
        <f t="shared" si="84"/>
        <v/>
      </c>
      <c r="V899" s="10" t="str">
        <f>IFERROR(N899*VLOOKUP(G899,FILAMENTI_DB!$A:$J,10,FALSE),"")</f>
        <v/>
      </c>
      <c r="W899" s="23" t="str">
        <f>IFERROR((VLOOKUP(F899,STAMPANTI_DB!$A:$C,3,FALSE)/1000)*O899*SETTINGS!$C$6,"")</f>
        <v/>
      </c>
      <c r="X899" s="23" t="str">
        <f>IFERROR(O899*VLOOKUP(F899,STAMPANTI_DB!$A:$I,9,FALSE),"")</f>
        <v/>
      </c>
      <c r="Y899" s="23">
        <f>IFERROR(P899*SETTINGS!$C$7,"")</f>
        <v>0</v>
      </c>
      <c r="Z899" s="23">
        <f>SETTINGS!$C$11</f>
        <v>0.5</v>
      </c>
      <c r="AA899" s="23">
        <f t="shared" si="85"/>
        <v>0.5</v>
      </c>
      <c r="AB899" s="23">
        <f>IFERROR(AA899*SETTINGS!$C$9,"")</f>
        <v>2.5000000000000001E-2</v>
      </c>
      <c r="AC899" s="23">
        <f>IFERROR((AA899+AB899)*SETTINGS!$C$10,"")</f>
        <v>2.6250000000000002E-2</v>
      </c>
    </row>
    <row r="900" spans="1:29" ht="16" x14ac:dyDescent="0.2">
      <c r="A900" s="25"/>
      <c r="H900" t="str">
        <f>IFERROR(VLOOKUP(G900,FILAMENTI_DB!$A:$C,3,FALSE),"")</f>
        <v/>
      </c>
      <c r="I900" t="str">
        <f>IFERROR(VLOOKUP(G900,FILAMENTI_DB!$A:$E,4,FALSE),"")</f>
        <v/>
      </c>
      <c r="J900" s="26"/>
      <c r="K900" s="27"/>
      <c r="L900" s="27"/>
      <c r="M900" s="27">
        <f t="shared" si="80"/>
        <v>0</v>
      </c>
      <c r="N900" s="26">
        <f t="shared" si="81"/>
        <v>0</v>
      </c>
      <c r="O900" s="26"/>
      <c r="P900" s="26"/>
      <c r="Q900" s="23"/>
      <c r="R900" s="23">
        <f t="shared" si="82"/>
        <v>0</v>
      </c>
      <c r="S900" s="23"/>
      <c r="T900" s="23">
        <f t="shared" si="83"/>
        <v>0</v>
      </c>
      <c r="U900" s="28" t="str">
        <f t="shared" si="84"/>
        <v/>
      </c>
      <c r="V900" s="10" t="str">
        <f>IFERROR(N900*VLOOKUP(G900,FILAMENTI_DB!$A:$J,10,FALSE),"")</f>
        <v/>
      </c>
      <c r="W900" s="23" t="str">
        <f>IFERROR((VLOOKUP(F900,STAMPANTI_DB!$A:$C,3,FALSE)/1000)*O900*SETTINGS!$C$6,"")</f>
        <v/>
      </c>
      <c r="X900" s="23" t="str">
        <f>IFERROR(O900*VLOOKUP(F900,STAMPANTI_DB!$A:$I,9,FALSE),"")</f>
        <v/>
      </c>
      <c r="Y900" s="23">
        <f>IFERROR(P900*SETTINGS!$C$7,"")</f>
        <v>0</v>
      </c>
      <c r="Z900" s="23">
        <f>SETTINGS!$C$11</f>
        <v>0.5</v>
      </c>
      <c r="AA900" s="23">
        <f t="shared" si="85"/>
        <v>0.5</v>
      </c>
      <c r="AB900" s="23">
        <f>IFERROR(AA900*SETTINGS!$C$9,"")</f>
        <v>2.5000000000000001E-2</v>
      </c>
      <c r="AC900" s="23">
        <f>IFERROR((AA900+AB900)*SETTINGS!$C$10,"")</f>
        <v>2.6250000000000002E-2</v>
      </c>
    </row>
    <row r="901" spans="1:29" ht="16" x14ac:dyDescent="0.2">
      <c r="A901" s="25"/>
      <c r="H901" t="str">
        <f>IFERROR(VLOOKUP(G901,FILAMENTI_DB!$A:$C,3,FALSE),"")</f>
        <v/>
      </c>
      <c r="I901" t="str">
        <f>IFERROR(VLOOKUP(G901,FILAMENTI_DB!$A:$E,4,FALSE),"")</f>
        <v/>
      </c>
      <c r="J901" s="26"/>
      <c r="K901" s="27"/>
      <c r="L901" s="27"/>
      <c r="M901" s="27">
        <f t="shared" ref="M901:M964" si="86">IFERROR(K901+L901,"")</f>
        <v>0</v>
      </c>
      <c r="N901" s="26">
        <f t="shared" ref="N901:N964" si="87">IFERROR(J901*M901,"")</f>
        <v>0</v>
      </c>
      <c r="O901" s="26"/>
      <c r="P901" s="26"/>
      <c r="Q901" s="23"/>
      <c r="R901" s="23">
        <f t="shared" ref="R901:R964" si="88">IFERROR(Q901*K901,"")</f>
        <v>0</v>
      </c>
      <c r="S901" s="23"/>
      <c r="T901" s="23">
        <f t="shared" ref="T901:T964" si="89">IFERROR(R901-S901,"")</f>
        <v>0</v>
      </c>
      <c r="U901" s="28" t="str">
        <f t="shared" ref="U901:U964" si="90">IFERROR(T901/R901,"")</f>
        <v/>
      </c>
      <c r="V901" s="10" t="str">
        <f>IFERROR(N901*VLOOKUP(G901,FILAMENTI_DB!$A:$J,10,FALSE),"")</f>
        <v/>
      </c>
      <c r="W901" s="23" t="str">
        <f>IFERROR((VLOOKUP(F901,STAMPANTI_DB!$A:$C,3,FALSE)/1000)*O901*SETTINGS!$C$6,"")</f>
        <v/>
      </c>
      <c r="X901" s="23" t="str">
        <f>IFERROR(O901*VLOOKUP(F901,STAMPANTI_DB!$A:$I,9,FALSE),"")</f>
        <v/>
      </c>
      <c r="Y901" s="23">
        <f>IFERROR(P901*SETTINGS!$C$7,"")</f>
        <v>0</v>
      </c>
      <c r="Z901" s="23">
        <f>SETTINGS!$C$11</f>
        <v>0.5</v>
      </c>
      <c r="AA901" s="23">
        <f t="shared" ref="AA901:AA964" si="91">IFERROR(SUM(V901:Z901),"")</f>
        <v>0.5</v>
      </c>
      <c r="AB901" s="23">
        <f>IFERROR(AA901*SETTINGS!$C$9,"")</f>
        <v>2.5000000000000001E-2</v>
      </c>
      <c r="AC901" s="23">
        <f>IFERROR((AA901+AB901)*SETTINGS!$C$10,"")</f>
        <v>2.6250000000000002E-2</v>
      </c>
    </row>
    <row r="902" spans="1:29" ht="16" x14ac:dyDescent="0.2">
      <c r="A902" s="25"/>
      <c r="H902" t="str">
        <f>IFERROR(VLOOKUP(G902,FILAMENTI_DB!$A:$C,3,FALSE),"")</f>
        <v/>
      </c>
      <c r="I902" t="str">
        <f>IFERROR(VLOOKUP(G902,FILAMENTI_DB!$A:$E,4,FALSE),"")</f>
        <v/>
      </c>
      <c r="J902" s="26"/>
      <c r="K902" s="27"/>
      <c r="L902" s="27"/>
      <c r="M902" s="27">
        <f t="shared" si="86"/>
        <v>0</v>
      </c>
      <c r="N902" s="26">
        <f t="shared" si="87"/>
        <v>0</v>
      </c>
      <c r="O902" s="26"/>
      <c r="P902" s="26"/>
      <c r="Q902" s="23"/>
      <c r="R902" s="23">
        <f t="shared" si="88"/>
        <v>0</v>
      </c>
      <c r="S902" s="23"/>
      <c r="T902" s="23">
        <f t="shared" si="89"/>
        <v>0</v>
      </c>
      <c r="U902" s="28" t="str">
        <f t="shared" si="90"/>
        <v/>
      </c>
      <c r="V902" s="10" t="str">
        <f>IFERROR(N902*VLOOKUP(G902,FILAMENTI_DB!$A:$J,10,FALSE),"")</f>
        <v/>
      </c>
      <c r="W902" s="23" t="str">
        <f>IFERROR((VLOOKUP(F902,STAMPANTI_DB!$A:$C,3,FALSE)/1000)*O902*SETTINGS!$C$6,"")</f>
        <v/>
      </c>
      <c r="X902" s="23" t="str">
        <f>IFERROR(O902*VLOOKUP(F902,STAMPANTI_DB!$A:$I,9,FALSE),"")</f>
        <v/>
      </c>
      <c r="Y902" s="23">
        <f>IFERROR(P902*SETTINGS!$C$7,"")</f>
        <v>0</v>
      </c>
      <c r="Z902" s="23">
        <f>SETTINGS!$C$11</f>
        <v>0.5</v>
      </c>
      <c r="AA902" s="23">
        <f t="shared" si="91"/>
        <v>0.5</v>
      </c>
      <c r="AB902" s="23">
        <f>IFERROR(AA902*SETTINGS!$C$9,"")</f>
        <v>2.5000000000000001E-2</v>
      </c>
      <c r="AC902" s="23">
        <f>IFERROR((AA902+AB902)*SETTINGS!$C$10,"")</f>
        <v>2.6250000000000002E-2</v>
      </c>
    </row>
    <row r="903" spans="1:29" ht="16" x14ac:dyDescent="0.2">
      <c r="A903" s="25"/>
      <c r="H903" t="str">
        <f>IFERROR(VLOOKUP(G903,FILAMENTI_DB!$A:$C,3,FALSE),"")</f>
        <v/>
      </c>
      <c r="I903" t="str">
        <f>IFERROR(VLOOKUP(G903,FILAMENTI_DB!$A:$E,4,FALSE),"")</f>
        <v/>
      </c>
      <c r="J903" s="26"/>
      <c r="K903" s="27"/>
      <c r="L903" s="27"/>
      <c r="M903" s="27">
        <f t="shared" si="86"/>
        <v>0</v>
      </c>
      <c r="N903" s="26">
        <f t="shared" si="87"/>
        <v>0</v>
      </c>
      <c r="O903" s="26"/>
      <c r="P903" s="26"/>
      <c r="Q903" s="23"/>
      <c r="R903" s="23">
        <f t="shared" si="88"/>
        <v>0</v>
      </c>
      <c r="S903" s="23"/>
      <c r="T903" s="23">
        <f t="shared" si="89"/>
        <v>0</v>
      </c>
      <c r="U903" s="28" t="str">
        <f t="shared" si="90"/>
        <v/>
      </c>
      <c r="V903" s="10" t="str">
        <f>IFERROR(N903*VLOOKUP(G903,FILAMENTI_DB!$A:$J,10,FALSE),"")</f>
        <v/>
      </c>
      <c r="W903" s="23" t="str">
        <f>IFERROR((VLOOKUP(F903,STAMPANTI_DB!$A:$C,3,FALSE)/1000)*O903*SETTINGS!$C$6,"")</f>
        <v/>
      </c>
      <c r="X903" s="23" t="str">
        <f>IFERROR(O903*VLOOKUP(F903,STAMPANTI_DB!$A:$I,9,FALSE),"")</f>
        <v/>
      </c>
      <c r="Y903" s="23">
        <f>IFERROR(P903*SETTINGS!$C$7,"")</f>
        <v>0</v>
      </c>
      <c r="Z903" s="23">
        <f>SETTINGS!$C$11</f>
        <v>0.5</v>
      </c>
      <c r="AA903" s="23">
        <f t="shared" si="91"/>
        <v>0.5</v>
      </c>
      <c r="AB903" s="23">
        <f>IFERROR(AA903*SETTINGS!$C$9,"")</f>
        <v>2.5000000000000001E-2</v>
      </c>
      <c r="AC903" s="23">
        <f>IFERROR((AA903+AB903)*SETTINGS!$C$10,"")</f>
        <v>2.6250000000000002E-2</v>
      </c>
    </row>
    <row r="904" spans="1:29" ht="16" x14ac:dyDescent="0.2">
      <c r="A904" s="25"/>
      <c r="H904" t="str">
        <f>IFERROR(VLOOKUP(G904,FILAMENTI_DB!$A:$C,3,FALSE),"")</f>
        <v/>
      </c>
      <c r="I904" t="str">
        <f>IFERROR(VLOOKUP(G904,FILAMENTI_DB!$A:$E,4,FALSE),"")</f>
        <v/>
      </c>
      <c r="J904" s="26"/>
      <c r="K904" s="27"/>
      <c r="L904" s="27"/>
      <c r="M904" s="27">
        <f t="shared" si="86"/>
        <v>0</v>
      </c>
      <c r="N904" s="26">
        <f t="shared" si="87"/>
        <v>0</v>
      </c>
      <c r="O904" s="26"/>
      <c r="P904" s="26"/>
      <c r="Q904" s="23"/>
      <c r="R904" s="23">
        <f t="shared" si="88"/>
        <v>0</v>
      </c>
      <c r="S904" s="23"/>
      <c r="T904" s="23">
        <f t="shared" si="89"/>
        <v>0</v>
      </c>
      <c r="U904" s="28" t="str">
        <f t="shared" si="90"/>
        <v/>
      </c>
      <c r="V904" s="10" t="str">
        <f>IFERROR(N904*VLOOKUP(G904,FILAMENTI_DB!$A:$J,10,FALSE),"")</f>
        <v/>
      </c>
      <c r="W904" s="23" t="str">
        <f>IFERROR((VLOOKUP(F904,STAMPANTI_DB!$A:$C,3,FALSE)/1000)*O904*SETTINGS!$C$6,"")</f>
        <v/>
      </c>
      <c r="X904" s="23" t="str">
        <f>IFERROR(O904*VLOOKUP(F904,STAMPANTI_DB!$A:$I,9,FALSE),"")</f>
        <v/>
      </c>
      <c r="Y904" s="23">
        <f>IFERROR(P904*SETTINGS!$C$7,"")</f>
        <v>0</v>
      </c>
      <c r="Z904" s="23">
        <f>SETTINGS!$C$11</f>
        <v>0.5</v>
      </c>
      <c r="AA904" s="23">
        <f t="shared" si="91"/>
        <v>0.5</v>
      </c>
      <c r="AB904" s="23">
        <f>IFERROR(AA904*SETTINGS!$C$9,"")</f>
        <v>2.5000000000000001E-2</v>
      </c>
      <c r="AC904" s="23">
        <f>IFERROR((AA904+AB904)*SETTINGS!$C$10,"")</f>
        <v>2.6250000000000002E-2</v>
      </c>
    </row>
    <row r="905" spans="1:29" ht="16" x14ac:dyDescent="0.2">
      <c r="A905" s="25"/>
      <c r="H905" t="str">
        <f>IFERROR(VLOOKUP(G905,FILAMENTI_DB!$A:$C,3,FALSE),"")</f>
        <v/>
      </c>
      <c r="I905" t="str">
        <f>IFERROR(VLOOKUP(G905,FILAMENTI_DB!$A:$E,4,FALSE),"")</f>
        <v/>
      </c>
      <c r="J905" s="26"/>
      <c r="K905" s="27"/>
      <c r="L905" s="27"/>
      <c r="M905" s="27">
        <f t="shared" si="86"/>
        <v>0</v>
      </c>
      <c r="N905" s="26">
        <f t="shared" si="87"/>
        <v>0</v>
      </c>
      <c r="O905" s="26"/>
      <c r="P905" s="26"/>
      <c r="Q905" s="23"/>
      <c r="R905" s="23">
        <f t="shared" si="88"/>
        <v>0</v>
      </c>
      <c r="S905" s="23"/>
      <c r="T905" s="23">
        <f t="shared" si="89"/>
        <v>0</v>
      </c>
      <c r="U905" s="28" t="str">
        <f t="shared" si="90"/>
        <v/>
      </c>
      <c r="V905" s="10" t="str">
        <f>IFERROR(N905*VLOOKUP(G905,FILAMENTI_DB!$A:$J,10,FALSE),"")</f>
        <v/>
      </c>
      <c r="W905" s="23" t="str">
        <f>IFERROR((VLOOKUP(F905,STAMPANTI_DB!$A:$C,3,FALSE)/1000)*O905*SETTINGS!$C$6,"")</f>
        <v/>
      </c>
      <c r="X905" s="23" t="str">
        <f>IFERROR(O905*VLOOKUP(F905,STAMPANTI_DB!$A:$I,9,FALSE),"")</f>
        <v/>
      </c>
      <c r="Y905" s="23">
        <f>IFERROR(P905*SETTINGS!$C$7,"")</f>
        <v>0</v>
      </c>
      <c r="Z905" s="23">
        <f>SETTINGS!$C$11</f>
        <v>0.5</v>
      </c>
      <c r="AA905" s="23">
        <f t="shared" si="91"/>
        <v>0.5</v>
      </c>
      <c r="AB905" s="23">
        <f>IFERROR(AA905*SETTINGS!$C$9,"")</f>
        <v>2.5000000000000001E-2</v>
      </c>
      <c r="AC905" s="23">
        <f>IFERROR((AA905+AB905)*SETTINGS!$C$10,"")</f>
        <v>2.6250000000000002E-2</v>
      </c>
    </row>
    <row r="906" spans="1:29" ht="16" x14ac:dyDescent="0.2">
      <c r="A906" s="25"/>
      <c r="H906" t="str">
        <f>IFERROR(VLOOKUP(G906,FILAMENTI_DB!$A:$C,3,FALSE),"")</f>
        <v/>
      </c>
      <c r="I906" t="str">
        <f>IFERROR(VLOOKUP(G906,FILAMENTI_DB!$A:$E,4,FALSE),"")</f>
        <v/>
      </c>
      <c r="J906" s="26"/>
      <c r="K906" s="27"/>
      <c r="L906" s="27"/>
      <c r="M906" s="27">
        <f t="shared" si="86"/>
        <v>0</v>
      </c>
      <c r="N906" s="26">
        <f t="shared" si="87"/>
        <v>0</v>
      </c>
      <c r="O906" s="26"/>
      <c r="P906" s="26"/>
      <c r="Q906" s="23"/>
      <c r="R906" s="23">
        <f t="shared" si="88"/>
        <v>0</v>
      </c>
      <c r="S906" s="23"/>
      <c r="T906" s="23">
        <f t="shared" si="89"/>
        <v>0</v>
      </c>
      <c r="U906" s="28" t="str">
        <f t="shared" si="90"/>
        <v/>
      </c>
      <c r="V906" s="10" t="str">
        <f>IFERROR(N906*VLOOKUP(G906,FILAMENTI_DB!$A:$J,10,FALSE),"")</f>
        <v/>
      </c>
      <c r="W906" s="23" t="str">
        <f>IFERROR((VLOOKUP(F906,STAMPANTI_DB!$A:$C,3,FALSE)/1000)*O906*SETTINGS!$C$6,"")</f>
        <v/>
      </c>
      <c r="X906" s="23" t="str">
        <f>IFERROR(O906*VLOOKUP(F906,STAMPANTI_DB!$A:$I,9,FALSE),"")</f>
        <v/>
      </c>
      <c r="Y906" s="23">
        <f>IFERROR(P906*SETTINGS!$C$7,"")</f>
        <v>0</v>
      </c>
      <c r="Z906" s="23">
        <f>SETTINGS!$C$11</f>
        <v>0.5</v>
      </c>
      <c r="AA906" s="23">
        <f t="shared" si="91"/>
        <v>0.5</v>
      </c>
      <c r="AB906" s="23">
        <f>IFERROR(AA906*SETTINGS!$C$9,"")</f>
        <v>2.5000000000000001E-2</v>
      </c>
      <c r="AC906" s="23">
        <f>IFERROR((AA906+AB906)*SETTINGS!$C$10,"")</f>
        <v>2.6250000000000002E-2</v>
      </c>
    </row>
    <row r="907" spans="1:29" ht="16" x14ac:dyDescent="0.2">
      <c r="A907" s="25"/>
      <c r="H907" t="str">
        <f>IFERROR(VLOOKUP(G907,FILAMENTI_DB!$A:$C,3,FALSE),"")</f>
        <v/>
      </c>
      <c r="I907" t="str">
        <f>IFERROR(VLOOKUP(G907,FILAMENTI_DB!$A:$E,4,FALSE),"")</f>
        <v/>
      </c>
      <c r="J907" s="26"/>
      <c r="K907" s="27"/>
      <c r="L907" s="27"/>
      <c r="M907" s="27">
        <f t="shared" si="86"/>
        <v>0</v>
      </c>
      <c r="N907" s="26">
        <f t="shared" si="87"/>
        <v>0</v>
      </c>
      <c r="O907" s="26"/>
      <c r="P907" s="26"/>
      <c r="Q907" s="23"/>
      <c r="R907" s="23">
        <f t="shared" si="88"/>
        <v>0</v>
      </c>
      <c r="S907" s="23"/>
      <c r="T907" s="23">
        <f t="shared" si="89"/>
        <v>0</v>
      </c>
      <c r="U907" s="28" t="str">
        <f t="shared" si="90"/>
        <v/>
      </c>
      <c r="V907" s="10" t="str">
        <f>IFERROR(N907*VLOOKUP(G907,FILAMENTI_DB!$A:$J,10,FALSE),"")</f>
        <v/>
      </c>
      <c r="W907" s="23" t="str">
        <f>IFERROR((VLOOKUP(F907,STAMPANTI_DB!$A:$C,3,FALSE)/1000)*O907*SETTINGS!$C$6,"")</f>
        <v/>
      </c>
      <c r="X907" s="23" t="str">
        <f>IFERROR(O907*VLOOKUP(F907,STAMPANTI_DB!$A:$I,9,FALSE),"")</f>
        <v/>
      </c>
      <c r="Y907" s="23">
        <f>IFERROR(P907*SETTINGS!$C$7,"")</f>
        <v>0</v>
      </c>
      <c r="Z907" s="23">
        <f>SETTINGS!$C$11</f>
        <v>0.5</v>
      </c>
      <c r="AA907" s="23">
        <f t="shared" si="91"/>
        <v>0.5</v>
      </c>
      <c r="AB907" s="23">
        <f>IFERROR(AA907*SETTINGS!$C$9,"")</f>
        <v>2.5000000000000001E-2</v>
      </c>
      <c r="AC907" s="23">
        <f>IFERROR((AA907+AB907)*SETTINGS!$C$10,"")</f>
        <v>2.6250000000000002E-2</v>
      </c>
    </row>
    <row r="908" spans="1:29" ht="16" x14ac:dyDescent="0.2">
      <c r="A908" s="25"/>
      <c r="H908" t="str">
        <f>IFERROR(VLOOKUP(G908,FILAMENTI_DB!$A:$C,3,FALSE),"")</f>
        <v/>
      </c>
      <c r="I908" t="str">
        <f>IFERROR(VLOOKUP(G908,FILAMENTI_DB!$A:$E,4,FALSE),"")</f>
        <v/>
      </c>
      <c r="J908" s="26"/>
      <c r="K908" s="27"/>
      <c r="L908" s="27"/>
      <c r="M908" s="27">
        <f t="shared" si="86"/>
        <v>0</v>
      </c>
      <c r="N908" s="26">
        <f t="shared" si="87"/>
        <v>0</v>
      </c>
      <c r="O908" s="26"/>
      <c r="P908" s="26"/>
      <c r="Q908" s="23"/>
      <c r="R908" s="23">
        <f t="shared" si="88"/>
        <v>0</v>
      </c>
      <c r="S908" s="23"/>
      <c r="T908" s="23">
        <f t="shared" si="89"/>
        <v>0</v>
      </c>
      <c r="U908" s="28" t="str">
        <f t="shared" si="90"/>
        <v/>
      </c>
      <c r="V908" s="10" t="str">
        <f>IFERROR(N908*VLOOKUP(G908,FILAMENTI_DB!$A:$J,10,FALSE),"")</f>
        <v/>
      </c>
      <c r="W908" s="23" t="str">
        <f>IFERROR((VLOOKUP(F908,STAMPANTI_DB!$A:$C,3,FALSE)/1000)*O908*SETTINGS!$C$6,"")</f>
        <v/>
      </c>
      <c r="X908" s="23" t="str">
        <f>IFERROR(O908*VLOOKUP(F908,STAMPANTI_DB!$A:$I,9,FALSE),"")</f>
        <v/>
      </c>
      <c r="Y908" s="23">
        <f>IFERROR(P908*SETTINGS!$C$7,"")</f>
        <v>0</v>
      </c>
      <c r="Z908" s="23">
        <f>SETTINGS!$C$11</f>
        <v>0.5</v>
      </c>
      <c r="AA908" s="23">
        <f t="shared" si="91"/>
        <v>0.5</v>
      </c>
      <c r="AB908" s="23">
        <f>IFERROR(AA908*SETTINGS!$C$9,"")</f>
        <v>2.5000000000000001E-2</v>
      </c>
      <c r="AC908" s="23">
        <f>IFERROR((AA908+AB908)*SETTINGS!$C$10,"")</f>
        <v>2.6250000000000002E-2</v>
      </c>
    </row>
    <row r="909" spans="1:29" ht="16" x14ac:dyDescent="0.2">
      <c r="A909" s="25"/>
      <c r="H909" t="str">
        <f>IFERROR(VLOOKUP(G909,FILAMENTI_DB!$A:$C,3,FALSE),"")</f>
        <v/>
      </c>
      <c r="I909" t="str">
        <f>IFERROR(VLOOKUP(G909,FILAMENTI_DB!$A:$E,4,FALSE),"")</f>
        <v/>
      </c>
      <c r="J909" s="26"/>
      <c r="K909" s="27"/>
      <c r="L909" s="27"/>
      <c r="M909" s="27">
        <f t="shared" si="86"/>
        <v>0</v>
      </c>
      <c r="N909" s="26">
        <f t="shared" si="87"/>
        <v>0</v>
      </c>
      <c r="O909" s="26"/>
      <c r="P909" s="26"/>
      <c r="Q909" s="23"/>
      <c r="R909" s="23">
        <f t="shared" si="88"/>
        <v>0</v>
      </c>
      <c r="S909" s="23"/>
      <c r="T909" s="23">
        <f t="shared" si="89"/>
        <v>0</v>
      </c>
      <c r="U909" s="28" t="str">
        <f t="shared" si="90"/>
        <v/>
      </c>
      <c r="V909" s="10" t="str">
        <f>IFERROR(N909*VLOOKUP(G909,FILAMENTI_DB!$A:$J,10,FALSE),"")</f>
        <v/>
      </c>
      <c r="W909" s="23" t="str">
        <f>IFERROR((VLOOKUP(F909,STAMPANTI_DB!$A:$C,3,FALSE)/1000)*O909*SETTINGS!$C$6,"")</f>
        <v/>
      </c>
      <c r="X909" s="23" t="str">
        <f>IFERROR(O909*VLOOKUP(F909,STAMPANTI_DB!$A:$I,9,FALSE),"")</f>
        <v/>
      </c>
      <c r="Y909" s="23">
        <f>IFERROR(P909*SETTINGS!$C$7,"")</f>
        <v>0</v>
      </c>
      <c r="Z909" s="23">
        <f>SETTINGS!$C$11</f>
        <v>0.5</v>
      </c>
      <c r="AA909" s="23">
        <f t="shared" si="91"/>
        <v>0.5</v>
      </c>
      <c r="AB909" s="23">
        <f>IFERROR(AA909*SETTINGS!$C$9,"")</f>
        <v>2.5000000000000001E-2</v>
      </c>
      <c r="AC909" s="23">
        <f>IFERROR((AA909+AB909)*SETTINGS!$C$10,"")</f>
        <v>2.6250000000000002E-2</v>
      </c>
    </row>
    <row r="910" spans="1:29" ht="16" x14ac:dyDescent="0.2">
      <c r="A910" s="25"/>
      <c r="H910" t="str">
        <f>IFERROR(VLOOKUP(G910,FILAMENTI_DB!$A:$C,3,FALSE),"")</f>
        <v/>
      </c>
      <c r="I910" t="str">
        <f>IFERROR(VLOOKUP(G910,FILAMENTI_DB!$A:$E,4,FALSE),"")</f>
        <v/>
      </c>
      <c r="J910" s="26"/>
      <c r="K910" s="27"/>
      <c r="L910" s="27"/>
      <c r="M910" s="27">
        <f t="shared" si="86"/>
        <v>0</v>
      </c>
      <c r="N910" s="26">
        <f t="shared" si="87"/>
        <v>0</v>
      </c>
      <c r="O910" s="26"/>
      <c r="P910" s="26"/>
      <c r="Q910" s="23"/>
      <c r="R910" s="23">
        <f t="shared" si="88"/>
        <v>0</v>
      </c>
      <c r="S910" s="23"/>
      <c r="T910" s="23">
        <f t="shared" si="89"/>
        <v>0</v>
      </c>
      <c r="U910" s="28" t="str">
        <f t="shared" si="90"/>
        <v/>
      </c>
      <c r="V910" s="10" t="str">
        <f>IFERROR(N910*VLOOKUP(G910,FILAMENTI_DB!$A:$J,10,FALSE),"")</f>
        <v/>
      </c>
      <c r="W910" s="23" t="str">
        <f>IFERROR((VLOOKUP(F910,STAMPANTI_DB!$A:$C,3,FALSE)/1000)*O910*SETTINGS!$C$6,"")</f>
        <v/>
      </c>
      <c r="X910" s="23" t="str">
        <f>IFERROR(O910*VLOOKUP(F910,STAMPANTI_DB!$A:$I,9,FALSE),"")</f>
        <v/>
      </c>
      <c r="Y910" s="23">
        <f>IFERROR(P910*SETTINGS!$C$7,"")</f>
        <v>0</v>
      </c>
      <c r="Z910" s="23">
        <f>SETTINGS!$C$11</f>
        <v>0.5</v>
      </c>
      <c r="AA910" s="23">
        <f t="shared" si="91"/>
        <v>0.5</v>
      </c>
      <c r="AB910" s="23">
        <f>IFERROR(AA910*SETTINGS!$C$9,"")</f>
        <v>2.5000000000000001E-2</v>
      </c>
      <c r="AC910" s="23">
        <f>IFERROR((AA910+AB910)*SETTINGS!$C$10,"")</f>
        <v>2.6250000000000002E-2</v>
      </c>
    </row>
    <row r="911" spans="1:29" ht="16" x14ac:dyDescent="0.2">
      <c r="A911" s="25"/>
      <c r="H911" t="str">
        <f>IFERROR(VLOOKUP(G911,FILAMENTI_DB!$A:$C,3,FALSE),"")</f>
        <v/>
      </c>
      <c r="I911" t="str">
        <f>IFERROR(VLOOKUP(G911,FILAMENTI_DB!$A:$E,4,FALSE),"")</f>
        <v/>
      </c>
      <c r="J911" s="26"/>
      <c r="K911" s="27"/>
      <c r="L911" s="27"/>
      <c r="M911" s="27">
        <f t="shared" si="86"/>
        <v>0</v>
      </c>
      <c r="N911" s="26">
        <f t="shared" si="87"/>
        <v>0</v>
      </c>
      <c r="O911" s="26"/>
      <c r="P911" s="26"/>
      <c r="Q911" s="23"/>
      <c r="R911" s="23">
        <f t="shared" si="88"/>
        <v>0</v>
      </c>
      <c r="S911" s="23"/>
      <c r="T911" s="23">
        <f t="shared" si="89"/>
        <v>0</v>
      </c>
      <c r="U911" s="28" t="str">
        <f t="shared" si="90"/>
        <v/>
      </c>
      <c r="V911" s="10" t="str">
        <f>IFERROR(N911*VLOOKUP(G911,FILAMENTI_DB!$A:$J,10,FALSE),"")</f>
        <v/>
      </c>
      <c r="W911" s="23" t="str">
        <f>IFERROR((VLOOKUP(F911,STAMPANTI_DB!$A:$C,3,FALSE)/1000)*O911*SETTINGS!$C$6,"")</f>
        <v/>
      </c>
      <c r="X911" s="23" t="str">
        <f>IFERROR(O911*VLOOKUP(F911,STAMPANTI_DB!$A:$I,9,FALSE),"")</f>
        <v/>
      </c>
      <c r="Y911" s="23">
        <f>IFERROR(P911*SETTINGS!$C$7,"")</f>
        <v>0</v>
      </c>
      <c r="Z911" s="23">
        <f>SETTINGS!$C$11</f>
        <v>0.5</v>
      </c>
      <c r="AA911" s="23">
        <f t="shared" si="91"/>
        <v>0.5</v>
      </c>
      <c r="AB911" s="23">
        <f>IFERROR(AA911*SETTINGS!$C$9,"")</f>
        <v>2.5000000000000001E-2</v>
      </c>
      <c r="AC911" s="23">
        <f>IFERROR((AA911+AB911)*SETTINGS!$C$10,"")</f>
        <v>2.6250000000000002E-2</v>
      </c>
    </row>
    <row r="912" spans="1:29" ht="16" x14ac:dyDescent="0.2">
      <c r="A912" s="25"/>
      <c r="H912" t="str">
        <f>IFERROR(VLOOKUP(G912,FILAMENTI_DB!$A:$C,3,FALSE),"")</f>
        <v/>
      </c>
      <c r="I912" t="str">
        <f>IFERROR(VLOOKUP(G912,FILAMENTI_DB!$A:$E,4,FALSE),"")</f>
        <v/>
      </c>
      <c r="J912" s="26"/>
      <c r="K912" s="27"/>
      <c r="L912" s="27"/>
      <c r="M912" s="27">
        <f t="shared" si="86"/>
        <v>0</v>
      </c>
      <c r="N912" s="26">
        <f t="shared" si="87"/>
        <v>0</v>
      </c>
      <c r="O912" s="26"/>
      <c r="P912" s="26"/>
      <c r="Q912" s="23"/>
      <c r="R912" s="23">
        <f t="shared" si="88"/>
        <v>0</v>
      </c>
      <c r="S912" s="23"/>
      <c r="T912" s="23">
        <f t="shared" si="89"/>
        <v>0</v>
      </c>
      <c r="U912" s="28" t="str">
        <f t="shared" si="90"/>
        <v/>
      </c>
      <c r="V912" s="10" t="str">
        <f>IFERROR(N912*VLOOKUP(G912,FILAMENTI_DB!$A:$J,10,FALSE),"")</f>
        <v/>
      </c>
      <c r="W912" s="23" t="str">
        <f>IFERROR((VLOOKUP(F912,STAMPANTI_DB!$A:$C,3,FALSE)/1000)*O912*SETTINGS!$C$6,"")</f>
        <v/>
      </c>
      <c r="X912" s="23" t="str">
        <f>IFERROR(O912*VLOOKUP(F912,STAMPANTI_DB!$A:$I,9,FALSE),"")</f>
        <v/>
      </c>
      <c r="Y912" s="23">
        <f>IFERROR(P912*SETTINGS!$C$7,"")</f>
        <v>0</v>
      </c>
      <c r="Z912" s="23">
        <f>SETTINGS!$C$11</f>
        <v>0.5</v>
      </c>
      <c r="AA912" s="23">
        <f t="shared" si="91"/>
        <v>0.5</v>
      </c>
      <c r="AB912" s="23">
        <f>IFERROR(AA912*SETTINGS!$C$9,"")</f>
        <v>2.5000000000000001E-2</v>
      </c>
      <c r="AC912" s="23">
        <f>IFERROR((AA912+AB912)*SETTINGS!$C$10,"")</f>
        <v>2.6250000000000002E-2</v>
      </c>
    </row>
    <row r="913" spans="1:29" ht="16" x14ac:dyDescent="0.2">
      <c r="A913" s="25"/>
      <c r="H913" t="str">
        <f>IFERROR(VLOOKUP(G913,FILAMENTI_DB!$A:$C,3,FALSE),"")</f>
        <v/>
      </c>
      <c r="I913" t="str">
        <f>IFERROR(VLOOKUP(G913,FILAMENTI_DB!$A:$E,4,FALSE),"")</f>
        <v/>
      </c>
      <c r="J913" s="26"/>
      <c r="K913" s="27"/>
      <c r="L913" s="27"/>
      <c r="M913" s="27">
        <f t="shared" si="86"/>
        <v>0</v>
      </c>
      <c r="N913" s="26">
        <f t="shared" si="87"/>
        <v>0</v>
      </c>
      <c r="O913" s="26"/>
      <c r="P913" s="26"/>
      <c r="Q913" s="23"/>
      <c r="R913" s="23">
        <f t="shared" si="88"/>
        <v>0</v>
      </c>
      <c r="S913" s="23"/>
      <c r="T913" s="23">
        <f t="shared" si="89"/>
        <v>0</v>
      </c>
      <c r="U913" s="28" t="str">
        <f t="shared" si="90"/>
        <v/>
      </c>
      <c r="V913" s="10" t="str">
        <f>IFERROR(N913*VLOOKUP(G913,FILAMENTI_DB!$A:$J,10,FALSE),"")</f>
        <v/>
      </c>
      <c r="W913" s="23" t="str">
        <f>IFERROR((VLOOKUP(F913,STAMPANTI_DB!$A:$C,3,FALSE)/1000)*O913*SETTINGS!$C$6,"")</f>
        <v/>
      </c>
      <c r="X913" s="23" t="str">
        <f>IFERROR(O913*VLOOKUP(F913,STAMPANTI_DB!$A:$I,9,FALSE),"")</f>
        <v/>
      </c>
      <c r="Y913" s="23">
        <f>IFERROR(P913*SETTINGS!$C$7,"")</f>
        <v>0</v>
      </c>
      <c r="Z913" s="23">
        <f>SETTINGS!$C$11</f>
        <v>0.5</v>
      </c>
      <c r="AA913" s="23">
        <f t="shared" si="91"/>
        <v>0.5</v>
      </c>
      <c r="AB913" s="23">
        <f>IFERROR(AA913*SETTINGS!$C$9,"")</f>
        <v>2.5000000000000001E-2</v>
      </c>
      <c r="AC913" s="23">
        <f>IFERROR((AA913+AB913)*SETTINGS!$C$10,"")</f>
        <v>2.6250000000000002E-2</v>
      </c>
    </row>
    <row r="914" spans="1:29" ht="16" x14ac:dyDescent="0.2">
      <c r="A914" s="25"/>
      <c r="H914" t="str">
        <f>IFERROR(VLOOKUP(G914,FILAMENTI_DB!$A:$C,3,FALSE),"")</f>
        <v/>
      </c>
      <c r="I914" t="str">
        <f>IFERROR(VLOOKUP(G914,FILAMENTI_DB!$A:$E,4,FALSE),"")</f>
        <v/>
      </c>
      <c r="J914" s="26"/>
      <c r="K914" s="27"/>
      <c r="L914" s="27"/>
      <c r="M914" s="27">
        <f t="shared" si="86"/>
        <v>0</v>
      </c>
      <c r="N914" s="26">
        <f t="shared" si="87"/>
        <v>0</v>
      </c>
      <c r="O914" s="26"/>
      <c r="P914" s="26"/>
      <c r="Q914" s="23"/>
      <c r="R914" s="23">
        <f t="shared" si="88"/>
        <v>0</v>
      </c>
      <c r="S914" s="23"/>
      <c r="T914" s="23">
        <f t="shared" si="89"/>
        <v>0</v>
      </c>
      <c r="U914" s="28" t="str">
        <f t="shared" si="90"/>
        <v/>
      </c>
      <c r="V914" s="10" t="str">
        <f>IFERROR(N914*VLOOKUP(G914,FILAMENTI_DB!$A:$J,10,FALSE),"")</f>
        <v/>
      </c>
      <c r="W914" s="23" t="str">
        <f>IFERROR((VLOOKUP(F914,STAMPANTI_DB!$A:$C,3,FALSE)/1000)*O914*SETTINGS!$C$6,"")</f>
        <v/>
      </c>
      <c r="X914" s="23" t="str">
        <f>IFERROR(O914*VLOOKUP(F914,STAMPANTI_DB!$A:$I,9,FALSE),"")</f>
        <v/>
      </c>
      <c r="Y914" s="23">
        <f>IFERROR(P914*SETTINGS!$C$7,"")</f>
        <v>0</v>
      </c>
      <c r="Z914" s="23">
        <f>SETTINGS!$C$11</f>
        <v>0.5</v>
      </c>
      <c r="AA914" s="23">
        <f t="shared" si="91"/>
        <v>0.5</v>
      </c>
      <c r="AB914" s="23">
        <f>IFERROR(AA914*SETTINGS!$C$9,"")</f>
        <v>2.5000000000000001E-2</v>
      </c>
      <c r="AC914" s="23">
        <f>IFERROR((AA914+AB914)*SETTINGS!$C$10,"")</f>
        <v>2.6250000000000002E-2</v>
      </c>
    </row>
    <row r="915" spans="1:29" ht="16" x14ac:dyDescent="0.2">
      <c r="A915" s="25"/>
      <c r="H915" t="str">
        <f>IFERROR(VLOOKUP(G915,FILAMENTI_DB!$A:$C,3,FALSE),"")</f>
        <v/>
      </c>
      <c r="I915" t="str">
        <f>IFERROR(VLOOKUP(G915,FILAMENTI_DB!$A:$E,4,FALSE),"")</f>
        <v/>
      </c>
      <c r="J915" s="26"/>
      <c r="K915" s="27"/>
      <c r="L915" s="27"/>
      <c r="M915" s="27">
        <f t="shared" si="86"/>
        <v>0</v>
      </c>
      <c r="N915" s="26">
        <f t="shared" si="87"/>
        <v>0</v>
      </c>
      <c r="O915" s="26"/>
      <c r="P915" s="26"/>
      <c r="Q915" s="23"/>
      <c r="R915" s="23">
        <f t="shared" si="88"/>
        <v>0</v>
      </c>
      <c r="S915" s="23"/>
      <c r="T915" s="23">
        <f t="shared" si="89"/>
        <v>0</v>
      </c>
      <c r="U915" s="28" t="str">
        <f t="shared" si="90"/>
        <v/>
      </c>
      <c r="V915" s="10" t="str">
        <f>IFERROR(N915*VLOOKUP(G915,FILAMENTI_DB!$A:$J,10,FALSE),"")</f>
        <v/>
      </c>
      <c r="W915" s="23" t="str">
        <f>IFERROR((VLOOKUP(F915,STAMPANTI_DB!$A:$C,3,FALSE)/1000)*O915*SETTINGS!$C$6,"")</f>
        <v/>
      </c>
      <c r="X915" s="23" t="str">
        <f>IFERROR(O915*VLOOKUP(F915,STAMPANTI_DB!$A:$I,9,FALSE),"")</f>
        <v/>
      </c>
      <c r="Y915" s="23">
        <f>IFERROR(P915*SETTINGS!$C$7,"")</f>
        <v>0</v>
      </c>
      <c r="Z915" s="23">
        <f>SETTINGS!$C$11</f>
        <v>0.5</v>
      </c>
      <c r="AA915" s="23">
        <f t="shared" si="91"/>
        <v>0.5</v>
      </c>
      <c r="AB915" s="23">
        <f>IFERROR(AA915*SETTINGS!$C$9,"")</f>
        <v>2.5000000000000001E-2</v>
      </c>
      <c r="AC915" s="23">
        <f>IFERROR((AA915+AB915)*SETTINGS!$C$10,"")</f>
        <v>2.6250000000000002E-2</v>
      </c>
    </row>
    <row r="916" spans="1:29" ht="16" x14ac:dyDescent="0.2">
      <c r="A916" s="25"/>
      <c r="H916" t="str">
        <f>IFERROR(VLOOKUP(G916,FILAMENTI_DB!$A:$C,3,FALSE),"")</f>
        <v/>
      </c>
      <c r="I916" t="str">
        <f>IFERROR(VLOOKUP(G916,FILAMENTI_DB!$A:$E,4,FALSE),"")</f>
        <v/>
      </c>
      <c r="J916" s="26"/>
      <c r="K916" s="27"/>
      <c r="L916" s="27"/>
      <c r="M916" s="27">
        <f t="shared" si="86"/>
        <v>0</v>
      </c>
      <c r="N916" s="26">
        <f t="shared" si="87"/>
        <v>0</v>
      </c>
      <c r="O916" s="26"/>
      <c r="P916" s="26"/>
      <c r="Q916" s="23"/>
      <c r="R916" s="23">
        <f t="shared" si="88"/>
        <v>0</v>
      </c>
      <c r="S916" s="23"/>
      <c r="T916" s="23">
        <f t="shared" si="89"/>
        <v>0</v>
      </c>
      <c r="U916" s="28" t="str">
        <f t="shared" si="90"/>
        <v/>
      </c>
      <c r="V916" s="10" t="str">
        <f>IFERROR(N916*VLOOKUP(G916,FILAMENTI_DB!$A:$J,10,FALSE),"")</f>
        <v/>
      </c>
      <c r="W916" s="23" t="str">
        <f>IFERROR((VLOOKUP(F916,STAMPANTI_DB!$A:$C,3,FALSE)/1000)*O916*SETTINGS!$C$6,"")</f>
        <v/>
      </c>
      <c r="X916" s="23" t="str">
        <f>IFERROR(O916*VLOOKUP(F916,STAMPANTI_DB!$A:$I,9,FALSE),"")</f>
        <v/>
      </c>
      <c r="Y916" s="23">
        <f>IFERROR(P916*SETTINGS!$C$7,"")</f>
        <v>0</v>
      </c>
      <c r="Z916" s="23">
        <f>SETTINGS!$C$11</f>
        <v>0.5</v>
      </c>
      <c r="AA916" s="23">
        <f t="shared" si="91"/>
        <v>0.5</v>
      </c>
      <c r="AB916" s="23">
        <f>IFERROR(AA916*SETTINGS!$C$9,"")</f>
        <v>2.5000000000000001E-2</v>
      </c>
      <c r="AC916" s="23">
        <f>IFERROR((AA916+AB916)*SETTINGS!$C$10,"")</f>
        <v>2.6250000000000002E-2</v>
      </c>
    </row>
    <row r="917" spans="1:29" ht="16" x14ac:dyDescent="0.2">
      <c r="A917" s="25"/>
      <c r="H917" t="str">
        <f>IFERROR(VLOOKUP(G917,FILAMENTI_DB!$A:$C,3,FALSE),"")</f>
        <v/>
      </c>
      <c r="I917" t="str">
        <f>IFERROR(VLOOKUP(G917,FILAMENTI_DB!$A:$E,4,FALSE),"")</f>
        <v/>
      </c>
      <c r="J917" s="26"/>
      <c r="K917" s="27"/>
      <c r="L917" s="27"/>
      <c r="M917" s="27">
        <f t="shared" si="86"/>
        <v>0</v>
      </c>
      <c r="N917" s="26">
        <f t="shared" si="87"/>
        <v>0</v>
      </c>
      <c r="O917" s="26"/>
      <c r="P917" s="26"/>
      <c r="Q917" s="23"/>
      <c r="R917" s="23">
        <f t="shared" si="88"/>
        <v>0</v>
      </c>
      <c r="S917" s="23"/>
      <c r="T917" s="23">
        <f t="shared" si="89"/>
        <v>0</v>
      </c>
      <c r="U917" s="28" t="str">
        <f t="shared" si="90"/>
        <v/>
      </c>
      <c r="V917" s="10" t="str">
        <f>IFERROR(N917*VLOOKUP(G917,FILAMENTI_DB!$A:$J,10,FALSE),"")</f>
        <v/>
      </c>
      <c r="W917" s="23" t="str">
        <f>IFERROR((VLOOKUP(F917,STAMPANTI_DB!$A:$C,3,FALSE)/1000)*O917*SETTINGS!$C$6,"")</f>
        <v/>
      </c>
      <c r="X917" s="23" t="str">
        <f>IFERROR(O917*VLOOKUP(F917,STAMPANTI_DB!$A:$I,9,FALSE),"")</f>
        <v/>
      </c>
      <c r="Y917" s="23">
        <f>IFERROR(P917*SETTINGS!$C$7,"")</f>
        <v>0</v>
      </c>
      <c r="Z917" s="23">
        <f>SETTINGS!$C$11</f>
        <v>0.5</v>
      </c>
      <c r="AA917" s="23">
        <f t="shared" si="91"/>
        <v>0.5</v>
      </c>
      <c r="AB917" s="23">
        <f>IFERROR(AA917*SETTINGS!$C$9,"")</f>
        <v>2.5000000000000001E-2</v>
      </c>
      <c r="AC917" s="23">
        <f>IFERROR((AA917+AB917)*SETTINGS!$C$10,"")</f>
        <v>2.6250000000000002E-2</v>
      </c>
    </row>
    <row r="918" spans="1:29" ht="16" x14ac:dyDescent="0.2">
      <c r="A918" s="25"/>
      <c r="H918" t="str">
        <f>IFERROR(VLOOKUP(G918,FILAMENTI_DB!$A:$C,3,FALSE),"")</f>
        <v/>
      </c>
      <c r="I918" t="str">
        <f>IFERROR(VLOOKUP(G918,FILAMENTI_DB!$A:$E,4,FALSE),"")</f>
        <v/>
      </c>
      <c r="J918" s="26"/>
      <c r="K918" s="27"/>
      <c r="L918" s="27"/>
      <c r="M918" s="27">
        <f t="shared" si="86"/>
        <v>0</v>
      </c>
      <c r="N918" s="26">
        <f t="shared" si="87"/>
        <v>0</v>
      </c>
      <c r="O918" s="26"/>
      <c r="P918" s="26"/>
      <c r="Q918" s="23"/>
      <c r="R918" s="23">
        <f t="shared" si="88"/>
        <v>0</v>
      </c>
      <c r="S918" s="23"/>
      <c r="T918" s="23">
        <f t="shared" si="89"/>
        <v>0</v>
      </c>
      <c r="U918" s="28" t="str">
        <f t="shared" si="90"/>
        <v/>
      </c>
      <c r="V918" s="10" t="str">
        <f>IFERROR(N918*VLOOKUP(G918,FILAMENTI_DB!$A:$J,10,FALSE),"")</f>
        <v/>
      </c>
      <c r="W918" s="23" t="str">
        <f>IFERROR((VLOOKUP(F918,STAMPANTI_DB!$A:$C,3,FALSE)/1000)*O918*SETTINGS!$C$6,"")</f>
        <v/>
      </c>
      <c r="X918" s="23" t="str">
        <f>IFERROR(O918*VLOOKUP(F918,STAMPANTI_DB!$A:$I,9,FALSE),"")</f>
        <v/>
      </c>
      <c r="Y918" s="23">
        <f>IFERROR(P918*SETTINGS!$C$7,"")</f>
        <v>0</v>
      </c>
      <c r="Z918" s="23">
        <f>SETTINGS!$C$11</f>
        <v>0.5</v>
      </c>
      <c r="AA918" s="23">
        <f t="shared" si="91"/>
        <v>0.5</v>
      </c>
      <c r="AB918" s="23">
        <f>IFERROR(AA918*SETTINGS!$C$9,"")</f>
        <v>2.5000000000000001E-2</v>
      </c>
      <c r="AC918" s="23">
        <f>IFERROR((AA918+AB918)*SETTINGS!$C$10,"")</f>
        <v>2.6250000000000002E-2</v>
      </c>
    </row>
    <row r="919" spans="1:29" ht="16" x14ac:dyDescent="0.2">
      <c r="A919" s="25"/>
      <c r="H919" t="str">
        <f>IFERROR(VLOOKUP(G919,FILAMENTI_DB!$A:$C,3,FALSE),"")</f>
        <v/>
      </c>
      <c r="I919" t="str">
        <f>IFERROR(VLOOKUP(G919,FILAMENTI_DB!$A:$E,4,FALSE),"")</f>
        <v/>
      </c>
      <c r="J919" s="26"/>
      <c r="K919" s="27"/>
      <c r="L919" s="27"/>
      <c r="M919" s="27">
        <f t="shared" si="86"/>
        <v>0</v>
      </c>
      <c r="N919" s="26">
        <f t="shared" si="87"/>
        <v>0</v>
      </c>
      <c r="O919" s="26"/>
      <c r="P919" s="26"/>
      <c r="Q919" s="23"/>
      <c r="R919" s="23">
        <f t="shared" si="88"/>
        <v>0</v>
      </c>
      <c r="S919" s="23"/>
      <c r="T919" s="23">
        <f t="shared" si="89"/>
        <v>0</v>
      </c>
      <c r="U919" s="28" t="str">
        <f t="shared" si="90"/>
        <v/>
      </c>
      <c r="V919" s="10" t="str">
        <f>IFERROR(N919*VLOOKUP(G919,FILAMENTI_DB!$A:$J,10,FALSE),"")</f>
        <v/>
      </c>
      <c r="W919" s="23" t="str">
        <f>IFERROR((VLOOKUP(F919,STAMPANTI_DB!$A:$C,3,FALSE)/1000)*O919*SETTINGS!$C$6,"")</f>
        <v/>
      </c>
      <c r="X919" s="23" t="str">
        <f>IFERROR(O919*VLOOKUP(F919,STAMPANTI_DB!$A:$I,9,FALSE),"")</f>
        <v/>
      </c>
      <c r="Y919" s="23">
        <f>IFERROR(P919*SETTINGS!$C$7,"")</f>
        <v>0</v>
      </c>
      <c r="Z919" s="23">
        <f>SETTINGS!$C$11</f>
        <v>0.5</v>
      </c>
      <c r="AA919" s="23">
        <f t="shared" si="91"/>
        <v>0.5</v>
      </c>
      <c r="AB919" s="23">
        <f>IFERROR(AA919*SETTINGS!$C$9,"")</f>
        <v>2.5000000000000001E-2</v>
      </c>
      <c r="AC919" s="23">
        <f>IFERROR((AA919+AB919)*SETTINGS!$C$10,"")</f>
        <v>2.6250000000000002E-2</v>
      </c>
    </row>
    <row r="920" spans="1:29" ht="16" x14ac:dyDescent="0.2">
      <c r="A920" s="25"/>
      <c r="H920" t="str">
        <f>IFERROR(VLOOKUP(G920,FILAMENTI_DB!$A:$C,3,FALSE),"")</f>
        <v/>
      </c>
      <c r="I920" t="str">
        <f>IFERROR(VLOOKUP(G920,FILAMENTI_DB!$A:$E,4,FALSE),"")</f>
        <v/>
      </c>
      <c r="J920" s="26"/>
      <c r="K920" s="27"/>
      <c r="L920" s="27"/>
      <c r="M920" s="27">
        <f t="shared" si="86"/>
        <v>0</v>
      </c>
      <c r="N920" s="26">
        <f t="shared" si="87"/>
        <v>0</v>
      </c>
      <c r="O920" s="26"/>
      <c r="P920" s="26"/>
      <c r="Q920" s="23"/>
      <c r="R920" s="23">
        <f t="shared" si="88"/>
        <v>0</v>
      </c>
      <c r="S920" s="23"/>
      <c r="T920" s="23">
        <f t="shared" si="89"/>
        <v>0</v>
      </c>
      <c r="U920" s="28" t="str">
        <f t="shared" si="90"/>
        <v/>
      </c>
      <c r="V920" s="10" t="str">
        <f>IFERROR(N920*VLOOKUP(G920,FILAMENTI_DB!$A:$J,10,FALSE),"")</f>
        <v/>
      </c>
      <c r="W920" s="23" t="str">
        <f>IFERROR((VLOOKUP(F920,STAMPANTI_DB!$A:$C,3,FALSE)/1000)*O920*SETTINGS!$C$6,"")</f>
        <v/>
      </c>
      <c r="X920" s="23" t="str">
        <f>IFERROR(O920*VLOOKUP(F920,STAMPANTI_DB!$A:$I,9,FALSE),"")</f>
        <v/>
      </c>
      <c r="Y920" s="23">
        <f>IFERROR(P920*SETTINGS!$C$7,"")</f>
        <v>0</v>
      </c>
      <c r="Z920" s="23">
        <f>SETTINGS!$C$11</f>
        <v>0.5</v>
      </c>
      <c r="AA920" s="23">
        <f t="shared" si="91"/>
        <v>0.5</v>
      </c>
      <c r="AB920" s="23">
        <f>IFERROR(AA920*SETTINGS!$C$9,"")</f>
        <v>2.5000000000000001E-2</v>
      </c>
      <c r="AC920" s="23">
        <f>IFERROR((AA920+AB920)*SETTINGS!$C$10,"")</f>
        <v>2.6250000000000002E-2</v>
      </c>
    </row>
    <row r="921" spans="1:29" ht="16" x14ac:dyDescent="0.2">
      <c r="A921" s="25"/>
      <c r="H921" t="str">
        <f>IFERROR(VLOOKUP(G921,FILAMENTI_DB!$A:$C,3,FALSE),"")</f>
        <v/>
      </c>
      <c r="I921" t="str">
        <f>IFERROR(VLOOKUP(G921,FILAMENTI_DB!$A:$E,4,FALSE),"")</f>
        <v/>
      </c>
      <c r="J921" s="26"/>
      <c r="K921" s="27"/>
      <c r="L921" s="27"/>
      <c r="M921" s="27">
        <f t="shared" si="86"/>
        <v>0</v>
      </c>
      <c r="N921" s="26">
        <f t="shared" si="87"/>
        <v>0</v>
      </c>
      <c r="O921" s="26"/>
      <c r="P921" s="26"/>
      <c r="Q921" s="23"/>
      <c r="R921" s="23">
        <f t="shared" si="88"/>
        <v>0</v>
      </c>
      <c r="S921" s="23"/>
      <c r="T921" s="23">
        <f t="shared" si="89"/>
        <v>0</v>
      </c>
      <c r="U921" s="28" t="str">
        <f t="shared" si="90"/>
        <v/>
      </c>
      <c r="V921" s="10" t="str">
        <f>IFERROR(N921*VLOOKUP(G921,FILAMENTI_DB!$A:$J,10,FALSE),"")</f>
        <v/>
      </c>
      <c r="W921" s="23" t="str">
        <f>IFERROR((VLOOKUP(F921,STAMPANTI_DB!$A:$C,3,FALSE)/1000)*O921*SETTINGS!$C$6,"")</f>
        <v/>
      </c>
      <c r="X921" s="23" t="str">
        <f>IFERROR(O921*VLOOKUP(F921,STAMPANTI_DB!$A:$I,9,FALSE),"")</f>
        <v/>
      </c>
      <c r="Y921" s="23">
        <f>IFERROR(P921*SETTINGS!$C$7,"")</f>
        <v>0</v>
      </c>
      <c r="Z921" s="23">
        <f>SETTINGS!$C$11</f>
        <v>0.5</v>
      </c>
      <c r="AA921" s="23">
        <f t="shared" si="91"/>
        <v>0.5</v>
      </c>
      <c r="AB921" s="23">
        <f>IFERROR(AA921*SETTINGS!$C$9,"")</f>
        <v>2.5000000000000001E-2</v>
      </c>
      <c r="AC921" s="23">
        <f>IFERROR((AA921+AB921)*SETTINGS!$C$10,"")</f>
        <v>2.6250000000000002E-2</v>
      </c>
    </row>
    <row r="922" spans="1:29" ht="16" x14ac:dyDescent="0.2">
      <c r="A922" s="25"/>
      <c r="H922" t="str">
        <f>IFERROR(VLOOKUP(G922,FILAMENTI_DB!$A:$C,3,FALSE),"")</f>
        <v/>
      </c>
      <c r="I922" t="str">
        <f>IFERROR(VLOOKUP(G922,FILAMENTI_DB!$A:$E,4,FALSE),"")</f>
        <v/>
      </c>
      <c r="J922" s="26"/>
      <c r="K922" s="27"/>
      <c r="L922" s="27"/>
      <c r="M922" s="27">
        <f t="shared" si="86"/>
        <v>0</v>
      </c>
      <c r="N922" s="26">
        <f t="shared" si="87"/>
        <v>0</v>
      </c>
      <c r="O922" s="26"/>
      <c r="P922" s="26"/>
      <c r="Q922" s="23"/>
      <c r="R922" s="23">
        <f t="shared" si="88"/>
        <v>0</v>
      </c>
      <c r="S922" s="23"/>
      <c r="T922" s="23">
        <f t="shared" si="89"/>
        <v>0</v>
      </c>
      <c r="U922" s="28" t="str">
        <f t="shared" si="90"/>
        <v/>
      </c>
      <c r="V922" s="10" t="str">
        <f>IFERROR(N922*VLOOKUP(G922,FILAMENTI_DB!$A:$J,10,FALSE),"")</f>
        <v/>
      </c>
      <c r="W922" s="23" t="str">
        <f>IFERROR((VLOOKUP(F922,STAMPANTI_DB!$A:$C,3,FALSE)/1000)*O922*SETTINGS!$C$6,"")</f>
        <v/>
      </c>
      <c r="X922" s="23" t="str">
        <f>IFERROR(O922*VLOOKUP(F922,STAMPANTI_DB!$A:$I,9,FALSE),"")</f>
        <v/>
      </c>
      <c r="Y922" s="23">
        <f>IFERROR(P922*SETTINGS!$C$7,"")</f>
        <v>0</v>
      </c>
      <c r="Z922" s="23">
        <f>SETTINGS!$C$11</f>
        <v>0.5</v>
      </c>
      <c r="AA922" s="23">
        <f t="shared" si="91"/>
        <v>0.5</v>
      </c>
      <c r="AB922" s="23">
        <f>IFERROR(AA922*SETTINGS!$C$9,"")</f>
        <v>2.5000000000000001E-2</v>
      </c>
      <c r="AC922" s="23">
        <f>IFERROR((AA922+AB922)*SETTINGS!$C$10,"")</f>
        <v>2.6250000000000002E-2</v>
      </c>
    </row>
    <row r="923" spans="1:29" ht="16" x14ac:dyDescent="0.2">
      <c r="A923" s="25"/>
      <c r="H923" t="str">
        <f>IFERROR(VLOOKUP(G923,FILAMENTI_DB!$A:$C,3,FALSE),"")</f>
        <v/>
      </c>
      <c r="I923" t="str">
        <f>IFERROR(VLOOKUP(G923,FILAMENTI_DB!$A:$E,4,FALSE),"")</f>
        <v/>
      </c>
      <c r="J923" s="26"/>
      <c r="K923" s="27"/>
      <c r="L923" s="27"/>
      <c r="M923" s="27">
        <f t="shared" si="86"/>
        <v>0</v>
      </c>
      <c r="N923" s="26">
        <f t="shared" si="87"/>
        <v>0</v>
      </c>
      <c r="O923" s="26"/>
      <c r="P923" s="26"/>
      <c r="Q923" s="23"/>
      <c r="R923" s="23">
        <f t="shared" si="88"/>
        <v>0</v>
      </c>
      <c r="S923" s="23"/>
      <c r="T923" s="23">
        <f t="shared" si="89"/>
        <v>0</v>
      </c>
      <c r="U923" s="28" t="str">
        <f t="shared" si="90"/>
        <v/>
      </c>
      <c r="V923" s="10" t="str">
        <f>IFERROR(N923*VLOOKUP(G923,FILAMENTI_DB!$A:$J,10,FALSE),"")</f>
        <v/>
      </c>
      <c r="W923" s="23" t="str">
        <f>IFERROR((VLOOKUP(F923,STAMPANTI_DB!$A:$C,3,FALSE)/1000)*O923*SETTINGS!$C$6,"")</f>
        <v/>
      </c>
      <c r="X923" s="23" t="str">
        <f>IFERROR(O923*VLOOKUP(F923,STAMPANTI_DB!$A:$I,9,FALSE),"")</f>
        <v/>
      </c>
      <c r="Y923" s="23">
        <f>IFERROR(P923*SETTINGS!$C$7,"")</f>
        <v>0</v>
      </c>
      <c r="Z923" s="23">
        <f>SETTINGS!$C$11</f>
        <v>0.5</v>
      </c>
      <c r="AA923" s="23">
        <f t="shared" si="91"/>
        <v>0.5</v>
      </c>
      <c r="AB923" s="23">
        <f>IFERROR(AA923*SETTINGS!$C$9,"")</f>
        <v>2.5000000000000001E-2</v>
      </c>
      <c r="AC923" s="23">
        <f>IFERROR((AA923+AB923)*SETTINGS!$C$10,"")</f>
        <v>2.6250000000000002E-2</v>
      </c>
    </row>
    <row r="924" spans="1:29" ht="16" x14ac:dyDescent="0.2">
      <c r="A924" s="25"/>
      <c r="H924" t="str">
        <f>IFERROR(VLOOKUP(G924,FILAMENTI_DB!$A:$C,3,FALSE),"")</f>
        <v/>
      </c>
      <c r="I924" t="str">
        <f>IFERROR(VLOOKUP(G924,FILAMENTI_DB!$A:$E,4,FALSE),"")</f>
        <v/>
      </c>
      <c r="J924" s="26"/>
      <c r="K924" s="27"/>
      <c r="L924" s="27"/>
      <c r="M924" s="27">
        <f t="shared" si="86"/>
        <v>0</v>
      </c>
      <c r="N924" s="26">
        <f t="shared" si="87"/>
        <v>0</v>
      </c>
      <c r="O924" s="26"/>
      <c r="P924" s="26"/>
      <c r="Q924" s="23"/>
      <c r="R924" s="23">
        <f t="shared" si="88"/>
        <v>0</v>
      </c>
      <c r="S924" s="23"/>
      <c r="T924" s="23">
        <f t="shared" si="89"/>
        <v>0</v>
      </c>
      <c r="U924" s="28" t="str">
        <f t="shared" si="90"/>
        <v/>
      </c>
      <c r="V924" s="10" t="str">
        <f>IFERROR(N924*VLOOKUP(G924,FILAMENTI_DB!$A:$J,10,FALSE),"")</f>
        <v/>
      </c>
      <c r="W924" s="23" t="str">
        <f>IFERROR((VLOOKUP(F924,STAMPANTI_DB!$A:$C,3,FALSE)/1000)*O924*SETTINGS!$C$6,"")</f>
        <v/>
      </c>
      <c r="X924" s="23" t="str">
        <f>IFERROR(O924*VLOOKUP(F924,STAMPANTI_DB!$A:$I,9,FALSE),"")</f>
        <v/>
      </c>
      <c r="Y924" s="23">
        <f>IFERROR(P924*SETTINGS!$C$7,"")</f>
        <v>0</v>
      </c>
      <c r="Z924" s="23">
        <f>SETTINGS!$C$11</f>
        <v>0.5</v>
      </c>
      <c r="AA924" s="23">
        <f t="shared" si="91"/>
        <v>0.5</v>
      </c>
      <c r="AB924" s="23">
        <f>IFERROR(AA924*SETTINGS!$C$9,"")</f>
        <v>2.5000000000000001E-2</v>
      </c>
      <c r="AC924" s="23">
        <f>IFERROR((AA924+AB924)*SETTINGS!$C$10,"")</f>
        <v>2.6250000000000002E-2</v>
      </c>
    </row>
    <row r="925" spans="1:29" ht="16" x14ac:dyDescent="0.2">
      <c r="A925" s="25"/>
      <c r="H925" t="str">
        <f>IFERROR(VLOOKUP(G925,FILAMENTI_DB!$A:$C,3,FALSE),"")</f>
        <v/>
      </c>
      <c r="I925" t="str">
        <f>IFERROR(VLOOKUP(G925,FILAMENTI_DB!$A:$E,4,FALSE),"")</f>
        <v/>
      </c>
      <c r="J925" s="26"/>
      <c r="K925" s="27"/>
      <c r="L925" s="27"/>
      <c r="M925" s="27">
        <f t="shared" si="86"/>
        <v>0</v>
      </c>
      <c r="N925" s="26">
        <f t="shared" si="87"/>
        <v>0</v>
      </c>
      <c r="O925" s="26"/>
      <c r="P925" s="26"/>
      <c r="Q925" s="23"/>
      <c r="R925" s="23">
        <f t="shared" si="88"/>
        <v>0</v>
      </c>
      <c r="S925" s="23"/>
      <c r="T925" s="23">
        <f t="shared" si="89"/>
        <v>0</v>
      </c>
      <c r="U925" s="28" t="str">
        <f t="shared" si="90"/>
        <v/>
      </c>
      <c r="V925" s="10" t="str">
        <f>IFERROR(N925*VLOOKUP(G925,FILAMENTI_DB!$A:$J,10,FALSE),"")</f>
        <v/>
      </c>
      <c r="W925" s="23" t="str">
        <f>IFERROR((VLOOKUP(F925,STAMPANTI_DB!$A:$C,3,FALSE)/1000)*O925*SETTINGS!$C$6,"")</f>
        <v/>
      </c>
      <c r="X925" s="23" t="str">
        <f>IFERROR(O925*VLOOKUP(F925,STAMPANTI_DB!$A:$I,9,FALSE),"")</f>
        <v/>
      </c>
      <c r="Y925" s="23">
        <f>IFERROR(P925*SETTINGS!$C$7,"")</f>
        <v>0</v>
      </c>
      <c r="Z925" s="23">
        <f>SETTINGS!$C$11</f>
        <v>0.5</v>
      </c>
      <c r="AA925" s="23">
        <f t="shared" si="91"/>
        <v>0.5</v>
      </c>
      <c r="AB925" s="23">
        <f>IFERROR(AA925*SETTINGS!$C$9,"")</f>
        <v>2.5000000000000001E-2</v>
      </c>
      <c r="AC925" s="23">
        <f>IFERROR((AA925+AB925)*SETTINGS!$C$10,"")</f>
        <v>2.6250000000000002E-2</v>
      </c>
    </row>
    <row r="926" spans="1:29" ht="16" x14ac:dyDescent="0.2">
      <c r="A926" s="25"/>
      <c r="H926" t="str">
        <f>IFERROR(VLOOKUP(G926,FILAMENTI_DB!$A:$C,3,FALSE),"")</f>
        <v/>
      </c>
      <c r="I926" t="str">
        <f>IFERROR(VLOOKUP(G926,FILAMENTI_DB!$A:$E,4,FALSE),"")</f>
        <v/>
      </c>
      <c r="J926" s="26"/>
      <c r="K926" s="27"/>
      <c r="L926" s="27"/>
      <c r="M926" s="27">
        <f t="shared" si="86"/>
        <v>0</v>
      </c>
      <c r="N926" s="26">
        <f t="shared" si="87"/>
        <v>0</v>
      </c>
      <c r="O926" s="26"/>
      <c r="P926" s="26"/>
      <c r="Q926" s="23"/>
      <c r="R926" s="23">
        <f t="shared" si="88"/>
        <v>0</v>
      </c>
      <c r="S926" s="23"/>
      <c r="T926" s="23">
        <f t="shared" si="89"/>
        <v>0</v>
      </c>
      <c r="U926" s="28" t="str">
        <f t="shared" si="90"/>
        <v/>
      </c>
      <c r="V926" s="10" t="str">
        <f>IFERROR(N926*VLOOKUP(G926,FILAMENTI_DB!$A:$J,10,FALSE),"")</f>
        <v/>
      </c>
      <c r="W926" s="23" t="str">
        <f>IFERROR((VLOOKUP(F926,STAMPANTI_DB!$A:$C,3,FALSE)/1000)*O926*SETTINGS!$C$6,"")</f>
        <v/>
      </c>
      <c r="X926" s="23" t="str">
        <f>IFERROR(O926*VLOOKUP(F926,STAMPANTI_DB!$A:$I,9,FALSE),"")</f>
        <v/>
      </c>
      <c r="Y926" s="23">
        <f>IFERROR(P926*SETTINGS!$C$7,"")</f>
        <v>0</v>
      </c>
      <c r="Z926" s="23">
        <f>SETTINGS!$C$11</f>
        <v>0.5</v>
      </c>
      <c r="AA926" s="23">
        <f t="shared" si="91"/>
        <v>0.5</v>
      </c>
      <c r="AB926" s="23">
        <f>IFERROR(AA926*SETTINGS!$C$9,"")</f>
        <v>2.5000000000000001E-2</v>
      </c>
      <c r="AC926" s="23">
        <f>IFERROR((AA926+AB926)*SETTINGS!$C$10,"")</f>
        <v>2.6250000000000002E-2</v>
      </c>
    </row>
    <row r="927" spans="1:29" ht="16" x14ac:dyDescent="0.2">
      <c r="A927" s="25"/>
      <c r="H927" t="str">
        <f>IFERROR(VLOOKUP(G927,FILAMENTI_DB!$A:$C,3,FALSE),"")</f>
        <v/>
      </c>
      <c r="I927" t="str">
        <f>IFERROR(VLOOKUP(G927,FILAMENTI_DB!$A:$E,4,FALSE),"")</f>
        <v/>
      </c>
      <c r="J927" s="26"/>
      <c r="K927" s="27"/>
      <c r="L927" s="27"/>
      <c r="M927" s="27">
        <f t="shared" si="86"/>
        <v>0</v>
      </c>
      <c r="N927" s="26">
        <f t="shared" si="87"/>
        <v>0</v>
      </c>
      <c r="O927" s="26"/>
      <c r="P927" s="26"/>
      <c r="Q927" s="23"/>
      <c r="R927" s="23">
        <f t="shared" si="88"/>
        <v>0</v>
      </c>
      <c r="S927" s="23"/>
      <c r="T927" s="23">
        <f t="shared" si="89"/>
        <v>0</v>
      </c>
      <c r="U927" s="28" t="str">
        <f t="shared" si="90"/>
        <v/>
      </c>
      <c r="V927" s="10" t="str">
        <f>IFERROR(N927*VLOOKUP(G927,FILAMENTI_DB!$A:$J,10,FALSE),"")</f>
        <v/>
      </c>
      <c r="W927" s="23" t="str">
        <f>IFERROR((VLOOKUP(F927,STAMPANTI_DB!$A:$C,3,FALSE)/1000)*O927*SETTINGS!$C$6,"")</f>
        <v/>
      </c>
      <c r="X927" s="23" t="str">
        <f>IFERROR(O927*VLOOKUP(F927,STAMPANTI_DB!$A:$I,9,FALSE),"")</f>
        <v/>
      </c>
      <c r="Y927" s="23">
        <f>IFERROR(P927*SETTINGS!$C$7,"")</f>
        <v>0</v>
      </c>
      <c r="Z927" s="23">
        <f>SETTINGS!$C$11</f>
        <v>0.5</v>
      </c>
      <c r="AA927" s="23">
        <f t="shared" si="91"/>
        <v>0.5</v>
      </c>
      <c r="AB927" s="23">
        <f>IFERROR(AA927*SETTINGS!$C$9,"")</f>
        <v>2.5000000000000001E-2</v>
      </c>
      <c r="AC927" s="23">
        <f>IFERROR((AA927+AB927)*SETTINGS!$C$10,"")</f>
        <v>2.6250000000000002E-2</v>
      </c>
    </row>
    <row r="928" spans="1:29" ht="16" x14ac:dyDescent="0.2">
      <c r="A928" s="25"/>
      <c r="H928" t="str">
        <f>IFERROR(VLOOKUP(G928,FILAMENTI_DB!$A:$C,3,FALSE),"")</f>
        <v/>
      </c>
      <c r="I928" t="str">
        <f>IFERROR(VLOOKUP(G928,FILAMENTI_DB!$A:$E,4,FALSE),"")</f>
        <v/>
      </c>
      <c r="J928" s="26"/>
      <c r="K928" s="27"/>
      <c r="L928" s="27"/>
      <c r="M928" s="27">
        <f t="shared" si="86"/>
        <v>0</v>
      </c>
      <c r="N928" s="26">
        <f t="shared" si="87"/>
        <v>0</v>
      </c>
      <c r="O928" s="26"/>
      <c r="P928" s="26"/>
      <c r="Q928" s="23"/>
      <c r="R928" s="23">
        <f t="shared" si="88"/>
        <v>0</v>
      </c>
      <c r="S928" s="23"/>
      <c r="T928" s="23">
        <f t="shared" si="89"/>
        <v>0</v>
      </c>
      <c r="U928" s="28" t="str">
        <f t="shared" si="90"/>
        <v/>
      </c>
      <c r="V928" s="10" t="str">
        <f>IFERROR(N928*VLOOKUP(G928,FILAMENTI_DB!$A:$J,10,FALSE),"")</f>
        <v/>
      </c>
      <c r="W928" s="23" t="str">
        <f>IFERROR((VLOOKUP(F928,STAMPANTI_DB!$A:$C,3,FALSE)/1000)*O928*SETTINGS!$C$6,"")</f>
        <v/>
      </c>
      <c r="X928" s="23" t="str">
        <f>IFERROR(O928*VLOOKUP(F928,STAMPANTI_DB!$A:$I,9,FALSE),"")</f>
        <v/>
      </c>
      <c r="Y928" s="23">
        <f>IFERROR(P928*SETTINGS!$C$7,"")</f>
        <v>0</v>
      </c>
      <c r="Z928" s="23">
        <f>SETTINGS!$C$11</f>
        <v>0.5</v>
      </c>
      <c r="AA928" s="23">
        <f t="shared" si="91"/>
        <v>0.5</v>
      </c>
      <c r="AB928" s="23">
        <f>IFERROR(AA928*SETTINGS!$C$9,"")</f>
        <v>2.5000000000000001E-2</v>
      </c>
      <c r="AC928" s="23">
        <f>IFERROR((AA928+AB928)*SETTINGS!$C$10,"")</f>
        <v>2.6250000000000002E-2</v>
      </c>
    </row>
    <row r="929" spans="1:29" ht="16" x14ac:dyDescent="0.2">
      <c r="A929" s="25"/>
      <c r="H929" t="str">
        <f>IFERROR(VLOOKUP(G929,FILAMENTI_DB!$A:$C,3,FALSE),"")</f>
        <v/>
      </c>
      <c r="I929" t="str">
        <f>IFERROR(VLOOKUP(G929,FILAMENTI_DB!$A:$E,4,FALSE),"")</f>
        <v/>
      </c>
      <c r="J929" s="26"/>
      <c r="K929" s="27"/>
      <c r="L929" s="27"/>
      <c r="M929" s="27">
        <f t="shared" si="86"/>
        <v>0</v>
      </c>
      <c r="N929" s="26">
        <f t="shared" si="87"/>
        <v>0</v>
      </c>
      <c r="O929" s="26"/>
      <c r="P929" s="26"/>
      <c r="Q929" s="23"/>
      <c r="R929" s="23">
        <f t="shared" si="88"/>
        <v>0</v>
      </c>
      <c r="S929" s="23"/>
      <c r="T929" s="23">
        <f t="shared" si="89"/>
        <v>0</v>
      </c>
      <c r="U929" s="28" t="str">
        <f t="shared" si="90"/>
        <v/>
      </c>
      <c r="V929" s="10" t="str">
        <f>IFERROR(N929*VLOOKUP(G929,FILAMENTI_DB!$A:$J,10,FALSE),"")</f>
        <v/>
      </c>
      <c r="W929" s="23" t="str">
        <f>IFERROR((VLOOKUP(F929,STAMPANTI_DB!$A:$C,3,FALSE)/1000)*O929*SETTINGS!$C$6,"")</f>
        <v/>
      </c>
      <c r="X929" s="23" t="str">
        <f>IFERROR(O929*VLOOKUP(F929,STAMPANTI_DB!$A:$I,9,FALSE),"")</f>
        <v/>
      </c>
      <c r="Y929" s="23">
        <f>IFERROR(P929*SETTINGS!$C$7,"")</f>
        <v>0</v>
      </c>
      <c r="Z929" s="23">
        <f>SETTINGS!$C$11</f>
        <v>0.5</v>
      </c>
      <c r="AA929" s="23">
        <f t="shared" si="91"/>
        <v>0.5</v>
      </c>
      <c r="AB929" s="23">
        <f>IFERROR(AA929*SETTINGS!$C$9,"")</f>
        <v>2.5000000000000001E-2</v>
      </c>
      <c r="AC929" s="23">
        <f>IFERROR((AA929+AB929)*SETTINGS!$C$10,"")</f>
        <v>2.6250000000000002E-2</v>
      </c>
    </row>
    <row r="930" spans="1:29" ht="16" x14ac:dyDescent="0.2">
      <c r="A930" s="25"/>
      <c r="H930" t="str">
        <f>IFERROR(VLOOKUP(G930,FILAMENTI_DB!$A:$C,3,FALSE),"")</f>
        <v/>
      </c>
      <c r="I930" t="str">
        <f>IFERROR(VLOOKUP(G930,FILAMENTI_DB!$A:$E,4,FALSE),"")</f>
        <v/>
      </c>
      <c r="J930" s="26"/>
      <c r="K930" s="27"/>
      <c r="L930" s="27"/>
      <c r="M930" s="27">
        <f t="shared" si="86"/>
        <v>0</v>
      </c>
      <c r="N930" s="26">
        <f t="shared" si="87"/>
        <v>0</v>
      </c>
      <c r="O930" s="26"/>
      <c r="P930" s="26"/>
      <c r="Q930" s="23"/>
      <c r="R930" s="23">
        <f t="shared" si="88"/>
        <v>0</v>
      </c>
      <c r="S930" s="23"/>
      <c r="T930" s="23">
        <f t="shared" si="89"/>
        <v>0</v>
      </c>
      <c r="U930" s="28" t="str">
        <f t="shared" si="90"/>
        <v/>
      </c>
      <c r="V930" s="10" t="str">
        <f>IFERROR(N930*VLOOKUP(G930,FILAMENTI_DB!$A:$J,10,FALSE),"")</f>
        <v/>
      </c>
      <c r="W930" s="23" t="str">
        <f>IFERROR((VLOOKUP(F930,STAMPANTI_DB!$A:$C,3,FALSE)/1000)*O930*SETTINGS!$C$6,"")</f>
        <v/>
      </c>
      <c r="X930" s="23" t="str">
        <f>IFERROR(O930*VLOOKUP(F930,STAMPANTI_DB!$A:$I,9,FALSE),"")</f>
        <v/>
      </c>
      <c r="Y930" s="23">
        <f>IFERROR(P930*SETTINGS!$C$7,"")</f>
        <v>0</v>
      </c>
      <c r="Z930" s="23">
        <f>SETTINGS!$C$11</f>
        <v>0.5</v>
      </c>
      <c r="AA930" s="23">
        <f t="shared" si="91"/>
        <v>0.5</v>
      </c>
      <c r="AB930" s="23">
        <f>IFERROR(AA930*SETTINGS!$C$9,"")</f>
        <v>2.5000000000000001E-2</v>
      </c>
      <c r="AC930" s="23">
        <f>IFERROR((AA930+AB930)*SETTINGS!$C$10,"")</f>
        <v>2.6250000000000002E-2</v>
      </c>
    </row>
    <row r="931" spans="1:29" ht="16" x14ac:dyDescent="0.2">
      <c r="A931" s="25"/>
      <c r="H931" t="str">
        <f>IFERROR(VLOOKUP(G931,FILAMENTI_DB!$A:$C,3,FALSE),"")</f>
        <v/>
      </c>
      <c r="I931" t="str">
        <f>IFERROR(VLOOKUP(G931,FILAMENTI_DB!$A:$E,4,FALSE),"")</f>
        <v/>
      </c>
      <c r="J931" s="26"/>
      <c r="K931" s="27"/>
      <c r="L931" s="27"/>
      <c r="M931" s="27">
        <f t="shared" si="86"/>
        <v>0</v>
      </c>
      <c r="N931" s="26">
        <f t="shared" si="87"/>
        <v>0</v>
      </c>
      <c r="O931" s="26"/>
      <c r="P931" s="26"/>
      <c r="Q931" s="23"/>
      <c r="R931" s="23">
        <f t="shared" si="88"/>
        <v>0</v>
      </c>
      <c r="S931" s="23"/>
      <c r="T931" s="23">
        <f t="shared" si="89"/>
        <v>0</v>
      </c>
      <c r="U931" s="28" t="str">
        <f t="shared" si="90"/>
        <v/>
      </c>
      <c r="V931" s="10" t="str">
        <f>IFERROR(N931*VLOOKUP(G931,FILAMENTI_DB!$A:$J,10,FALSE),"")</f>
        <v/>
      </c>
      <c r="W931" s="23" t="str">
        <f>IFERROR((VLOOKUP(F931,STAMPANTI_DB!$A:$C,3,FALSE)/1000)*O931*SETTINGS!$C$6,"")</f>
        <v/>
      </c>
      <c r="X931" s="23" t="str">
        <f>IFERROR(O931*VLOOKUP(F931,STAMPANTI_DB!$A:$I,9,FALSE),"")</f>
        <v/>
      </c>
      <c r="Y931" s="23">
        <f>IFERROR(P931*SETTINGS!$C$7,"")</f>
        <v>0</v>
      </c>
      <c r="Z931" s="23">
        <f>SETTINGS!$C$11</f>
        <v>0.5</v>
      </c>
      <c r="AA931" s="23">
        <f t="shared" si="91"/>
        <v>0.5</v>
      </c>
      <c r="AB931" s="23">
        <f>IFERROR(AA931*SETTINGS!$C$9,"")</f>
        <v>2.5000000000000001E-2</v>
      </c>
      <c r="AC931" s="23">
        <f>IFERROR((AA931+AB931)*SETTINGS!$C$10,"")</f>
        <v>2.6250000000000002E-2</v>
      </c>
    </row>
    <row r="932" spans="1:29" ht="16" x14ac:dyDescent="0.2">
      <c r="A932" s="25"/>
      <c r="H932" t="str">
        <f>IFERROR(VLOOKUP(G932,FILAMENTI_DB!$A:$C,3,FALSE),"")</f>
        <v/>
      </c>
      <c r="I932" t="str">
        <f>IFERROR(VLOOKUP(G932,FILAMENTI_DB!$A:$E,4,FALSE),"")</f>
        <v/>
      </c>
      <c r="J932" s="26"/>
      <c r="K932" s="27"/>
      <c r="L932" s="27"/>
      <c r="M932" s="27">
        <f t="shared" si="86"/>
        <v>0</v>
      </c>
      <c r="N932" s="26">
        <f t="shared" si="87"/>
        <v>0</v>
      </c>
      <c r="O932" s="26"/>
      <c r="P932" s="26"/>
      <c r="Q932" s="23"/>
      <c r="R932" s="23">
        <f t="shared" si="88"/>
        <v>0</v>
      </c>
      <c r="S932" s="23"/>
      <c r="T932" s="23">
        <f t="shared" si="89"/>
        <v>0</v>
      </c>
      <c r="U932" s="28" t="str">
        <f t="shared" si="90"/>
        <v/>
      </c>
      <c r="V932" s="10" t="str">
        <f>IFERROR(N932*VLOOKUP(G932,FILAMENTI_DB!$A:$J,10,FALSE),"")</f>
        <v/>
      </c>
      <c r="W932" s="23" t="str">
        <f>IFERROR((VLOOKUP(F932,STAMPANTI_DB!$A:$C,3,FALSE)/1000)*O932*SETTINGS!$C$6,"")</f>
        <v/>
      </c>
      <c r="X932" s="23" t="str">
        <f>IFERROR(O932*VLOOKUP(F932,STAMPANTI_DB!$A:$I,9,FALSE),"")</f>
        <v/>
      </c>
      <c r="Y932" s="23">
        <f>IFERROR(P932*SETTINGS!$C$7,"")</f>
        <v>0</v>
      </c>
      <c r="Z932" s="23">
        <f>SETTINGS!$C$11</f>
        <v>0.5</v>
      </c>
      <c r="AA932" s="23">
        <f t="shared" si="91"/>
        <v>0.5</v>
      </c>
      <c r="AB932" s="23">
        <f>IFERROR(AA932*SETTINGS!$C$9,"")</f>
        <v>2.5000000000000001E-2</v>
      </c>
      <c r="AC932" s="23">
        <f>IFERROR((AA932+AB932)*SETTINGS!$C$10,"")</f>
        <v>2.6250000000000002E-2</v>
      </c>
    </row>
    <row r="933" spans="1:29" ht="16" x14ac:dyDescent="0.2">
      <c r="A933" s="25"/>
      <c r="H933" t="str">
        <f>IFERROR(VLOOKUP(G933,FILAMENTI_DB!$A:$C,3,FALSE),"")</f>
        <v/>
      </c>
      <c r="I933" t="str">
        <f>IFERROR(VLOOKUP(G933,FILAMENTI_DB!$A:$E,4,FALSE),"")</f>
        <v/>
      </c>
      <c r="J933" s="26"/>
      <c r="K933" s="27"/>
      <c r="L933" s="27"/>
      <c r="M933" s="27">
        <f t="shared" si="86"/>
        <v>0</v>
      </c>
      <c r="N933" s="26">
        <f t="shared" si="87"/>
        <v>0</v>
      </c>
      <c r="O933" s="26"/>
      <c r="P933" s="26"/>
      <c r="Q933" s="23"/>
      <c r="R933" s="23">
        <f t="shared" si="88"/>
        <v>0</v>
      </c>
      <c r="S933" s="23"/>
      <c r="T933" s="23">
        <f t="shared" si="89"/>
        <v>0</v>
      </c>
      <c r="U933" s="28" t="str">
        <f t="shared" si="90"/>
        <v/>
      </c>
      <c r="V933" s="10" t="str">
        <f>IFERROR(N933*VLOOKUP(G933,FILAMENTI_DB!$A:$J,10,FALSE),"")</f>
        <v/>
      </c>
      <c r="W933" s="23" t="str">
        <f>IFERROR((VLOOKUP(F933,STAMPANTI_DB!$A:$C,3,FALSE)/1000)*O933*SETTINGS!$C$6,"")</f>
        <v/>
      </c>
      <c r="X933" s="23" t="str">
        <f>IFERROR(O933*VLOOKUP(F933,STAMPANTI_DB!$A:$I,9,FALSE),"")</f>
        <v/>
      </c>
      <c r="Y933" s="23">
        <f>IFERROR(P933*SETTINGS!$C$7,"")</f>
        <v>0</v>
      </c>
      <c r="Z933" s="23">
        <f>SETTINGS!$C$11</f>
        <v>0.5</v>
      </c>
      <c r="AA933" s="23">
        <f t="shared" si="91"/>
        <v>0.5</v>
      </c>
      <c r="AB933" s="23">
        <f>IFERROR(AA933*SETTINGS!$C$9,"")</f>
        <v>2.5000000000000001E-2</v>
      </c>
      <c r="AC933" s="23">
        <f>IFERROR((AA933+AB933)*SETTINGS!$C$10,"")</f>
        <v>2.6250000000000002E-2</v>
      </c>
    </row>
    <row r="934" spans="1:29" ht="16" x14ac:dyDescent="0.2">
      <c r="A934" s="25"/>
      <c r="H934" t="str">
        <f>IFERROR(VLOOKUP(G934,FILAMENTI_DB!$A:$C,3,FALSE),"")</f>
        <v/>
      </c>
      <c r="I934" t="str">
        <f>IFERROR(VLOOKUP(G934,FILAMENTI_DB!$A:$E,4,FALSE),"")</f>
        <v/>
      </c>
      <c r="J934" s="26"/>
      <c r="K934" s="27"/>
      <c r="L934" s="27"/>
      <c r="M934" s="27">
        <f t="shared" si="86"/>
        <v>0</v>
      </c>
      <c r="N934" s="26">
        <f t="shared" si="87"/>
        <v>0</v>
      </c>
      <c r="O934" s="26"/>
      <c r="P934" s="26"/>
      <c r="Q934" s="23"/>
      <c r="R934" s="23">
        <f t="shared" si="88"/>
        <v>0</v>
      </c>
      <c r="S934" s="23"/>
      <c r="T934" s="23">
        <f t="shared" si="89"/>
        <v>0</v>
      </c>
      <c r="U934" s="28" t="str">
        <f t="shared" si="90"/>
        <v/>
      </c>
      <c r="V934" s="10" t="str">
        <f>IFERROR(N934*VLOOKUP(G934,FILAMENTI_DB!$A:$J,10,FALSE),"")</f>
        <v/>
      </c>
      <c r="W934" s="23" t="str">
        <f>IFERROR((VLOOKUP(F934,STAMPANTI_DB!$A:$C,3,FALSE)/1000)*O934*SETTINGS!$C$6,"")</f>
        <v/>
      </c>
      <c r="X934" s="23" t="str">
        <f>IFERROR(O934*VLOOKUP(F934,STAMPANTI_DB!$A:$I,9,FALSE),"")</f>
        <v/>
      </c>
      <c r="Y934" s="23">
        <f>IFERROR(P934*SETTINGS!$C$7,"")</f>
        <v>0</v>
      </c>
      <c r="Z934" s="23">
        <f>SETTINGS!$C$11</f>
        <v>0.5</v>
      </c>
      <c r="AA934" s="23">
        <f t="shared" si="91"/>
        <v>0.5</v>
      </c>
      <c r="AB934" s="23">
        <f>IFERROR(AA934*SETTINGS!$C$9,"")</f>
        <v>2.5000000000000001E-2</v>
      </c>
      <c r="AC934" s="23">
        <f>IFERROR((AA934+AB934)*SETTINGS!$C$10,"")</f>
        <v>2.6250000000000002E-2</v>
      </c>
    </row>
    <row r="935" spans="1:29" ht="16" x14ac:dyDescent="0.2">
      <c r="A935" s="25"/>
      <c r="H935" t="str">
        <f>IFERROR(VLOOKUP(G935,FILAMENTI_DB!$A:$C,3,FALSE),"")</f>
        <v/>
      </c>
      <c r="I935" t="str">
        <f>IFERROR(VLOOKUP(G935,FILAMENTI_DB!$A:$E,4,FALSE),"")</f>
        <v/>
      </c>
      <c r="J935" s="26"/>
      <c r="K935" s="27"/>
      <c r="L935" s="27"/>
      <c r="M935" s="27">
        <f t="shared" si="86"/>
        <v>0</v>
      </c>
      <c r="N935" s="26">
        <f t="shared" si="87"/>
        <v>0</v>
      </c>
      <c r="O935" s="26"/>
      <c r="P935" s="26"/>
      <c r="Q935" s="23"/>
      <c r="R935" s="23">
        <f t="shared" si="88"/>
        <v>0</v>
      </c>
      <c r="S935" s="23"/>
      <c r="T935" s="23">
        <f t="shared" si="89"/>
        <v>0</v>
      </c>
      <c r="U935" s="28" t="str">
        <f t="shared" si="90"/>
        <v/>
      </c>
      <c r="V935" s="10" t="str">
        <f>IFERROR(N935*VLOOKUP(G935,FILAMENTI_DB!$A:$J,10,FALSE),"")</f>
        <v/>
      </c>
      <c r="W935" s="23" t="str">
        <f>IFERROR((VLOOKUP(F935,STAMPANTI_DB!$A:$C,3,FALSE)/1000)*O935*SETTINGS!$C$6,"")</f>
        <v/>
      </c>
      <c r="X935" s="23" t="str">
        <f>IFERROR(O935*VLOOKUP(F935,STAMPANTI_DB!$A:$I,9,FALSE),"")</f>
        <v/>
      </c>
      <c r="Y935" s="23">
        <f>IFERROR(P935*SETTINGS!$C$7,"")</f>
        <v>0</v>
      </c>
      <c r="Z935" s="23">
        <f>SETTINGS!$C$11</f>
        <v>0.5</v>
      </c>
      <c r="AA935" s="23">
        <f t="shared" si="91"/>
        <v>0.5</v>
      </c>
      <c r="AB935" s="23">
        <f>IFERROR(AA935*SETTINGS!$C$9,"")</f>
        <v>2.5000000000000001E-2</v>
      </c>
      <c r="AC935" s="23">
        <f>IFERROR((AA935+AB935)*SETTINGS!$C$10,"")</f>
        <v>2.6250000000000002E-2</v>
      </c>
    </row>
    <row r="936" spans="1:29" ht="16" x14ac:dyDescent="0.2">
      <c r="A936" s="25"/>
      <c r="H936" t="str">
        <f>IFERROR(VLOOKUP(G936,FILAMENTI_DB!$A:$C,3,FALSE),"")</f>
        <v/>
      </c>
      <c r="I936" t="str">
        <f>IFERROR(VLOOKUP(G936,FILAMENTI_DB!$A:$E,4,FALSE),"")</f>
        <v/>
      </c>
      <c r="J936" s="26"/>
      <c r="K936" s="27"/>
      <c r="L936" s="27"/>
      <c r="M936" s="27">
        <f t="shared" si="86"/>
        <v>0</v>
      </c>
      <c r="N936" s="26">
        <f t="shared" si="87"/>
        <v>0</v>
      </c>
      <c r="O936" s="26"/>
      <c r="P936" s="26"/>
      <c r="Q936" s="23"/>
      <c r="R936" s="23">
        <f t="shared" si="88"/>
        <v>0</v>
      </c>
      <c r="S936" s="23"/>
      <c r="T936" s="23">
        <f t="shared" si="89"/>
        <v>0</v>
      </c>
      <c r="U936" s="28" t="str">
        <f t="shared" si="90"/>
        <v/>
      </c>
      <c r="V936" s="10" t="str">
        <f>IFERROR(N936*VLOOKUP(G936,FILAMENTI_DB!$A:$J,10,FALSE),"")</f>
        <v/>
      </c>
      <c r="W936" s="23" t="str">
        <f>IFERROR((VLOOKUP(F936,STAMPANTI_DB!$A:$C,3,FALSE)/1000)*O936*SETTINGS!$C$6,"")</f>
        <v/>
      </c>
      <c r="X936" s="23" t="str">
        <f>IFERROR(O936*VLOOKUP(F936,STAMPANTI_DB!$A:$I,9,FALSE),"")</f>
        <v/>
      </c>
      <c r="Y936" s="23">
        <f>IFERROR(P936*SETTINGS!$C$7,"")</f>
        <v>0</v>
      </c>
      <c r="Z936" s="23">
        <f>SETTINGS!$C$11</f>
        <v>0.5</v>
      </c>
      <c r="AA936" s="23">
        <f t="shared" si="91"/>
        <v>0.5</v>
      </c>
      <c r="AB936" s="23">
        <f>IFERROR(AA936*SETTINGS!$C$9,"")</f>
        <v>2.5000000000000001E-2</v>
      </c>
      <c r="AC936" s="23">
        <f>IFERROR((AA936+AB936)*SETTINGS!$C$10,"")</f>
        <v>2.6250000000000002E-2</v>
      </c>
    </row>
    <row r="937" spans="1:29" ht="16" x14ac:dyDescent="0.2">
      <c r="A937" s="25"/>
      <c r="H937" t="str">
        <f>IFERROR(VLOOKUP(G937,FILAMENTI_DB!$A:$C,3,FALSE),"")</f>
        <v/>
      </c>
      <c r="I937" t="str">
        <f>IFERROR(VLOOKUP(G937,FILAMENTI_DB!$A:$E,4,FALSE),"")</f>
        <v/>
      </c>
      <c r="J937" s="26"/>
      <c r="K937" s="27"/>
      <c r="L937" s="27"/>
      <c r="M937" s="27">
        <f t="shared" si="86"/>
        <v>0</v>
      </c>
      <c r="N937" s="26">
        <f t="shared" si="87"/>
        <v>0</v>
      </c>
      <c r="O937" s="26"/>
      <c r="P937" s="26"/>
      <c r="Q937" s="23"/>
      <c r="R937" s="23">
        <f t="shared" si="88"/>
        <v>0</v>
      </c>
      <c r="S937" s="23"/>
      <c r="T937" s="23">
        <f t="shared" si="89"/>
        <v>0</v>
      </c>
      <c r="U937" s="28" t="str">
        <f t="shared" si="90"/>
        <v/>
      </c>
      <c r="V937" s="10" t="str">
        <f>IFERROR(N937*VLOOKUP(G937,FILAMENTI_DB!$A:$J,10,FALSE),"")</f>
        <v/>
      </c>
      <c r="W937" s="23" t="str">
        <f>IFERROR((VLOOKUP(F937,STAMPANTI_DB!$A:$C,3,FALSE)/1000)*O937*SETTINGS!$C$6,"")</f>
        <v/>
      </c>
      <c r="X937" s="23" t="str">
        <f>IFERROR(O937*VLOOKUP(F937,STAMPANTI_DB!$A:$I,9,FALSE),"")</f>
        <v/>
      </c>
      <c r="Y937" s="23">
        <f>IFERROR(P937*SETTINGS!$C$7,"")</f>
        <v>0</v>
      </c>
      <c r="Z937" s="23">
        <f>SETTINGS!$C$11</f>
        <v>0.5</v>
      </c>
      <c r="AA937" s="23">
        <f t="shared" si="91"/>
        <v>0.5</v>
      </c>
      <c r="AB937" s="23">
        <f>IFERROR(AA937*SETTINGS!$C$9,"")</f>
        <v>2.5000000000000001E-2</v>
      </c>
      <c r="AC937" s="23">
        <f>IFERROR((AA937+AB937)*SETTINGS!$C$10,"")</f>
        <v>2.6250000000000002E-2</v>
      </c>
    </row>
    <row r="938" spans="1:29" ht="16" x14ac:dyDescent="0.2">
      <c r="A938" s="25"/>
      <c r="H938" t="str">
        <f>IFERROR(VLOOKUP(G938,FILAMENTI_DB!$A:$C,3,FALSE),"")</f>
        <v/>
      </c>
      <c r="I938" t="str">
        <f>IFERROR(VLOOKUP(G938,FILAMENTI_DB!$A:$E,4,FALSE),"")</f>
        <v/>
      </c>
      <c r="J938" s="26"/>
      <c r="K938" s="27"/>
      <c r="L938" s="27"/>
      <c r="M938" s="27">
        <f t="shared" si="86"/>
        <v>0</v>
      </c>
      <c r="N938" s="26">
        <f t="shared" si="87"/>
        <v>0</v>
      </c>
      <c r="O938" s="26"/>
      <c r="P938" s="26"/>
      <c r="Q938" s="23"/>
      <c r="R938" s="23">
        <f t="shared" si="88"/>
        <v>0</v>
      </c>
      <c r="S938" s="23"/>
      <c r="T938" s="23">
        <f t="shared" si="89"/>
        <v>0</v>
      </c>
      <c r="U938" s="28" t="str">
        <f t="shared" si="90"/>
        <v/>
      </c>
      <c r="V938" s="10" t="str">
        <f>IFERROR(N938*VLOOKUP(G938,FILAMENTI_DB!$A:$J,10,FALSE),"")</f>
        <v/>
      </c>
      <c r="W938" s="23" t="str">
        <f>IFERROR((VLOOKUP(F938,STAMPANTI_DB!$A:$C,3,FALSE)/1000)*O938*SETTINGS!$C$6,"")</f>
        <v/>
      </c>
      <c r="X938" s="23" t="str">
        <f>IFERROR(O938*VLOOKUP(F938,STAMPANTI_DB!$A:$I,9,FALSE),"")</f>
        <v/>
      </c>
      <c r="Y938" s="23">
        <f>IFERROR(P938*SETTINGS!$C$7,"")</f>
        <v>0</v>
      </c>
      <c r="Z938" s="23">
        <f>SETTINGS!$C$11</f>
        <v>0.5</v>
      </c>
      <c r="AA938" s="23">
        <f t="shared" si="91"/>
        <v>0.5</v>
      </c>
      <c r="AB938" s="23">
        <f>IFERROR(AA938*SETTINGS!$C$9,"")</f>
        <v>2.5000000000000001E-2</v>
      </c>
      <c r="AC938" s="23">
        <f>IFERROR((AA938+AB938)*SETTINGS!$C$10,"")</f>
        <v>2.6250000000000002E-2</v>
      </c>
    </row>
    <row r="939" spans="1:29" ht="16" x14ac:dyDescent="0.2">
      <c r="A939" s="25"/>
      <c r="H939" t="str">
        <f>IFERROR(VLOOKUP(G939,FILAMENTI_DB!$A:$C,3,FALSE),"")</f>
        <v/>
      </c>
      <c r="I939" t="str">
        <f>IFERROR(VLOOKUP(G939,FILAMENTI_DB!$A:$E,4,FALSE),"")</f>
        <v/>
      </c>
      <c r="J939" s="26"/>
      <c r="K939" s="27"/>
      <c r="L939" s="27"/>
      <c r="M939" s="27">
        <f t="shared" si="86"/>
        <v>0</v>
      </c>
      <c r="N939" s="26">
        <f t="shared" si="87"/>
        <v>0</v>
      </c>
      <c r="O939" s="26"/>
      <c r="P939" s="26"/>
      <c r="Q939" s="23"/>
      <c r="R939" s="23">
        <f t="shared" si="88"/>
        <v>0</v>
      </c>
      <c r="S939" s="23"/>
      <c r="T939" s="23">
        <f t="shared" si="89"/>
        <v>0</v>
      </c>
      <c r="U939" s="28" t="str">
        <f t="shared" si="90"/>
        <v/>
      </c>
      <c r="V939" s="10" t="str">
        <f>IFERROR(N939*VLOOKUP(G939,FILAMENTI_DB!$A:$J,10,FALSE),"")</f>
        <v/>
      </c>
      <c r="W939" s="23" t="str">
        <f>IFERROR((VLOOKUP(F939,STAMPANTI_DB!$A:$C,3,FALSE)/1000)*O939*SETTINGS!$C$6,"")</f>
        <v/>
      </c>
      <c r="X939" s="23" t="str">
        <f>IFERROR(O939*VLOOKUP(F939,STAMPANTI_DB!$A:$I,9,FALSE),"")</f>
        <v/>
      </c>
      <c r="Y939" s="23">
        <f>IFERROR(P939*SETTINGS!$C$7,"")</f>
        <v>0</v>
      </c>
      <c r="Z939" s="23">
        <f>SETTINGS!$C$11</f>
        <v>0.5</v>
      </c>
      <c r="AA939" s="23">
        <f t="shared" si="91"/>
        <v>0.5</v>
      </c>
      <c r="AB939" s="23">
        <f>IFERROR(AA939*SETTINGS!$C$9,"")</f>
        <v>2.5000000000000001E-2</v>
      </c>
      <c r="AC939" s="23">
        <f>IFERROR((AA939+AB939)*SETTINGS!$C$10,"")</f>
        <v>2.6250000000000002E-2</v>
      </c>
    </row>
    <row r="940" spans="1:29" ht="16" x14ac:dyDescent="0.2">
      <c r="A940" s="25"/>
      <c r="H940" t="str">
        <f>IFERROR(VLOOKUP(G940,FILAMENTI_DB!$A:$C,3,FALSE),"")</f>
        <v/>
      </c>
      <c r="I940" t="str">
        <f>IFERROR(VLOOKUP(G940,FILAMENTI_DB!$A:$E,4,FALSE),"")</f>
        <v/>
      </c>
      <c r="J940" s="26"/>
      <c r="K940" s="27"/>
      <c r="L940" s="27"/>
      <c r="M940" s="27">
        <f t="shared" si="86"/>
        <v>0</v>
      </c>
      <c r="N940" s="26">
        <f t="shared" si="87"/>
        <v>0</v>
      </c>
      <c r="O940" s="26"/>
      <c r="P940" s="26"/>
      <c r="Q940" s="23"/>
      <c r="R940" s="23">
        <f t="shared" si="88"/>
        <v>0</v>
      </c>
      <c r="S940" s="23"/>
      <c r="T940" s="23">
        <f t="shared" si="89"/>
        <v>0</v>
      </c>
      <c r="U940" s="28" t="str">
        <f t="shared" si="90"/>
        <v/>
      </c>
      <c r="V940" s="10" t="str">
        <f>IFERROR(N940*VLOOKUP(G940,FILAMENTI_DB!$A:$J,10,FALSE),"")</f>
        <v/>
      </c>
      <c r="W940" s="23" t="str">
        <f>IFERROR((VLOOKUP(F940,STAMPANTI_DB!$A:$C,3,FALSE)/1000)*O940*SETTINGS!$C$6,"")</f>
        <v/>
      </c>
      <c r="X940" s="23" t="str">
        <f>IFERROR(O940*VLOOKUP(F940,STAMPANTI_DB!$A:$I,9,FALSE),"")</f>
        <v/>
      </c>
      <c r="Y940" s="23">
        <f>IFERROR(P940*SETTINGS!$C$7,"")</f>
        <v>0</v>
      </c>
      <c r="Z940" s="23">
        <f>SETTINGS!$C$11</f>
        <v>0.5</v>
      </c>
      <c r="AA940" s="23">
        <f t="shared" si="91"/>
        <v>0.5</v>
      </c>
      <c r="AB940" s="23">
        <f>IFERROR(AA940*SETTINGS!$C$9,"")</f>
        <v>2.5000000000000001E-2</v>
      </c>
      <c r="AC940" s="23">
        <f>IFERROR((AA940+AB940)*SETTINGS!$C$10,"")</f>
        <v>2.6250000000000002E-2</v>
      </c>
    </row>
    <row r="941" spans="1:29" ht="16" x14ac:dyDescent="0.2">
      <c r="A941" s="25"/>
      <c r="H941" t="str">
        <f>IFERROR(VLOOKUP(G941,FILAMENTI_DB!$A:$C,3,FALSE),"")</f>
        <v/>
      </c>
      <c r="I941" t="str">
        <f>IFERROR(VLOOKUP(G941,FILAMENTI_DB!$A:$E,4,FALSE),"")</f>
        <v/>
      </c>
      <c r="J941" s="26"/>
      <c r="K941" s="27"/>
      <c r="L941" s="27"/>
      <c r="M941" s="27">
        <f t="shared" si="86"/>
        <v>0</v>
      </c>
      <c r="N941" s="26">
        <f t="shared" si="87"/>
        <v>0</v>
      </c>
      <c r="O941" s="26"/>
      <c r="P941" s="26"/>
      <c r="Q941" s="23"/>
      <c r="R941" s="23">
        <f t="shared" si="88"/>
        <v>0</v>
      </c>
      <c r="S941" s="23"/>
      <c r="T941" s="23">
        <f t="shared" si="89"/>
        <v>0</v>
      </c>
      <c r="U941" s="28" t="str">
        <f t="shared" si="90"/>
        <v/>
      </c>
      <c r="V941" s="10" t="str">
        <f>IFERROR(N941*VLOOKUP(G941,FILAMENTI_DB!$A:$J,10,FALSE),"")</f>
        <v/>
      </c>
      <c r="W941" s="23" t="str">
        <f>IFERROR((VLOOKUP(F941,STAMPANTI_DB!$A:$C,3,FALSE)/1000)*O941*SETTINGS!$C$6,"")</f>
        <v/>
      </c>
      <c r="X941" s="23" t="str">
        <f>IFERROR(O941*VLOOKUP(F941,STAMPANTI_DB!$A:$I,9,FALSE),"")</f>
        <v/>
      </c>
      <c r="Y941" s="23">
        <f>IFERROR(P941*SETTINGS!$C$7,"")</f>
        <v>0</v>
      </c>
      <c r="Z941" s="23">
        <f>SETTINGS!$C$11</f>
        <v>0.5</v>
      </c>
      <c r="AA941" s="23">
        <f t="shared" si="91"/>
        <v>0.5</v>
      </c>
      <c r="AB941" s="23">
        <f>IFERROR(AA941*SETTINGS!$C$9,"")</f>
        <v>2.5000000000000001E-2</v>
      </c>
      <c r="AC941" s="23">
        <f>IFERROR((AA941+AB941)*SETTINGS!$C$10,"")</f>
        <v>2.6250000000000002E-2</v>
      </c>
    </row>
    <row r="942" spans="1:29" ht="16" x14ac:dyDescent="0.2">
      <c r="A942" s="25"/>
      <c r="H942" t="str">
        <f>IFERROR(VLOOKUP(G942,FILAMENTI_DB!$A:$C,3,FALSE),"")</f>
        <v/>
      </c>
      <c r="I942" t="str">
        <f>IFERROR(VLOOKUP(G942,FILAMENTI_DB!$A:$E,4,FALSE),"")</f>
        <v/>
      </c>
      <c r="J942" s="26"/>
      <c r="K942" s="27"/>
      <c r="L942" s="27"/>
      <c r="M942" s="27">
        <f t="shared" si="86"/>
        <v>0</v>
      </c>
      <c r="N942" s="26">
        <f t="shared" si="87"/>
        <v>0</v>
      </c>
      <c r="O942" s="26"/>
      <c r="P942" s="26"/>
      <c r="Q942" s="23"/>
      <c r="R942" s="23">
        <f t="shared" si="88"/>
        <v>0</v>
      </c>
      <c r="S942" s="23"/>
      <c r="T942" s="23">
        <f t="shared" si="89"/>
        <v>0</v>
      </c>
      <c r="U942" s="28" t="str">
        <f t="shared" si="90"/>
        <v/>
      </c>
      <c r="V942" s="10" t="str">
        <f>IFERROR(N942*VLOOKUP(G942,FILAMENTI_DB!$A:$J,10,FALSE),"")</f>
        <v/>
      </c>
      <c r="W942" s="23" t="str">
        <f>IFERROR((VLOOKUP(F942,STAMPANTI_DB!$A:$C,3,FALSE)/1000)*O942*SETTINGS!$C$6,"")</f>
        <v/>
      </c>
      <c r="X942" s="23" t="str">
        <f>IFERROR(O942*VLOOKUP(F942,STAMPANTI_DB!$A:$I,9,FALSE),"")</f>
        <v/>
      </c>
      <c r="Y942" s="23">
        <f>IFERROR(P942*SETTINGS!$C$7,"")</f>
        <v>0</v>
      </c>
      <c r="Z942" s="23">
        <f>SETTINGS!$C$11</f>
        <v>0.5</v>
      </c>
      <c r="AA942" s="23">
        <f t="shared" si="91"/>
        <v>0.5</v>
      </c>
      <c r="AB942" s="23">
        <f>IFERROR(AA942*SETTINGS!$C$9,"")</f>
        <v>2.5000000000000001E-2</v>
      </c>
      <c r="AC942" s="23">
        <f>IFERROR((AA942+AB942)*SETTINGS!$C$10,"")</f>
        <v>2.6250000000000002E-2</v>
      </c>
    </row>
    <row r="943" spans="1:29" ht="16" x14ac:dyDescent="0.2">
      <c r="A943" s="25"/>
      <c r="H943" t="str">
        <f>IFERROR(VLOOKUP(G943,FILAMENTI_DB!$A:$C,3,FALSE),"")</f>
        <v/>
      </c>
      <c r="I943" t="str">
        <f>IFERROR(VLOOKUP(G943,FILAMENTI_DB!$A:$E,4,FALSE),"")</f>
        <v/>
      </c>
      <c r="J943" s="26"/>
      <c r="K943" s="27"/>
      <c r="L943" s="27"/>
      <c r="M943" s="27">
        <f t="shared" si="86"/>
        <v>0</v>
      </c>
      <c r="N943" s="26">
        <f t="shared" si="87"/>
        <v>0</v>
      </c>
      <c r="O943" s="26"/>
      <c r="P943" s="26"/>
      <c r="Q943" s="23"/>
      <c r="R943" s="23">
        <f t="shared" si="88"/>
        <v>0</v>
      </c>
      <c r="S943" s="23"/>
      <c r="T943" s="23">
        <f t="shared" si="89"/>
        <v>0</v>
      </c>
      <c r="U943" s="28" t="str">
        <f t="shared" si="90"/>
        <v/>
      </c>
      <c r="V943" s="10" t="str">
        <f>IFERROR(N943*VLOOKUP(G943,FILAMENTI_DB!$A:$J,10,FALSE),"")</f>
        <v/>
      </c>
      <c r="W943" s="23" t="str">
        <f>IFERROR((VLOOKUP(F943,STAMPANTI_DB!$A:$C,3,FALSE)/1000)*O943*SETTINGS!$C$6,"")</f>
        <v/>
      </c>
      <c r="X943" s="23" t="str">
        <f>IFERROR(O943*VLOOKUP(F943,STAMPANTI_DB!$A:$I,9,FALSE),"")</f>
        <v/>
      </c>
      <c r="Y943" s="23">
        <f>IFERROR(P943*SETTINGS!$C$7,"")</f>
        <v>0</v>
      </c>
      <c r="Z943" s="23">
        <f>SETTINGS!$C$11</f>
        <v>0.5</v>
      </c>
      <c r="AA943" s="23">
        <f t="shared" si="91"/>
        <v>0.5</v>
      </c>
      <c r="AB943" s="23">
        <f>IFERROR(AA943*SETTINGS!$C$9,"")</f>
        <v>2.5000000000000001E-2</v>
      </c>
      <c r="AC943" s="23">
        <f>IFERROR((AA943+AB943)*SETTINGS!$C$10,"")</f>
        <v>2.6250000000000002E-2</v>
      </c>
    </row>
    <row r="944" spans="1:29" ht="16" x14ac:dyDescent="0.2">
      <c r="A944" s="25"/>
      <c r="H944" t="str">
        <f>IFERROR(VLOOKUP(G944,FILAMENTI_DB!$A:$C,3,FALSE),"")</f>
        <v/>
      </c>
      <c r="I944" t="str">
        <f>IFERROR(VLOOKUP(G944,FILAMENTI_DB!$A:$E,4,FALSE),"")</f>
        <v/>
      </c>
      <c r="J944" s="26"/>
      <c r="K944" s="27"/>
      <c r="L944" s="27"/>
      <c r="M944" s="27">
        <f t="shared" si="86"/>
        <v>0</v>
      </c>
      <c r="N944" s="26">
        <f t="shared" si="87"/>
        <v>0</v>
      </c>
      <c r="O944" s="26"/>
      <c r="P944" s="26"/>
      <c r="Q944" s="23"/>
      <c r="R944" s="23">
        <f t="shared" si="88"/>
        <v>0</v>
      </c>
      <c r="S944" s="23"/>
      <c r="T944" s="23">
        <f t="shared" si="89"/>
        <v>0</v>
      </c>
      <c r="U944" s="28" t="str">
        <f t="shared" si="90"/>
        <v/>
      </c>
      <c r="V944" s="10" t="str">
        <f>IFERROR(N944*VLOOKUP(G944,FILAMENTI_DB!$A:$J,10,FALSE),"")</f>
        <v/>
      </c>
      <c r="W944" s="23" t="str">
        <f>IFERROR((VLOOKUP(F944,STAMPANTI_DB!$A:$C,3,FALSE)/1000)*O944*SETTINGS!$C$6,"")</f>
        <v/>
      </c>
      <c r="X944" s="23" t="str">
        <f>IFERROR(O944*VLOOKUP(F944,STAMPANTI_DB!$A:$I,9,FALSE),"")</f>
        <v/>
      </c>
      <c r="Y944" s="23">
        <f>IFERROR(P944*SETTINGS!$C$7,"")</f>
        <v>0</v>
      </c>
      <c r="Z944" s="23">
        <f>SETTINGS!$C$11</f>
        <v>0.5</v>
      </c>
      <c r="AA944" s="23">
        <f t="shared" si="91"/>
        <v>0.5</v>
      </c>
      <c r="AB944" s="23">
        <f>IFERROR(AA944*SETTINGS!$C$9,"")</f>
        <v>2.5000000000000001E-2</v>
      </c>
      <c r="AC944" s="23">
        <f>IFERROR((AA944+AB944)*SETTINGS!$C$10,"")</f>
        <v>2.6250000000000002E-2</v>
      </c>
    </row>
    <row r="945" spans="1:29" ht="16" x14ac:dyDescent="0.2">
      <c r="A945" s="25"/>
      <c r="H945" t="str">
        <f>IFERROR(VLOOKUP(G945,FILAMENTI_DB!$A:$C,3,FALSE),"")</f>
        <v/>
      </c>
      <c r="I945" t="str">
        <f>IFERROR(VLOOKUP(G945,FILAMENTI_DB!$A:$E,4,FALSE),"")</f>
        <v/>
      </c>
      <c r="J945" s="26"/>
      <c r="K945" s="27"/>
      <c r="L945" s="27"/>
      <c r="M945" s="27">
        <f t="shared" si="86"/>
        <v>0</v>
      </c>
      <c r="N945" s="26">
        <f t="shared" si="87"/>
        <v>0</v>
      </c>
      <c r="O945" s="26"/>
      <c r="P945" s="26"/>
      <c r="Q945" s="23"/>
      <c r="R945" s="23">
        <f t="shared" si="88"/>
        <v>0</v>
      </c>
      <c r="S945" s="23"/>
      <c r="T945" s="23">
        <f t="shared" si="89"/>
        <v>0</v>
      </c>
      <c r="U945" s="28" t="str">
        <f t="shared" si="90"/>
        <v/>
      </c>
      <c r="V945" s="10" t="str">
        <f>IFERROR(N945*VLOOKUP(G945,FILAMENTI_DB!$A:$J,10,FALSE),"")</f>
        <v/>
      </c>
      <c r="W945" s="23" t="str">
        <f>IFERROR((VLOOKUP(F945,STAMPANTI_DB!$A:$C,3,FALSE)/1000)*O945*SETTINGS!$C$6,"")</f>
        <v/>
      </c>
      <c r="X945" s="23" t="str">
        <f>IFERROR(O945*VLOOKUP(F945,STAMPANTI_DB!$A:$I,9,FALSE),"")</f>
        <v/>
      </c>
      <c r="Y945" s="23">
        <f>IFERROR(P945*SETTINGS!$C$7,"")</f>
        <v>0</v>
      </c>
      <c r="Z945" s="23">
        <f>SETTINGS!$C$11</f>
        <v>0.5</v>
      </c>
      <c r="AA945" s="23">
        <f t="shared" si="91"/>
        <v>0.5</v>
      </c>
      <c r="AB945" s="23">
        <f>IFERROR(AA945*SETTINGS!$C$9,"")</f>
        <v>2.5000000000000001E-2</v>
      </c>
      <c r="AC945" s="23">
        <f>IFERROR((AA945+AB945)*SETTINGS!$C$10,"")</f>
        <v>2.6250000000000002E-2</v>
      </c>
    </row>
    <row r="946" spans="1:29" ht="16" x14ac:dyDescent="0.2">
      <c r="A946" s="25"/>
      <c r="H946" t="str">
        <f>IFERROR(VLOOKUP(G946,FILAMENTI_DB!$A:$C,3,FALSE),"")</f>
        <v/>
      </c>
      <c r="I946" t="str">
        <f>IFERROR(VLOOKUP(G946,FILAMENTI_DB!$A:$E,4,FALSE),"")</f>
        <v/>
      </c>
      <c r="J946" s="26"/>
      <c r="K946" s="27"/>
      <c r="L946" s="27"/>
      <c r="M946" s="27">
        <f t="shared" si="86"/>
        <v>0</v>
      </c>
      <c r="N946" s="26">
        <f t="shared" si="87"/>
        <v>0</v>
      </c>
      <c r="O946" s="26"/>
      <c r="P946" s="26"/>
      <c r="Q946" s="23"/>
      <c r="R946" s="23">
        <f t="shared" si="88"/>
        <v>0</v>
      </c>
      <c r="S946" s="23"/>
      <c r="T946" s="23">
        <f t="shared" si="89"/>
        <v>0</v>
      </c>
      <c r="U946" s="28" t="str">
        <f t="shared" si="90"/>
        <v/>
      </c>
      <c r="V946" s="10" t="str">
        <f>IFERROR(N946*VLOOKUP(G946,FILAMENTI_DB!$A:$J,10,FALSE),"")</f>
        <v/>
      </c>
      <c r="W946" s="23" t="str">
        <f>IFERROR((VLOOKUP(F946,STAMPANTI_DB!$A:$C,3,FALSE)/1000)*O946*SETTINGS!$C$6,"")</f>
        <v/>
      </c>
      <c r="X946" s="23" t="str">
        <f>IFERROR(O946*VLOOKUP(F946,STAMPANTI_DB!$A:$I,9,FALSE),"")</f>
        <v/>
      </c>
      <c r="Y946" s="23">
        <f>IFERROR(P946*SETTINGS!$C$7,"")</f>
        <v>0</v>
      </c>
      <c r="Z946" s="23">
        <f>SETTINGS!$C$11</f>
        <v>0.5</v>
      </c>
      <c r="AA946" s="23">
        <f t="shared" si="91"/>
        <v>0.5</v>
      </c>
      <c r="AB946" s="23">
        <f>IFERROR(AA946*SETTINGS!$C$9,"")</f>
        <v>2.5000000000000001E-2</v>
      </c>
      <c r="AC946" s="23">
        <f>IFERROR((AA946+AB946)*SETTINGS!$C$10,"")</f>
        <v>2.6250000000000002E-2</v>
      </c>
    </row>
    <row r="947" spans="1:29" ht="16" x14ac:dyDescent="0.2">
      <c r="A947" s="25"/>
      <c r="H947" t="str">
        <f>IFERROR(VLOOKUP(G947,FILAMENTI_DB!$A:$C,3,FALSE),"")</f>
        <v/>
      </c>
      <c r="I947" t="str">
        <f>IFERROR(VLOOKUP(G947,FILAMENTI_DB!$A:$E,4,FALSE),"")</f>
        <v/>
      </c>
      <c r="J947" s="26"/>
      <c r="K947" s="27"/>
      <c r="L947" s="27"/>
      <c r="M947" s="27">
        <f t="shared" si="86"/>
        <v>0</v>
      </c>
      <c r="N947" s="26">
        <f t="shared" si="87"/>
        <v>0</v>
      </c>
      <c r="O947" s="26"/>
      <c r="P947" s="26"/>
      <c r="Q947" s="23"/>
      <c r="R947" s="23">
        <f t="shared" si="88"/>
        <v>0</v>
      </c>
      <c r="S947" s="23"/>
      <c r="T947" s="23">
        <f t="shared" si="89"/>
        <v>0</v>
      </c>
      <c r="U947" s="28" t="str">
        <f t="shared" si="90"/>
        <v/>
      </c>
      <c r="V947" s="10" t="str">
        <f>IFERROR(N947*VLOOKUP(G947,FILAMENTI_DB!$A:$J,10,FALSE),"")</f>
        <v/>
      </c>
      <c r="W947" s="23" t="str">
        <f>IFERROR((VLOOKUP(F947,STAMPANTI_DB!$A:$C,3,FALSE)/1000)*O947*SETTINGS!$C$6,"")</f>
        <v/>
      </c>
      <c r="X947" s="23" t="str">
        <f>IFERROR(O947*VLOOKUP(F947,STAMPANTI_DB!$A:$I,9,FALSE),"")</f>
        <v/>
      </c>
      <c r="Y947" s="23">
        <f>IFERROR(P947*SETTINGS!$C$7,"")</f>
        <v>0</v>
      </c>
      <c r="Z947" s="23">
        <f>SETTINGS!$C$11</f>
        <v>0.5</v>
      </c>
      <c r="AA947" s="23">
        <f t="shared" si="91"/>
        <v>0.5</v>
      </c>
      <c r="AB947" s="23">
        <f>IFERROR(AA947*SETTINGS!$C$9,"")</f>
        <v>2.5000000000000001E-2</v>
      </c>
      <c r="AC947" s="23">
        <f>IFERROR((AA947+AB947)*SETTINGS!$C$10,"")</f>
        <v>2.6250000000000002E-2</v>
      </c>
    </row>
    <row r="948" spans="1:29" ht="16" x14ac:dyDescent="0.2">
      <c r="A948" s="25"/>
      <c r="H948" t="str">
        <f>IFERROR(VLOOKUP(G948,FILAMENTI_DB!$A:$C,3,FALSE),"")</f>
        <v/>
      </c>
      <c r="I948" t="str">
        <f>IFERROR(VLOOKUP(G948,FILAMENTI_DB!$A:$E,4,FALSE),"")</f>
        <v/>
      </c>
      <c r="J948" s="26"/>
      <c r="K948" s="27"/>
      <c r="L948" s="27"/>
      <c r="M948" s="27">
        <f t="shared" si="86"/>
        <v>0</v>
      </c>
      <c r="N948" s="26">
        <f t="shared" si="87"/>
        <v>0</v>
      </c>
      <c r="O948" s="26"/>
      <c r="P948" s="26"/>
      <c r="Q948" s="23"/>
      <c r="R948" s="23">
        <f t="shared" si="88"/>
        <v>0</v>
      </c>
      <c r="S948" s="23"/>
      <c r="T948" s="23">
        <f t="shared" si="89"/>
        <v>0</v>
      </c>
      <c r="U948" s="28" t="str">
        <f t="shared" si="90"/>
        <v/>
      </c>
      <c r="V948" s="10" t="str">
        <f>IFERROR(N948*VLOOKUP(G948,FILAMENTI_DB!$A:$J,10,FALSE),"")</f>
        <v/>
      </c>
      <c r="W948" s="23" t="str">
        <f>IFERROR((VLOOKUP(F948,STAMPANTI_DB!$A:$C,3,FALSE)/1000)*O948*SETTINGS!$C$6,"")</f>
        <v/>
      </c>
      <c r="X948" s="23" t="str">
        <f>IFERROR(O948*VLOOKUP(F948,STAMPANTI_DB!$A:$I,9,FALSE),"")</f>
        <v/>
      </c>
      <c r="Y948" s="23">
        <f>IFERROR(P948*SETTINGS!$C$7,"")</f>
        <v>0</v>
      </c>
      <c r="Z948" s="23">
        <f>SETTINGS!$C$11</f>
        <v>0.5</v>
      </c>
      <c r="AA948" s="23">
        <f t="shared" si="91"/>
        <v>0.5</v>
      </c>
      <c r="AB948" s="23">
        <f>IFERROR(AA948*SETTINGS!$C$9,"")</f>
        <v>2.5000000000000001E-2</v>
      </c>
      <c r="AC948" s="23">
        <f>IFERROR((AA948+AB948)*SETTINGS!$C$10,"")</f>
        <v>2.6250000000000002E-2</v>
      </c>
    </row>
    <row r="949" spans="1:29" ht="16" x14ac:dyDescent="0.2">
      <c r="A949" s="25"/>
      <c r="H949" t="str">
        <f>IFERROR(VLOOKUP(G949,FILAMENTI_DB!$A:$C,3,FALSE),"")</f>
        <v/>
      </c>
      <c r="I949" t="str">
        <f>IFERROR(VLOOKUP(G949,FILAMENTI_DB!$A:$E,4,FALSE),"")</f>
        <v/>
      </c>
      <c r="J949" s="26"/>
      <c r="K949" s="27"/>
      <c r="L949" s="27"/>
      <c r="M949" s="27">
        <f t="shared" si="86"/>
        <v>0</v>
      </c>
      <c r="N949" s="26">
        <f t="shared" si="87"/>
        <v>0</v>
      </c>
      <c r="O949" s="26"/>
      <c r="P949" s="26"/>
      <c r="Q949" s="23"/>
      <c r="R949" s="23">
        <f t="shared" si="88"/>
        <v>0</v>
      </c>
      <c r="S949" s="23"/>
      <c r="T949" s="23">
        <f t="shared" si="89"/>
        <v>0</v>
      </c>
      <c r="U949" s="28" t="str">
        <f t="shared" si="90"/>
        <v/>
      </c>
      <c r="V949" s="10" t="str">
        <f>IFERROR(N949*VLOOKUP(G949,FILAMENTI_DB!$A:$J,10,FALSE),"")</f>
        <v/>
      </c>
      <c r="W949" s="23" t="str">
        <f>IFERROR((VLOOKUP(F949,STAMPANTI_DB!$A:$C,3,FALSE)/1000)*O949*SETTINGS!$C$6,"")</f>
        <v/>
      </c>
      <c r="X949" s="23" t="str">
        <f>IFERROR(O949*VLOOKUP(F949,STAMPANTI_DB!$A:$I,9,FALSE),"")</f>
        <v/>
      </c>
      <c r="Y949" s="23">
        <f>IFERROR(P949*SETTINGS!$C$7,"")</f>
        <v>0</v>
      </c>
      <c r="Z949" s="23">
        <f>SETTINGS!$C$11</f>
        <v>0.5</v>
      </c>
      <c r="AA949" s="23">
        <f t="shared" si="91"/>
        <v>0.5</v>
      </c>
      <c r="AB949" s="23">
        <f>IFERROR(AA949*SETTINGS!$C$9,"")</f>
        <v>2.5000000000000001E-2</v>
      </c>
      <c r="AC949" s="23">
        <f>IFERROR((AA949+AB949)*SETTINGS!$C$10,"")</f>
        <v>2.6250000000000002E-2</v>
      </c>
    </row>
    <row r="950" spans="1:29" ht="16" x14ac:dyDescent="0.2">
      <c r="A950" s="25"/>
      <c r="H950" t="str">
        <f>IFERROR(VLOOKUP(G950,FILAMENTI_DB!$A:$C,3,FALSE),"")</f>
        <v/>
      </c>
      <c r="I950" t="str">
        <f>IFERROR(VLOOKUP(G950,FILAMENTI_DB!$A:$E,4,FALSE),"")</f>
        <v/>
      </c>
      <c r="J950" s="26"/>
      <c r="K950" s="27"/>
      <c r="L950" s="27"/>
      <c r="M950" s="27">
        <f t="shared" si="86"/>
        <v>0</v>
      </c>
      <c r="N950" s="26">
        <f t="shared" si="87"/>
        <v>0</v>
      </c>
      <c r="O950" s="26"/>
      <c r="P950" s="26"/>
      <c r="Q950" s="23"/>
      <c r="R950" s="23">
        <f t="shared" si="88"/>
        <v>0</v>
      </c>
      <c r="S950" s="23"/>
      <c r="T950" s="23">
        <f t="shared" si="89"/>
        <v>0</v>
      </c>
      <c r="U950" s="28" t="str">
        <f t="shared" si="90"/>
        <v/>
      </c>
      <c r="V950" s="10" t="str">
        <f>IFERROR(N950*VLOOKUP(G950,FILAMENTI_DB!$A:$J,10,FALSE),"")</f>
        <v/>
      </c>
      <c r="W950" s="23" t="str">
        <f>IFERROR((VLOOKUP(F950,STAMPANTI_DB!$A:$C,3,FALSE)/1000)*O950*SETTINGS!$C$6,"")</f>
        <v/>
      </c>
      <c r="X950" s="23" t="str">
        <f>IFERROR(O950*VLOOKUP(F950,STAMPANTI_DB!$A:$I,9,FALSE),"")</f>
        <v/>
      </c>
      <c r="Y950" s="23">
        <f>IFERROR(P950*SETTINGS!$C$7,"")</f>
        <v>0</v>
      </c>
      <c r="Z950" s="23">
        <f>SETTINGS!$C$11</f>
        <v>0.5</v>
      </c>
      <c r="AA950" s="23">
        <f t="shared" si="91"/>
        <v>0.5</v>
      </c>
      <c r="AB950" s="23">
        <f>IFERROR(AA950*SETTINGS!$C$9,"")</f>
        <v>2.5000000000000001E-2</v>
      </c>
      <c r="AC950" s="23">
        <f>IFERROR((AA950+AB950)*SETTINGS!$C$10,"")</f>
        <v>2.6250000000000002E-2</v>
      </c>
    </row>
    <row r="951" spans="1:29" ht="16" x14ac:dyDescent="0.2">
      <c r="A951" s="25"/>
      <c r="H951" t="str">
        <f>IFERROR(VLOOKUP(G951,FILAMENTI_DB!$A:$C,3,FALSE),"")</f>
        <v/>
      </c>
      <c r="I951" t="str">
        <f>IFERROR(VLOOKUP(G951,FILAMENTI_DB!$A:$E,4,FALSE),"")</f>
        <v/>
      </c>
      <c r="J951" s="26"/>
      <c r="K951" s="27"/>
      <c r="L951" s="27"/>
      <c r="M951" s="27">
        <f t="shared" si="86"/>
        <v>0</v>
      </c>
      <c r="N951" s="26">
        <f t="shared" si="87"/>
        <v>0</v>
      </c>
      <c r="O951" s="26"/>
      <c r="P951" s="26"/>
      <c r="Q951" s="23"/>
      <c r="R951" s="23">
        <f t="shared" si="88"/>
        <v>0</v>
      </c>
      <c r="S951" s="23"/>
      <c r="T951" s="23">
        <f t="shared" si="89"/>
        <v>0</v>
      </c>
      <c r="U951" s="28" t="str">
        <f t="shared" si="90"/>
        <v/>
      </c>
      <c r="V951" s="10" t="str">
        <f>IFERROR(N951*VLOOKUP(G951,FILAMENTI_DB!$A:$J,10,FALSE),"")</f>
        <v/>
      </c>
      <c r="W951" s="23" t="str">
        <f>IFERROR((VLOOKUP(F951,STAMPANTI_DB!$A:$C,3,FALSE)/1000)*O951*SETTINGS!$C$6,"")</f>
        <v/>
      </c>
      <c r="X951" s="23" t="str">
        <f>IFERROR(O951*VLOOKUP(F951,STAMPANTI_DB!$A:$I,9,FALSE),"")</f>
        <v/>
      </c>
      <c r="Y951" s="23">
        <f>IFERROR(P951*SETTINGS!$C$7,"")</f>
        <v>0</v>
      </c>
      <c r="Z951" s="23">
        <f>SETTINGS!$C$11</f>
        <v>0.5</v>
      </c>
      <c r="AA951" s="23">
        <f t="shared" si="91"/>
        <v>0.5</v>
      </c>
      <c r="AB951" s="23">
        <f>IFERROR(AA951*SETTINGS!$C$9,"")</f>
        <v>2.5000000000000001E-2</v>
      </c>
      <c r="AC951" s="23">
        <f>IFERROR((AA951+AB951)*SETTINGS!$C$10,"")</f>
        <v>2.6250000000000002E-2</v>
      </c>
    </row>
    <row r="952" spans="1:29" ht="16" x14ac:dyDescent="0.2">
      <c r="A952" s="25"/>
      <c r="H952" t="str">
        <f>IFERROR(VLOOKUP(G952,FILAMENTI_DB!$A:$C,3,FALSE),"")</f>
        <v/>
      </c>
      <c r="I952" t="str">
        <f>IFERROR(VLOOKUP(G952,FILAMENTI_DB!$A:$E,4,FALSE),"")</f>
        <v/>
      </c>
      <c r="J952" s="26"/>
      <c r="K952" s="27"/>
      <c r="L952" s="27"/>
      <c r="M952" s="27">
        <f t="shared" si="86"/>
        <v>0</v>
      </c>
      <c r="N952" s="26">
        <f t="shared" si="87"/>
        <v>0</v>
      </c>
      <c r="O952" s="26"/>
      <c r="P952" s="26"/>
      <c r="Q952" s="23"/>
      <c r="R952" s="23">
        <f t="shared" si="88"/>
        <v>0</v>
      </c>
      <c r="S952" s="23"/>
      <c r="T952" s="23">
        <f t="shared" si="89"/>
        <v>0</v>
      </c>
      <c r="U952" s="28" t="str">
        <f t="shared" si="90"/>
        <v/>
      </c>
      <c r="V952" s="10" t="str">
        <f>IFERROR(N952*VLOOKUP(G952,FILAMENTI_DB!$A:$J,10,FALSE),"")</f>
        <v/>
      </c>
      <c r="W952" s="23" t="str">
        <f>IFERROR((VLOOKUP(F952,STAMPANTI_DB!$A:$C,3,FALSE)/1000)*O952*SETTINGS!$C$6,"")</f>
        <v/>
      </c>
      <c r="X952" s="23" t="str">
        <f>IFERROR(O952*VLOOKUP(F952,STAMPANTI_DB!$A:$I,9,FALSE),"")</f>
        <v/>
      </c>
      <c r="Y952" s="23">
        <f>IFERROR(P952*SETTINGS!$C$7,"")</f>
        <v>0</v>
      </c>
      <c r="Z952" s="23">
        <f>SETTINGS!$C$11</f>
        <v>0.5</v>
      </c>
      <c r="AA952" s="23">
        <f t="shared" si="91"/>
        <v>0.5</v>
      </c>
      <c r="AB952" s="23">
        <f>IFERROR(AA952*SETTINGS!$C$9,"")</f>
        <v>2.5000000000000001E-2</v>
      </c>
      <c r="AC952" s="23">
        <f>IFERROR((AA952+AB952)*SETTINGS!$C$10,"")</f>
        <v>2.6250000000000002E-2</v>
      </c>
    </row>
    <row r="953" spans="1:29" ht="16" x14ac:dyDescent="0.2">
      <c r="A953" s="25"/>
      <c r="H953" t="str">
        <f>IFERROR(VLOOKUP(G953,FILAMENTI_DB!$A:$C,3,FALSE),"")</f>
        <v/>
      </c>
      <c r="I953" t="str">
        <f>IFERROR(VLOOKUP(G953,FILAMENTI_DB!$A:$E,4,FALSE),"")</f>
        <v/>
      </c>
      <c r="J953" s="26"/>
      <c r="K953" s="27"/>
      <c r="L953" s="27"/>
      <c r="M953" s="27">
        <f t="shared" si="86"/>
        <v>0</v>
      </c>
      <c r="N953" s="26">
        <f t="shared" si="87"/>
        <v>0</v>
      </c>
      <c r="O953" s="26"/>
      <c r="P953" s="26"/>
      <c r="Q953" s="23"/>
      <c r="R953" s="23">
        <f t="shared" si="88"/>
        <v>0</v>
      </c>
      <c r="S953" s="23"/>
      <c r="T953" s="23">
        <f t="shared" si="89"/>
        <v>0</v>
      </c>
      <c r="U953" s="28" t="str">
        <f t="shared" si="90"/>
        <v/>
      </c>
      <c r="V953" s="10" t="str">
        <f>IFERROR(N953*VLOOKUP(G953,FILAMENTI_DB!$A:$J,10,FALSE),"")</f>
        <v/>
      </c>
      <c r="W953" s="23" t="str">
        <f>IFERROR((VLOOKUP(F953,STAMPANTI_DB!$A:$C,3,FALSE)/1000)*O953*SETTINGS!$C$6,"")</f>
        <v/>
      </c>
      <c r="X953" s="23" t="str">
        <f>IFERROR(O953*VLOOKUP(F953,STAMPANTI_DB!$A:$I,9,FALSE),"")</f>
        <v/>
      </c>
      <c r="Y953" s="23">
        <f>IFERROR(P953*SETTINGS!$C$7,"")</f>
        <v>0</v>
      </c>
      <c r="Z953" s="23">
        <f>SETTINGS!$C$11</f>
        <v>0.5</v>
      </c>
      <c r="AA953" s="23">
        <f t="shared" si="91"/>
        <v>0.5</v>
      </c>
      <c r="AB953" s="23">
        <f>IFERROR(AA953*SETTINGS!$C$9,"")</f>
        <v>2.5000000000000001E-2</v>
      </c>
      <c r="AC953" s="23">
        <f>IFERROR((AA953+AB953)*SETTINGS!$C$10,"")</f>
        <v>2.6250000000000002E-2</v>
      </c>
    </row>
    <row r="954" spans="1:29" ht="16" x14ac:dyDescent="0.2">
      <c r="A954" s="25"/>
      <c r="H954" t="str">
        <f>IFERROR(VLOOKUP(G954,FILAMENTI_DB!$A:$C,3,FALSE),"")</f>
        <v/>
      </c>
      <c r="I954" t="str">
        <f>IFERROR(VLOOKUP(G954,FILAMENTI_DB!$A:$E,4,FALSE),"")</f>
        <v/>
      </c>
      <c r="J954" s="26"/>
      <c r="K954" s="27"/>
      <c r="L954" s="27"/>
      <c r="M954" s="27">
        <f t="shared" si="86"/>
        <v>0</v>
      </c>
      <c r="N954" s="26">
        <f t="shared" si="87"/>
        <v>0</v>
      </c>
      <c r="O954" s="26"/>
      <c r="P954" s="26"/>
      <c r="Q954" s="23"/>
      <c r="R954" s="23">
        <f t="shared" si="88"/>
        <v>0</v>
      </c>
      <c r="S954" s="23"/>
      <c r="T954" s="23">
        <f t="shared" si="89"/>
        <v>0</v>
      </c>
      <c r="U954" s="28" t="str">
        <f t="shared" si="90"/>
        <v/>
      </c>
      <c r="V954" s="10" t="str">
        <f>IFERROR(N954*VLOOKUP(G954,FILAMENTI_DB!$A:$J,10,FALSE),"")</f>
        <v/>
      </c>
      <c r="W954" s="23" t="str">
        <f>IFERROR((VLOOKUP(F954,STAMPANTI_DB!$A:$C,3,FALSE)/1000)*O954*SETTINGS!$C$6,"")</f>
        <v/>
      </c>
      <c r="X954" s="23" t="str">
        <f>IFERROR(O954*VLOOKUP(F954,STAMPANTI_DB!$A:$I,9,FALSE),"")</f>
        <v/>
      </c>
      <c r="Y954" s="23">
        <f>IFERROR(P954*SETTINGS!$C$7,"")</f>
        <v>0</v>
      </c>
      <c r="Z954" s="23">
        <f>SETTINGS!$C$11</f>
        <v>0.5</v>
      </c>
      <c r="AA954" s="23">
        <f t="shared" si="91"/>
        <v>0.5</v>
      </c>
      <c r="AB954" s="23">
        <f>IFERROR(AA954*SETTINGS!$C$9,"")</f>
        <v>2.5000000000000001E-2</v>
      </c>
      <c r="AC954" s="23">
        <f>IFERROR((AA954+AB954)*SETTINGS!$C$10,"")</f>
        <v>2.6250000000000002E-2</v>
      </c>
    </row>
    <row r="955" spans="1:29" ht="16" x14ac:dyDescent="0.2">
      <c r="A955" s="25"/>
      <c r="H955" t="str">
        <f>IFERROR(VLOOKUP(G955,FILAMENTI_DB!$A:$C,3,FALSE),"")</f>
        <v/>
      </c>
      <c r="I955" t="str">
        <f>IFERROR(VLOOKUP(G955,FILAMENTI_DB!$A:$E,4,FALSE),"")</f>
        <v/>
      </c>
      <c r="J955" s="26"/>
      <c r="K955" s="27"/>
      <c r="L955" s="27"/>
      <c r="M955" s="27">
        <f t="shared" si="86"/>
        <v>0</v>
      </c>
      <c r="N955" s="26">
        <f t="shared" si="87"/>
        <v>0</v>
      </c>
      <c r="O955" s="26"/>
      <c r="P955" s="26"/>
      <c r="Q955" s="23"/>
      <c r="R955" s="23">
        <f t="shared" si="88"/>
        <v>0</v>
      </c>
      <c r="S955" s="23"/>
      <c r="T955" s="23">
        <f t="shared" si="89"/>
        <v>0</v>
      </c>
      <c r="U955" s="28" t="str">
        <f t="shared" si="90"/>
        <v/>
      </c>
      <c r="V955" s="10" t="str">
        <f>IFERROR(N955*VLOOKUP(G955,FILAMENTI_DB!$A:$J,10,FALSE),"")</f>
        <v/>
      </c>
      <c r="W955" s="23" t="str">
        <f>IFERROR((VLOOKUP(F955,STAMPANTI_DB!$A:$C,3,FALSE)/1000)*O955*SETTINGS!$C$6,"")</f>
        <v/>
      </c>
      <c r="X955" s="23" t="str">
        <f>IFERROR(O955*VLOOKUP(F955,STAMPANTI_DB!$A:$I,9,FALSE),"")</f>
        <v/>
      </c>
      <c r="Y955" s="23">
        <f>IFERROR(P955*SETTINGS!$C$7,"")</f>
        <v>0</v>
      </c>
      <c r="Z955" s="23">
        <f>SETTINGS!$C$11</f>
        <v>0.5</v>
      </c>
      <c r="AA955" s="23">
        <f t="shared" si="91"/>
        <v>0.5</v>
      </c>
      <c r="AB955" s="23">
        <f>IFERROR(AA955*SETTINGS!$C$9,"")</f>
        <v>2.5000000000000001E-2</v>
      </c>
      <c r="AC955" s="23">
        <f>IFERROR((AA955+AB955)*SETTINGS!$C$10,"")</f>
        <v>2.6250000000000002E-2</v>
      </c>
    </row>
    <row r="956" spans="1:29" ht="16" x14ac:dyDescent="0.2">
      <c r="A956" s="25"/>
      <c r="H956" t="str">
        <f>IFERROR(VLOOKUP(G956,FILAMENTI_DB!$A:$C,3,FALSE),"")</f>
        <v/>
      </c>
      <c r="I956" t="str">
        <f>IFERROR(VLOOKUP(G956,FILAMENTI_DB!$A:$E,4,FALSE),"")</f>
        <v/>
      </c>
      <c r="J956" s="26"/>
      <c r="K956" s="27"/>
      <c r="L956" s="27"/>
      <c r="M956" s="27">
        <f t="shared" si="86"/>
        <v>0</v>
      </c>
      <c r="N956" s="26">
        <f t="shared" si="87"/>
        <v>0</v>
      </c>
      <c r="O956" s="26"/>
      <c r="P956" s="26"/>
      <c r="Q956" s="23"/>
      <c r="R956" s="23">
        <f t="shared" si="88"/>
        <v>0</v>
      </c>
      <c r="S956" s="23"/>
      <c r="T956" s="23">
        <f t="shared" si="89"/>
        <v>0</v>
      </c>
      <c r="U956" s="28" t="str">
        <f t="shared" si="90"/>
        <v/>
      </c>
      <c r="V956" s="10" t="str">
        <f>IFERROR(N956*VLOOKUP(G956,FILAMENTI_DB!$A:$J,10,FALSE),"")</f>
        <v/>
      </c>
      <c r="W956" s="23" t="str">
        <f>IFERROR((VLOOKUP(F956,STAMPANTI_DB!$A:$C,3,FALSE)/1000)*O956*SETTINGS!$C$6,"")</f>
        <v/>
      </c>
      <c r="X956" s="23" t="str">
        <f>IFERROR(O956*VLOOKUP(F956,STAMPANTI_DB!$A:$I,9,FALSE),"")</f>
        <v/>
      </c>
      <c r="Y956" s="23">
        <f>IFERROR(P956*SETTINGS!$C$7,"")</f>
        <v>0</v>
      </c>
      <c r="Z956" s="23">
        <f>SETTINGS!$C$11</f>
        <v>0.5</v>
      </c>
      <c r="AA956" s="23">
        <f t="shared" si="91"/>
        <v>0.5</v>
      </c>
      <c r="AB956" s="23">
        <f>IFERROR(AA956*SETTINGS!$C$9,"")</f>
        <v>2.5000000000000001E-2</v>
      </c>
      <c r="AC956" s="23">
        <f>IFERROR((AA956+AB956)*SETTINGS!$C$10,"")</f>
        <v>2.6250000000000002E-2</v>
      </c>
    </row>
    <row r="957" spans="1:29" ht="16" x14ac:dyDescent="0.2">
      <c r="A957" s="25"/>
      <c r="H957" t="str">
        <f>IFERROR(VLOOKUP(G957,FILAMENTI_DB!$A:$C,3,FALSE),"")</f>
        <v/>
      </c>
      <c r="I957" t="str">
        <f>IFERROR(VLOOKUP(G957,FILAMENTI_DB!$A:$E,4,FALSE),"")</f>
        <v/>
      </c>
      <c r="J957" s="26"/>
      <c r="K957" s="27"/>
      <c r="L957" s="27"/>
      <c r="M957" s="27">
        <f t="shared" si="86"/>
        <v>0</v>
      </c>
      <c r="N957" s="26">
        <f t="shared" si="87"/>
        <v>0</v>
      </c>
      <c r="O957" s="26"/>
      <c r="P957" s="26"/>
      <c r="Q957" s="23"/>
      <c r="R957" s="23">
        <f t="shared" si="88"/>
        <v>0</v>
      </c>
      <c r="S957" s="23"/>
      <c r="T957" s="23">
        <f t="shared" si="89"/>
        <v>0</v>
      </c>
      <c r="U957" s="28" t="str">
        <f t="shared" si="90"/>
        <v/>
      </c>
      <c r="V957" s="10" t="str">
        <f>IFERROR(N957*VLOOKUP(G957,FILAMENTI_DB!$A:$J,10,FALSE),"")</f>
        <v/>
      </c>
      <c r="W957" s="23" t="str">
        <f>IFERROR((VLOOKUP(F957,STAMPANTI_DB!$A:$C,3,FALSE)/1000)*O957*SETTINGS!$C$6,"")</f>
        <v/>
      </c>
      <c r="X957" s="23" t="str">
        <f>IFERROR(O957*VLOOKUP(F957,STAMPANTI_DB!$A:$I,9,FALSE),"")</f>
        <v/>
      </c>
      <c r="Y957" s="23">
        <f>IFERROR(P957*SETTINGS!$C$7,"")</f>
        <v>0</v>
      </c>
      <c r="Z957" s="23">
        <f>SETTINGS!$C$11</f>
        <v>0.5</v>
      </c>
      <c r="AA957" s="23">
        <f t="shared" si="91"/>
        <v>0.5</v>
      </c>
      <c r="AB957" s="23">
        <f>IFERROR(AA957*SETTINGS!$C$9,"")</f>
        <v>2.5000000000000001E-2</v>
      </c>
      <c r="AC957" s="23">
        <f>IFERROR((AA957+AB957)*SETTINGS!$C$10,"")</f>
        <v>2.6250000000000002E-2</v>
      </c>
    </row>
    <row r="958" spans="1:29" ht="16" x14ac:dyDescent="0.2">
      <c r="A958" s="25"/>
      <c r="H958" t="str">
        <f>IFERROR(VLOOKUP(G958,FILAMENTI_DB!$A:$C,3,FALSE),"")</f>
        <v/>
      </c>
      <c r="I958" t="str">
        <f>IFERROR(VLOOKUP(G958,FILAMENTI_DB!$A:$E,4,FALSE),"")</f>
        <v/>
      </c>
      <c r="J958" s="26"/>
      <c r="K958" s="27"/>
      <c r="L958" s="27"/>
      <c r="M958" s="27">
        <f t="shared" si="86"/>
        <v>0</v>
      </c>
      <c r="N958" s="26">
        <f t="shared" si="87"/>
        <v>0</v>
      </c>
      <c r="O958" s="26"/>
      <c r="P958" s="26"/>
      <c r="Q958" s="23"/>
      <c r="R958" s="23">
        <f t="shared" si="88"/>
        <v>0</v>
      </c>
      <c r="S958" s="23"/>
      <c r="T958" s="23">
        <f t="shared" si="89"/>
        <v>0</v>
      </c>
      <c r="U958" s="28" t="str">
        <f t="shared" si="90"/>
        <v/>
      </c>
      <c r="V958" s="10" t="str">
        <f>IFERROR(N958*VLOOKUP(G958,FILAMENTI_DB!$A:$J,10,FALSE),"")</f>
        <v/>
      </c>
      <c r="W958" s="23" t="str">
        <f>IFERROR((VLOOKUP(F958,STAMPANTI_DB!$A:$C,3,FALSE)/1000)*O958*SETTINGS!$C$6,"")</f>
        <v/>
      </c>
      <c r="X958" s="23" t="str">
        <f>IFERROR(O958*VLOOKUP(F958,STAMPANTI_DB!$A:$I,9,FALSE),"")</f>
        <v/>
      </c>
      <c r="Y958" s="23">
        <f>IFERROR(P958*SETTINGS!$C$7,"")</f>
        <v>0</v>
      </c>
      <c r="Z958" s="23">
        <f>SETTINGS!$C$11</f>
        <v>0.5</v>
      </c>
      <c r="AA958" s="23">
        <f t="shared" si="91"/>
        <v>0.5</v>
      </c>
      <c r="AB958" s="23">
        <f>IFERROR(AA958*SETTINGS!$C$9,"")</f>
        <v>2.5000000000000001E-2</v>
      </c>
      <c r="AC958" s="23">
        <f>IFERROR((AA958+AB958)*SETTINGS!$C$10,"")</f>
        <v>2.6250000000000002E-2</v>
      </c>
    </row>
    <row r="959" spans="1:29" ht="16" x14ac:dyDescent="0.2">
      <c r="A959" s="25"/>
      <c r="H959" t="str">
        <f>IFERROR(VLOOKUP(G959,FILAMENTI_DB!$A:$C,3,FALSE),"")</f>
        <v/>
      </c>
      <c r="I959" t="str">
        <f>IFERROR(VLOOKUP(G959,FILAMENTI_DB!$A:$E,4,FALSE),"")</f>
        <v/>
      </c>
      <c r="J959" s="26"/>
      <c r="K959" s="27"/>
      <c r="L959" s="27"/>
      <c r="M959" s="27">
        <f t="shared" si="86"/>
        <v>0</v>
      </c>
      <c r="N959" s="26">
        <f t="shared" si="87"/>
        <v>0</v>
      </c>
      <c r="O959" s="26"/>
      <c r="P959" s="26"/>
      <c r="Q959" s="23"/>
      <c r="R959" s="23">
        <f t="shared" si="88"/>
        <v>0</v>
      </c>
      <c r="S959" s="23"/>
      <c r="T959" s="23">
        <f t="shared" si="89"/>
        <v>0</v>
      </c>
      <c r="U959" s="28" t="str">
        <f t="shared" si="90"/>
        <v/>
      </c>
      <c r="V959" s="10" t="str">
        <f>IFERROR(N959*VLOOKUP(G959,FILAMENTI_DB!$A:$J,10,FALSE),"")</f>
        <v/>
      </c>
      <c r="W959" s="23" t="str">
        <f>IFERROR((VLOOKUP(F959,STAMPANTI_DB!$A:$C,3,FALSE)/1000)*O959*SETTINGS!$C$6,"")</f>
        <v/>
      </c>
      <c r="X959" s="23" t="str">
        <f>IFERROR(O959*VLOOKUP(F959,STAMPANTI_DB!$A:$I,9,FALSE),"")</f>
        <v/>
      </c>
      <c r="Y959" s="23">
        <f>IFERROR(P959*SETTINGS!$C$7,"")</f>
        <v>0</v>
      </c>
      <c r="Z959" s="23">
        <f>SETTINGS!$C$11</f>
        <v>0.5</v>
      </c>
      <c r="AA959" s="23">
        <f t="shared" si="91"/>
        <v>0.5</v>
      </c>
      <c r="AB959" s="23">
        <f>IFERROR(AA959*SETTINGS!$C$9,"")</f>
        <v>2.5000000000000001E-2</v>
      </c>
      <c r="AC959" s="23">
        <f>IFERROR((AA959+AB959)*SETTINGS!$C$10,"")</f>
        <v>2.6250000000000002E-2</v>
      </c>
    </row>
    <row r="960" spans="1:29" ht="16" x14ac:dyDescent="0.2">
      <c r="A960" s="25"/>
      <c r="H960" t="str">
        <f>IFERROR(VLOOKUP(G960,FILAMENTI_DB!$A:$C,3,FALSE),"")</f>
        <v/>
      </c>
      <c r="I960" t="str">
        <f>IFERROR(VLOOKUP(G960,FILAMENTI_DB!$A:$E,4,FALSE),"")</f>
        <v/>
      </c>
      <c r="J960" s="26"/>
      <c r="K960" s="27"/>
      <c r="L960" s="27"/>
      <c r="M960" s="27">
        <f t="shared" si="86"/>
        <v>0</v>
      </c>
      <c r="N960" s="26">
        <f t="shared" si="87"/>
        <v>0</v>
      </c>
      <c r="O960" s="26"/>
      <c r="P960" s="26"/>
      <c r="Q960" s="23"/>
      <c r="R960" s="23">
        <f t="shared" si="88"/>
        <v>0</v>
      </c>
      <c r="S960" s="23"/>
      <c r="T960" s="23">
        <f t="shared" si="89"/>
        <v>0</v>
      </c>
      <c r="U960" s="28" t="str">
        <f t="shared" si="90"/>
        <v/>
      </c>
      <c r="V960" s="10" t="str">
        <f>IFERROR(N960*VLOOKUP(G960,FILAMENTI_DB!$A:$J,10,FALSE),"")</f>
        <v/>
      </c>
      <c r="W960" s="23" t="str">
        <f>IFERROR((VLOOKUP(F960,STAMPANTI_DB!$A:$C,3,FALSE)/1000)*O960*SETTINGS!$C$6,"")</f>
        <v/>
      </c>
      <c r="X960" s="23" t="str">
        <f>IFERROR(O960*VLOOKUP(F960,STAMPANTI_DB!$A:$I,9,FALSE),"")</f>
        <v/>
      </c>
      <c r="Y960" s="23">
        <f>IFERROR(P960*SETTINGS!$C$7,"")</f>
        <v>0</v>
      </c>
      <c r="Z960" s="23">
        <f>SETTINGS!$C$11</f>
        <v>0.5</v>
      </c>
      <c r="AA960" s="23">
        <f t="shared" si="91"/>
        <v>0.5</v>
      </c>
      <c r="AB960" s="23">
        <f>IFERROR(AA960*SETTINGS!$C$9,"")</f>
        <v>2.5000000000000001E-2</v>
      </c>
      <c r="AC960" s="23">
        <f>IFERROR((AA960+AB960)*SETTINGS!$C$10,"")</f>
        <v>2.6250000000000002E-2</v>
      </c>
    </row>
    <row r="961" spans="1:29" ht="16" x14ac:dyDescent="0.2">
      <c r="A961" s="25"/>
      <c r="H961" t="str">
        <f>IFERROR(VLOOKUP(G961,FILAMENTI_DB!$A:$C,3,FALSE),"")</f>
        <v/>
      </c>
      <c r="I961" t="str">
        <f>IFERROR(VLOOKUP(G961,FILAMENTI_DB!$A:$E,4,FALSE),"")</f>
        <v/>
      </c>
      <c r="J961" s="26"/>
      <c r="K961" s="27"/>
      <c r="L961" s="27"/>
      <c r="M961" s="27">
        <f t="shared" si="86"/>
        <v>0</v>
      </c>
      <c r="N961" s="26">
        <f t="shared" si="87"/>
        <v>0</v>
      </c>
      <c r="O961" s="26"/>
      <c r="P961" s="26"/>
      <c r="Q961" s="23"/>
      <c r="R961" s="23">
        <f t="shared" si="88"/>
        <v>0</v>
      </c>
      <c r="S961" s="23"/>
      <c r="T961" s="23">
        <f t="shared" si="89"/>
        <v>0</v>
      </c>
      <c r="U961" s="28" t="str">
        <f t="shared" si="90"/>
        <v/>
      </c>
      <c r="V961" s="10" t="str">
        <f>IFERROR(N961*VLOOKUP(G961,FILAMENTI_DB!$A:$J,10,FALSE),"")</f>
        <v/>
      </c>
      <c r="W961" s="23" t="str">
        <f>IFERROR((VLOOKUP(F961,STAMPANTI_DB!$A:$C,3,FALSE)/1000)*O961*SETTINGS!$C$6,"")</f>
        <v/>
      </c>
      <c r="X961" s="23" t="str">
        <f>IFERROR(O961*VLOOKUP(F961,STAMPANTI_DB!$A:$I,9,FALSE),"")</f>
        <v/>
      </c>
      <c r="Y961" s="23">
        <f>IFERROR(P961*SETTINGS!$C$7,"")</f>
        <v>0</v>
      </c>
      <c r="Z961" s="23">
        <f>SETTINGS!$C$11</f>
        <v>0.5</v>
      </c>
      <c r="AA961" s="23">
        <f t="shared" si="91"/>
        <v>0.5</v>
      </c>
      <c r="AB961" s="23">
        <f>IFERROR(AA961*SETTINGS!$C$9,"")</f>
        <v>2.5000000000000001E-2</v>
      </c>
      <c r="AC961" s="23">
        <f>IFERROR((AA961+AB961)*SETTINGS!$C$10,"")</f>
        <v>2.6250000000000002E-2</v>
      </c>
    </row>
    <row r="962" spans="1:29" ht="16" x14ac:dyDescent="0.2">
      <c r="A962" s="25"/>
      <c r="H962" t="str">
        <f>IFERROR(VLOOKUP(G962,FILAMENTI_DB!$A:$C,3,FALSE),"")</f>
        <v/>
      </c>
      <c r="I962" t="str">
        <f>IFERROR(VLOOKUP(G962,FILAMENTI_DB!$A:$E,4,FALSE),"")</f>
        <v/>
      </c>
      <c r="J962" s="26"/>
      <c r="K962" s="27"/>
      <c r="L962" s="27"/>
      <c r="M962" s="27">
        <f t="shared" si="86"/>
        <v>0</v>
      </c>
      <c r="N962" s="26">
        <f t="shared" si="87"/>
        <v>0</v>
      </c>
      <c r="O962" s="26"/>
      <c r="P962" s="26"/>
      <c r="Q962" s="23"/>
      <c r="R962" s="23">
        <f t="shared" si="88"/>
        <v>0</v>
      </c>
      <c r="S962" s="23"/>
      <c r="T962" s="23">
        <f t="shared" si="89"/>
        <v>0</v>
      </c>
      <c r="U962" s="28" t="str">
        <f t="shared" si="90"/>
        <v/>
      </c>
      <c r="V962" s="10" t="str">
        <f>IFERROR(N962*VLOOKUP(G962,FILAMENTI_DB!$A:$J,10,FALSE),"")</f>
        <v/>
      </c>
      <c r="W962" s="23" t="str">
        <f>IFERROR((VLOOKUP(F962,STAMPANTI_DB!$A:$C,3,FALSE)/1000)*O962*SETTINGS!$C$6,"")</f>
        <v/>
      </c>
      <c r="X962" s="23" t="str">
        <f>IFERROR(O962*VLOOKUP(F962,STAMPANTI_DB!$A:$I,9,FALSE),"")</f>
        <v/>
      </c>
      <c r="Y962" s="23">
        <f>IFERROR(P962*SETTINGS!$C$7,"")</f>
        <v>0</v>
      </c>
      <c r="Z962" s="23">
        <f>SETTINGS!$C$11</f>
        <v>0.5</v>
      </c>
      <c r="AA962" s="23">
        <f t="shared" si="91"/>
        <v>0.5</v>
      </c>
      <c r="AB962" s="23">
        <f>IFERROR(AA962*SETTINGS!$C$9,"")</f>
        <v>2.5000000000000001E-2</v>
      </c>
      <c r="AC962" s="23">
        <f>IFERROR((AA962+AB962)*SETTINGS!$C$10,"")</f>
        <v>2.6250000000000002E-2</v>
      </c>
    </row>
    <row r="963" spans="1:29" ht="16" x14ac:dyDescent="0.2">
      <c r="A963" s="25"/>
      <c r="H963" t="str">
        <f>IFERROR(VLOOKUP(G963,FILAMENTI_DB!$A:$C,3,FALSE),"")</f>
        <v/>
      </c>
      <c r="I963" t="str">
        <f>IFERROR(VLOOKUP(G963,FILAMENTI_DB!$A:$E,4,FALSE),"")</f>
        <v/>
      </c>
      <c r="J963" s="26"/>
      <c r="K963" s="27"/>
      <c r="L963" s="27"/>
      <c r="M963" s="27">
        <f t="shared" si="86"/>
        <v>0</v>
      </c>
      <c r="N963" s="26">
        <f t="shared" si="87"/>
        <v>0</v>
      </c>
      <c r="O963" s="26"/>
      <c r="P963" s="26"/>
      <c r="Q963" s="23"/>
      <c r="R963" s="23">
        <f t="shared" si="88"/>
        <v>0</v>
      </c>
      <c r="S963" s="23"/>
      <c r="T963" s="23">
        <f t="shared" si="89"/>
        <v>0</v>
      </c>
      <c r="U963" s="28" t="str">
        <f t="shared" si="90"/>
        <v/>
      </c>
      <c r="V963" s="10" t="str">
        <f>IFERROR(N963*VLOOKUP(G963,FILAMENTI_DB!$A:$J,10,FALSE),"")</f>
        <v/>
      </c>
      <c r="W963" s="23" t="str">
        <f>IFERROR((VLOOKUP(F963,STAMPANTI_DB!$A:$C,3,FALSE)/1000)*O963*SETTINGS!$C$6,"")</f>
        <v/>
      </c>
      <c r="X963" s="23" t="str">
        <f>IFERROR(O963*VLOOKUP(F963,STAMPANTI_DB!$A:$I,9,FALSE),"")</f>
        <v/>
      </c>
      <c r="Y963" s="23">
        <f>IFERROR(P963*SETTINGS!$C$7,"")</f>
        <v>0</v>
      </c>
      <c r="Z963" s="23">
        <f>SETTINGS!$C$11</f>
        <v>0.5</v>
      </c>
      <c r="AA963" s="23">
        <f t="shared" si="91"/>
        <v>0.5</v>
      </c>
      <c r="AB963" s="23">
        <f>IFERROR(AA963*SETTINGS!$C$9,"")</f>
        <v>2.5000000000000001E-2</v>
      </c>
      <c r="AC963" s="23">
        <f>IFERROR((AA963+AB963)*SETTINGS!$C$10,"")</f>
        <v>2.6250000000000002E-2</v>
      </c>
    </row>
    <row r="964" spans="1:29" ht="16" x14ac:dyDescent="0.2">
      <c r="A964" s="25"/>
      <c r="H964" t="str">
        <f>IFERROR(VLOOKUP(G964,FILAMENTI_DB!$A:$C,3,FALSE),"")</f>
        <v/>
      </c>
      <c r="I964" t="str">
        <f>IFERROR(VLOOKUP(G964,FILAMENTI_DB!$A:$E,4,FALSE),"")</f>
        <v/>
      </c>
      <c r="J964" s="26"/>
      <c r="K964" s="27"/>
      <c r="L964" s="27"/>
      <c r="M964" s="27">
        <f t="shared" si="86"/>
        <v>0</v>
      </c>
      <c r="N964" s="26">
        <f t="shared" si="87"/>
        <v>0</v>
      </c>
      <c r="O964" s="26"/>
      <c r="P964" s="26"/>
      <c r="Q964" s="23"/>
      <c r="R964" s="23">
        <f t="shared" si="88"/>
        <v>0</v>
      </c>
      <c r="S964" s="23"/>
      <c r="T964" s="23">
        <f t="shared" si="89"/>
        <v>0</v>
      </c>
      <c r="U964" s="28" t="str">
        <f t="shared" si="90"/>
        <v/>
      </c>
      <c r="V964" s="10" t="str">
        <f>IFERROR(N964*VLOOKUP(G964,FILAMENTI_DB!$A:$J,10,FALSE),"")</f>
        <v/>
      </c>
      <c r="W964" s="23" t="str">
        <f>IFERROR((VLOOKUP(F964,STAMPANTI_DB!$A:$C,3,FALSE)/1000)*O964*SETTINGS!$C$6,"")</f>
        <v/>
      </c>
      <c r="X964" s="23" t="str">
        <f>IFERROR(O964*VLOOKUP(F964,STAMPANTI_DB!$A:$I,9,FALSE),"")</f>
        <v/>
      </c>
      <c r="Y964" s="23">
        <f>IFERROR(P964*SETTINGS!$C$7,"")</f>
        <v>0</v>
      </c>
      <c r="Z964" s="23">
        <f>SETTINGS!$C$11</f>
        <v>0.5</v>
      </c>
      <c r="AA964" s="23">
        <f t="shared" si="91"/>
        <v>0.5</v>
      </c>
      <c r="AB964" s="23">
        <f>IFERROR(AA964*SETTINGS!$C$9,"")</f>
        <v>2.5000000000000001E-2</v>
      </c>
      <c r="AC964" s="23">
        <f>IFERROR((AA964+AB964)*SETTINGS!$C$10,"")</f>
        <v>2.6250000000000002E-2</v>
      </c>
    </row>
    <row r="965" spans="1:29" ht="16" x14ac:dyDescent="0.2">
      <c r="A965" s="25"/>
      <c r="H965" t="str">
        <f>IFERROR(VLOOKUP(G965,FILAMENTI_DB!$A:$C,3,FALSE),"")</f>
        <v/>
      </c>
      <c r="I965" t="str">
        <f>IFERROR(VLOOKUP(G965,FILAMENTI_DB!$A:$E,4,FALSE),"")</f>
        <v/>
      </c>
      <c r="J965" s="26"/>
      <c r="K965" s="27"/>
      <c r="L965" s="27"/>
      <c r="M965" s="27">
        <f t="shared" ref="M965:M999" si="92">IFERROR(K965+L965,"")</f>
        <v>0</v>
      </c>
      <c r="N965" s="26">
        <f t="shared" ref="N965:N999" si="93">IFERROR(J965*M965,"")</f>
        <v>0</v>
      </c>
      <c r="O965" s="26"/>
      <c r="P965" s="26"/>
      <c r="Q965" s="23"/>
      <c r="R965" s="23">
        <f t="shared" ref="R965:R999" si="94">IFERROR(Q965*K965,"")</f>
        <v>0</v>
      </c>
      <c r="S965" s="23"/>
      <c r="T965" s="23">
        <f t="shared" ref="T965:T999" si="95">IFERROR(R965-S965,"")</f>
        <v>0</v>
      </c>
      <c r="U965" s="28" t="str">
        <f t="shared" ref="U965:U999" si="96">IFERROR(T965/R965,"")</f>
        <v/>
      </c>
      <c r="V965" s="10" t="str">
        <f>IFERROR(N965*VLOOKUP(G965,FILAMENTI_DB!$A:$J,10,FALSE),"")</f>
        <v/>
      </c>
      <c r="W965" s="23" t="str">
        <f>IFERROR((VLOOKUP(F965,STAMPANTI_DB!$A:$C,3,FALSE)/1000)*O965*SETTINGS!$C$6,"")</f>
        <v/>
      </c>
      <c r="X965" s="23" t="str">
        <f>IFERROR(O965*VLOOKUP(F965,STAMPANTI_DB!$A:$I,9,FALSE),"")</f>
        <v/>
      </c>
      <c r="Y965" s="23">
        <f>IFERROR(P965*SETTINGS!$C$7,"")</f>
        <v>0</v>
      </c>
      <c r="Z965" s="23">
        <f>SETTINGS!$C$11</f>
        <v>0.5</v>
      </c>
      <c r="AA965" s="23">
        <f t="shared" ref="AA965:AA999" si="97">IFERROR(SUM(V965:Z965),"")</f>
        <v>0.5</v>
      </c>
      <c r="AB965" s="23">
        <f>IFERROR(AA965*SETTINGS!$C$9,"")</f>
        <v>2.5000000000000001E-2</v>
      </c>
      <c r="AC965" s="23">
        <f>IFERROR((AA965+AB965)*SETTINGS!$C$10,"")</f>
        <v>2.6250000000000002E-2</v>
      </c>
    </row>
    <row r="966" spans="1:29" ht="16" x14ac:dyDescent="0.2">
      <c r="A966" s="25"/>
      <c r="H966" t="str">
        <f>IFERROR(VLOOKUP(G966,FILAMENTI_DB!$A:$C,3,FALSE),"")</f>
        <v/>
      </c>
      <c r="I966" t="str">
        <f>IFERROR(VLOOKUP(G966,FILAMENTI_DB!$A:$E,4,FALSE),"")</f>
        <v/>
      </c>
      <c r="J966" s="26"/>
      <c r="K966" s="27"/>
      <c r="L966" s="27"/>
      <c r="M966" s="27">
        <f t="shared" si="92"/>
        <v>0</v>
      </c>
      <c r="N966" s="26">
        <f t="shared" si="93"/>
        <v>0</v>
      </c>
      <c r="O966" s="26"/>
      <c r="P966" s="26"/>
      <c r="Q966" s="23"/>
      <c r="R966" s="23">
        <f t="shared" si="94"/>
        <v>0</v>
      </c>
      <c r="S966" s="23"/>
      <c r="T966" s="23">
        <f t="shared" si="95"/>
        <v>0</v>
      </c>
      <c r="U966" s="28" t="str">
        <f t="shared" si="96"/>
        <v/>
      </c>
      <c r="V966" s="10" t="str">
        <f>IFERROR(N966*VLOOKUP(G966,FILAMENTI_DB!$A:$J,10,FALSE),"")</f>
        <v/>
      </c>
      <c r="W966" s="23" t="str">
        <f>IFERROR((VLOOKUP(F966,STAMPANTI_DB!$A:$C,3,FALSE)/1000)*O966*SETTINGS!$C$6,"")</f>
        <v/>
      </c>
      <c r="X966" s="23" t="str">
        <f>IFERROR(O966*VLOOKUP(F966,STAMPANTI_DB!$A:$I,9,FALSE),"")</f>
        <v/>
      </c>
      <c r="Y966" s="23">
        <f>IFERROR(P966*SETTINGS!$C$7,"")</f>
        <v>0</v>
      </c>
      <c r="Z966" s="23">
        <f>SETTINGS!$C$11</f>
        <v>0.5</v>
      </c>
      <c r="AA966" s="23">
        <f t="shared" si="97"/>
        <v>0.5</v>
      </c>
      <c r="AB966" s="23">
        <f>IFERROR(AA966*SETTINGS!$C$9,"")</f>
        <v>2.5000000000000001E-2</v>
      </c>
      <c r="AC966" s="23">
        <f>IFERROR((AA966+AB966)*SETTINGS!$C$10,"")</f>
        <v>2.6250000000000002E-2</v>
      </c>
    </row>
    <row r="967" spans="1:29" ht="16" x14ac:dyDescent="0.2">
      <c r="A967" s="25"/>
      <c r="H967" t="str">
        <f>IFERROR(VLOOKUP(G967,FILAMENTI_DB!$A:$C,3,FALSE),"")</f>
        <v/>
      </c>
      <c r="I967" t="str">
        <f>IFERROR(VLOOKUP(G967,FILAMENTI_DB!$A:$E,4,FALSE),"")</f>
        <v/>
      </c>
      <c r="J967" s="26"/>
      <c r="K967" s="27"/>
      <c r="L967" s="27"/>
      <c r="M967" s="27">
        <f t="shared" si="92"/>
        <v>0</v>
      </c>
      <c r="N967" s="26">
        <f t="shared" si="93"/>
        <v>0</v>
      </c>
      <c r="O967" s="26"/>
      <c r="P967" s="26"/>
      <c r="Q967" s="23"/>
      <c r="R967" s="23">
        <f t="shared" si="94"/>
        <v>0</v>
      </c>
      <c r="S967" s="23"/>
      <c r="T967" s="23">
        <f t="shared" si="95"/>
        <v>0</v>
      </c>
      <c r="U967" s="28" t="str">
        <f t="shared" si="96"/>
        <v/>
      </c>
      <c r="V967" s="10" t="str">
        <f>IFERROR(N967*VLOOKUP(G967,FILAMENTI_DB!$A:$J,10,FALSE),"")</f>
        <v/>
      </c>
      <c r="W967" s="23" t="str">
        <f>IFERROR((VLOOKUP(F967,STAMPANTI_DB!$A:$C,3,FALSE)/1000)*O967*SETTINGS!$C$6,"")</f>
        <v/>
      </c>
      <c r="X967" s="23" t="str">
        <f>IFERROR(O967*VLOOKUP(F967,STAMPANTI_DB!$A:$I,9,FALSE),"")</f>
        <v/>
      </c>
      <c r="Y967" s="23">
        <f>IFERROR(P967*SETTINGS!$C$7,"")</f>
        <v>0</v>
      </c>
      <c r="Z967" s="23">
        <f>SETTINGS!$C$11</f>
        <v>0.5</v>
      </c>
      <c r="AA967" s="23">
        <f t="shared" si="97"/>
        <v>0.5</v>
      </c>
      <c r="AB967" s="23">
        <f>IFERROR(AA967*SETTINGS!$C$9,"")</f>
        <v>2.5000000000000001E-2</v>
      </c>
      <c r="AC967" s="23">
        <f>IFERROR((AA967+AB967)*SETTINGS!$C$10,"")</f>
        <v>2.6250000000000002E-2</v>
      </c>
    </row>
    <row r="968" spans="1:29" ht="16" x14ac:dyDescent="0.2">
      <c r="A968" s="25"/>
      <c r="H968" t="str">
        <f>IFERROR(VLOOKUP(G968,FILAMENTI_DB!$A:$C,3,FALSE),"")</f>
        <v/>
      </c>
      <c r="I968" t="str">
        <f>IFERROR(VLOOKUP(G968,FILAMENTI_DB!$A:$E,4,FALSE),"")</f>
        <v/>
      </c>
      <c r="J968" s="26"/>
      <c r="K968" s="27"/>
      <c r="L968" s="27"/>
      <c r="M968" s="27">
        <f t="shared" si="92"/>
        <v>0</v>
      </c>
      <c r="N968" s="26">
        <f t="shared" si="93"/>
        <v>0</v>
      </c>
      <c r="O968" s="26"/>
      <c r="P968" s="26"/>
      <c r="Q968" s="23"/>
      <c r="R968" s="23">
        <f t="shared" si="94"/>
        <v>0</v>
      </c>
      <c r="S968" s="23"/>
      <c r="T968" s="23">
        <f t="shared" si="95"/>
        <v>0</v>
      </c>
      <c r="U968" s="28" t="str">
        <f t="shared" si="96"/>
        <v/>
      </c>
      <c r="V968" s="10" t="str">
        <f>IFERROR(N968*VLOOKUP(G968,FILAMENTI_DB!$A:$J,10,FALSE),"")</f>
        <v/>
      </c>
      <c r="W968" s="23" t="str">
        <f>IFERROR((VLOOKUP(F968,STAMPANTI_DB!$A:$C,3,FALSE)/1000)*O968*SETTINGS!$C$6,"")</f>
        <v/>
      </c>
      <c r="X968" s="23" t="str">
        <f>IFERROR(O968*VLOOKUP(F968,STAMPANTI_DB!$A:$I,9,FALSE),"")</f>
        <v/>
      </c>
      <c r="Y968" s="23">
        <f>IFERROR(P968*SETTINGS!$C$7,"")</f>
        <v>0</v>
      </c>
      <c r="Z968" s="23">
        <f>SETTINGS!$C$11</f>
        <v>0.5</v>
      </c>
      <c r="AA968" s="23">
        <f t="shared" si="97"/>
        <v>0.5</v>
      </c>
      <c r="AB968" s="23">
        <f>IFERROR(AA968*SETTINGS!$C$9,"")</f>
        <v>2.5000000000000001E-2</v>
      </c>
      <c r="AC968" s="23">
        <f>IFERROR((AA968+AB968)*SETTINGS!$C$10,"")</f>
        <v>2.6250000000000002E-2</v>
      </c>
    </row>
    <row r="969" spans="1:29" ht="16" x14ac:dyDescent="0.2">
      <c r="A969" s="25"/>
      <c r="H969" t="str">
        <f>IFERROR(VLOOKUP(G969,FILAMENTI_DB!$A:$C,3,FALSE),"")</f>
        <v/>
      </c>
      <c r="I969" t="str">
        <f>IFERROR(VLOOKUP(G969,FILAMENTI_DB!$A:$E,4,FALSE),"")</f>
        <v/>
      </c>
      <c r="J969" s="26"/>
      <c r="K969" s="27"/>
      <c r="L969" s="27"/>
      <c r="M969" s="27">
        <f t="shared" si="92"/>
        <v>0</v>
      </c>
      <c r="N969" s="26">
        <f t="shared" si="93"/>
        <v>0</v>
      </c>
      <c r="O969" s="26"/>
      <c r="P969" s="26"/>
      <c r="Q969" s="23"/>
      <c r="R969" s="23">
        <f t="shared" si="94"/>
        <v>0</v>
      </c>
      <c r="S969" s="23"/>
      <c r="T969" s="23">
        <f t="shared" si="95"/>
        <v>0</v>
      </c>
      <c r="U969" s="28" t="str">
        <f t="shared" si="96"/>
        <v/>
      </c>
      <c r="V969" s="10" t="str">
        <f>IFERROR(N969*VLOOKUP(G969,FILAMENTI_DB!$A:$J,10,FALSE),"")</f>
        <v/>
      </c>
      <c r="W969" s="23" t="str">
        <f>IFERROR((VLOOKUP(F969,STAMPANTI_DB!$A:$C,3,FALSE)/1000)*O969*SETTINGS!$C$6,"")</f>
        <v/>
      </c>
      <c r="X969" s="23" t="str">
        <f>IFERROR(O969*VLOOKUP(F969,STAMPANTI_DB!$A:$I,9,FALSE),"")</f>
        <v/>
      </c>
      <c r="Y969" s="23">
        <f>IFERROR(P969*SETTINGS!$C$7,"")</f>
        <v>0</v>
      </c>
      <c r="Z969" s="23">
        <f>SETTINGS!$C$11</f>
        <v>0.5</v>
      </c>
      <c r="AA969" s="23">
        <f t="shared" si="97"/>
        <v>0.5</v>
      </c>
      <c r="AB969" s="23">
        <f>IFERROR(AA969*SETTINGS!$C$9,"")</f>
        <v>2.5000000000000001E-2</v>
      </c>
      <c r="AC969" s="23">
        <f>IFERROR((AA969+AB969)*SETTINGS!$C$10,"")</f>
        <v>2.6250000000000002E-2</v>
      </c>
    </row>
    <row r="970" spans="1:29" ht="16" x14ac:dyDescent="0.2">
      <c r="A970" s="25"/>
      <c r="H970" t="str">
        <f>IFERROR(VLOOKUP(G970,FILAMENTI_DB!$A:$C,3,FALSE),"")</f>
        <v/>
      </c>
      <c r="I970" t="str">
        <f>IFERROR(VLOOKUP(G970,FILAMENTI_DB!$A:$E,4,FALSE),"")</f>
        <v/>
      </c>
      <c r="J970" s="26"/>
      <c r="K970" s="27"/>
      <c r="L970" s="27"/>
      <c r="M970" s="27">
        <f t="shared" si="92"/>
        <v>0</v>
      </c>
      <c r="N970" s="26">
        <f t="shared" si="93"/>
        <v>0</v>
      </c>
      <c r="O970" s="26"/>
      <c r="P970" s="26"/>
      <c r="Q970" s="23"/>
      <c r="R970" s="23">
        <f t="shared" si="94"/>
        <v>0</v>
      </c>
      <c r="S970" s="23"/>
      <c r="T970" s="23">
        <f t="shared" si="95"/>
        <v>0</v>
      </c>
      <c r="U970" s="28" t="str">
        <f t="shared" si="96"/>
        <v/>
      </c>
      <c r="V970" s="10" t="str">
        <f>IFERROR(N970*VLOOKUP(G970,FILAMENTI_DB!$A:$J,10,FALSE),"")</f>
        <v/>
      </c>
      <c r="W970" s="23" t="str">
        <f>IFERROR((VLOOKUP(F970,STAMPANTI_DB!$A:$C,3,FALSE)/1000)*O970*SETTINGS!$C$6,"")</f>
        <v/>
      </c>
      <c r="X970" s="23" t="str">
        <f>IFERROR(O970*VLOOKUP(F970,STAMPANTI_DB!$A:$I,9,FALSE),"")</f>
        <v/>
      </c>
      <c r="Y970" s="23">
        <f>IFERROR(P970*SETTINGS!$C$7,"")</f>
        <v>0</v>
      </c>
      <c r="Z970" s="23">
        <f>SETTINGS!$C$11</f>
        <v>0.5</v>
      </c>
      <c r="AA970" s="23">
        <f t="shared" si="97"/>
        <v>0.5</v>
      </c>
      <c r="AB970" s="23">
        <f>IFERROR(AA970*SETTINGS!$C$9,"")</f>
        <v>2.5000000000000001E-2</v>
      </c>
      <c r="AC970" s="23">
        <f>IFERROR((AA970+AB970)*SETTINGS!$C$10,"")</f>
        <v>2.6250000000000002E-2</v>
      </c>
    </row>
    <row r="971" spans="1:29" ht="16" x14ac:dyDescent="0.2">
      <c r="A971" s="25"/>
      <c r="H971" t="str">
        <f>IFERROR(VLOOKUP(G971,FILAMENTI_DB!$A:$C,3,FALSE),"")</f>
        <v/>
      </c>
      <c r="I971" t="str">
        <f>IFERROR(VLOOKUP(G971,FILAMENTI_DB!$A:$E,4,FALSE),"")</f>
        <v/>
      </c>
      <c r="J971" s="26"/>
      <c r="K971" s="27"/>
      <c r="L971" s="27"/>
      <c r="M971" s="27">
        <f t="shared" si="92"/>
        <v>0</v>
      </c>
      <c r="N971" s="26">
        <f t="shared" si="93"/>
        <v>0</v>
      </c>
      <c r="O971" s="26"/>
      <c r="P971" s="26"/>
      <c r="Q971" s="23"/>
      <c r="R971" s="23">
        <f t="shared" si="94"/>
        <v>0</v>
      </c>
      <c r="S971" s="23"/>
      <c r="T971" s="23">
        <f t="shared" si="95"/>
        <v>0</v>
      </c>
      <c r="U971" s="28" t="str">
        <f t="shared" si="96"/>
        <v/>
      </c>
      <c r="V971" s="10" t="str">
        <f>IFERROR(N971*VLOOKUP(G971,FILAMENTI_DB!$A:$J,10,FALSE),"")</f>
        <v/>
      </c>
      <c r="W971" s="23" t="str">
        <f>IFERROR((VLOOKUP(F971,STAMPANTI_DB!$A:$C,3,FALSE)/1000)*O971*SETTINGS!$C$6,"")</f>
        <v/>
      </c>
      <c r="X971" s="23" t="str">
        <f>IFERROR(O971*VLOOKUP(F971,STAMPANTI_DB!$A:$I,9,FALSE),"")</f>
        <v/>
      </c>
      <c r="Y971" s="23">
        <f>IFERROR(P971*SETTINGS!$C$7,"")</f>
        <v>0</v>
      </c>
      <c r="Z971" s="23">
        <f>SETTINGS!$C$11</f>
        <v>0.5</v>
      </c>
      <c r="AA971" s="23">
        <f t="shared" si="97"/>
        <v>0.5</v>
      </c>
      <c r="AB971" s="23">
        <f>IFERROR(AA971*SETTINGS!$C$9,"")</f>
        <v>2.5000000000000001E-2</v>
      </c>
      <c r="AC971" s="23">
        <f>IFERROR((AA971+AB971)*SETTINGS!$C$10,"")</f>
        <v>2.6250000000000002E-2</v>
      </c>
    </row>
    <row r="972" spans="1:29" ht="16" x14ac:dyDescent="0.2">
      <c r="A972" s="25"/>
      <c r="H972" t="str">
        <f>IFERROR(VLOOKUP(G972,FILAMENTI_DB!$A:$C,3,FALSE),"")</f>
        <v/>
      </c>
      <c r="I972" t="str">
        <f>IFERROR(VLOOKUP(G972,FILAMENTI_DB!$A:$E,4,FALSE),"")</f>
        <v/>
      </c>
      <c r="J972" s="26"/>
      <c r="K972" s="27"/>
      <c r="L972" s="27"/>
      <c r="M972" s="27">
        <f t="shared" si="92"/>
        <v>0</v>
      </c>
      <c r="N972" s="26">
        <f t="shared" si="93"/>
        <v>0</v>
      </c>
      <c r="O972" s="26"/>
      <c r="P972" s="26"/>
      <c r="Q972" s="23"/>
      <c r="R972" s="23">
        <f t="shared" si="94"/>
        <v>0</v>
      </c>
      <c r="S972" s="23"/>
      <c r="T972" s="23">
        <f t="shared" si="95"/>
        <v>0</v>
      </c>
      <c r="U972" s="28" t="str">
        <f t="shared" si="96"/>
        <v/>
      </c>
      <c r="V972" s="10" t="str">
        <f>IFERROR(N972*VLOOKUP(G972,FILAMENTI_DB!$A:$J,10,FALSE),"")</f>
        <v/>
      </c>
      <c r="W972" s="23" t="str">
        <f>IFERROR((VLOOKUP(F972,STAMPANTI_DB!$A:$C,3,FALSE)/1000)*O972*SETTINGS!$C$6,"")</f>
        <v/>
      </c>
      <c r="X972" s="23" t="str">
        <f>IFERROR(O972*VLOOKUP(F972,STAMPANTI_DB!$A:$I,9,FALSE),"")</f>
        <v/>
      </c>
      <c r="Y972" s="23">
        <f>IFERROR(P972*SETTINGS!$C$7,"")</f>
        <v>0</v>
      </c>
      <c r="Z972" s="23">
        <f>SETTINGS!$C$11</f>
        <v>0.5</v>
      </c>
      <c r="AA972" s="23">
        <f t="shared" si="97"/>
        <v>0.5</v>
      </c>
      <c r="AB972" s="23">
        <f>IFERROR(AA972*SETTINGS!$C$9,"")</f>
        <v>2.5000000000000001E-2</v>
      </c>
      <c r="AC972" s="23">
        <f>IFERROR((AA972+AB972)*SETTINGS!$C$10,"")</f>
        <v>2.6250000000000002E-2</v>
      </c>
    </row>
    <row r="973" spans="1:29" ht="16" x14ac:dyDescent="0.2">
      <c r="A973" s="25"/>
      <c r="H973" t="str">
        <f>IFERROR(VLOOKUP(G973,FILAMENTI_DB!$A:$C,3,FALSE),"")</f>
        <v/>
      </c>
      <c r="I973" t="str">
        <f>IFERROR(VLOOKUP(G973,FILAMENTI_DB!$A:$E,4,FALSE),"")</f>
        <v/>
      </c>
      <c r="J973" s="26"/>
      <c r="K973" s="27"/>
      <c r="L973" s="27"/>
      <c r="M973" s="27">
        <f t="shared" si="92"/>
        <v>0</v>
      </c>
      <c r="N973" s="26">
        <f t="shared" si="93"/>
        <v>0</v>
      </c>
      <c r="O973" s="26"/>
      <c r="P973" s="26"/>
      <c r="Q973" s="23"/>
      <c r="R973" s="23">
        <f t="shared" si="94"/>
        <v>0</v>
      </c>
      <c r="S973" s="23"/>
      <c r="T973" s="23">
        <f t="shared" si="95"/>
        <v>0</v>
      </c>
      <c r="U973" s="28" t="str">
        <f t="shared" si="96"/>
        <v/>
      </c>
      <c r="V973" s="10" t="str">
        <f>IFERROR(N973*VLOOKUP(G973,FILAMENTI_DB!$A:$J,10,FALSE),"")</f>
        <v/>
      </c>
      <c r="W973" s="23" t="str">
        <f>IFERROR((VLOOKUP(F973,STAMPANTI_DB!$A:$C,3,FALSE)/1000)*O973*SETTINGS!$C$6,"")</f>
        <v/>
      </c>
      <c r="X973" s="23" t="str">
        <f>IFERROR(O973*VLOOKUP(F973,STAMPANTI_DB!$A:$I,9,FALSE),"")</f>
        <v/>
      </c>
      <c r="Y973" s="23">
        <f>IFERROR(P973*SETTINGS!$C$7,"")</f>
        <v>0</v>
      </c>
      <c r="Z973" s="23">
        <f>SETTINGS!$C$11</f>
        <v>0.5</v>
      </c>
      <c r="AA973" s="23">
        <f t="shared" si="97"/>
        <v>0.5</v>
      </c>
      <c r="AB973" s="23">
        <f>IFERROR(AA973*SETTINGS!$C$9,"")</f>
        <v>2.5000000000000001E-2</v>
      </c>
      <c r="AC973" s="23">
        <f>IFERROR((AA973+AB973)*SETTINGS!$C$10,"")</f>
        <v>2.6250000000000002E-2</v>
      </c>
    </row>
    <row r="974" spans="1:29" ht="16" x14ac:dyDescent="0.2">
      <c r="A974" s="25"/>
      <c r="H974" t="str">
        <f>IFERROR(VLOOKUP(G974,FILAMENTI_DB!$A:$C,3,FALSE),"")</f>
        <v/>
      </c>
      <c r="I974" t="str">
        <f>IFERROR(VLOOKUP(G974,FILAMENTI_DB!$A:$E,4,FALSE),"")</f>
        <v/>
      </c>
      <c r="J974" s="26"/>
      <c r="K974" s="27"/>
      <c r="L974" s="27"/>
      <c r="M974" s="27">
        <f t="shared" si="92"/>
        <v>0</v>
      </c>
      <c r="N974" s="26">
        <f t="shared" si="93"/>
        <v>0</v>
      </c>
      <c r="O974" s="26"/>
      <c r="P974" s="26"/>
      <c r="Q974" s="23"/>
      <c r="R974" s="23">
        <f t="shared" si="94"/>
        <v>0</v>
      </c>
      <c r="S974" s="23"/>
      <c r="T974" s="23">
        <f t="shared" si="95"/>
        <v>0</v>
      </c>
      <c r="U974" s="28" t="str">
        <f t="shared" si="96"/>
        <v/>
      </c>
      <c r="V974" s="10" t="str">
        <f>IFERROR(N974*VLOOKUP(G974,FILAMENTI_DB!$A:$J,10,FALSE),"")</f>
        <v/>
      </c>
      <c r="W974" s="23" t="str">
        <f>IFERROR((VLOOKUP(F974,STAMPANTI_DB!$A:$C,3,FALSE)/1000)*O974*SETTINGS!$C$6,"")</f>
        <v/>
      </c>
      <c r="X974" s="23" t="str">
        <f>IFERROR(O974*VLOOKUP(F974,STAMPANTI_DB!$A:$I,9,FALSE),"")</f>
        <v/>
      </c>
      <c r="Y974" s="23">
        <f>IFERROR(P974*SETTINGS!$C$7,"")</f>
        <v>0</v>
      </c>
      <c r="Z974" s="23">
        <f>SETTINGS!$C$11</f>
        <v>0.5</v>
      </c>
      <c r="AA974" s="23">
        <f t="shared" si="97"/>
        <v>0.5</v>
      </c>
      <c r="AB974" s="23">
        <f>IFERROR(AA974*SETTINGS!$C$9,"")</f>
        <v>2.5000000000000001E-2</v>
      </c>
      <c r="AC974" s="23">
        <f>IFERROR((AA974+AB974)*SETTINGS!$C$10,"")</f>
        <v>2.6250000000000002E-2</v>
      </c>
    </row>
    <row r="975" spans="1:29" ht="16" x14ac:dyDescent="0.2">
      <c r="A975" s="25"/>
      <c r="H975" t="str">
        <f>IFERROR(VLOOKUP(G975,FILAMENTI_DB!$A:$C,3,FALSE),"")</f>
        <v/>
      </c>
      <c r="I975" t="str">
        <f>IFERROR(VLOOKUP(G975,FILAMENTI_DB!$A:$E,4,FALSE),"")</f>
        <v/>
      </c>
      <c r="J975" s="26"/>
      <c r="K975" s="27"/>
      <c r="L975" s="27"/>
      <c r="M975" s="27">
        <f t="shared" si="92"/>
        <v>0</v>
      </c>
      <c r="N975" s="26">
        <f t="shared" si="93"/>
        <v>0</v>
      </c>
      <c r="O975" s="26"/>
      <c r="P975" s="26"/>
      <c r="Q975" s="23"/>
      <c r="R975" s="23">
        <f t="shared" si="94"/>
        <v>0</v>
      </c>
      <c r="S975" s="23"/>
      <c r="T975" s="23">
        <f t="shared" si="95"/>
        <v>0</v>
      </c>
      <c r="U975" s="28" t="str">
        <f t="shared" si="96"/>
        <v/>
      </c>
      <c r="V975" s="10" t="str">
        <f>IFERROR(N975*VLOOKUP(G975,FILAMENTI_DB!$A:$J,10,FALSE),"")</f>
        <v/>
      </c>
      <c r="W975" s="23" t="str">
        <f>IFERROR((VLOOKUP(F975,STAMPANTI_DB!$A:$C,3,FALSE)/1000)*O975*SETTINGS!$C$6,"")</f>
        <v/>
      </c>
      <c r="X975" s="23" t="str">
        <f>IFERROR(O975*VLOOKUP(F975,STAMPANTI_DB!$A:$I,9,FALSE),"")</f>
        <v/>
      </c>
      <c r="Y975" s="23">
        <f>IFERROR(P975*SETTINGS!$C$7,"")</f>
        <v>0</v>
      </c>
      <c r="Z975" s="23">
        <f>SETTINGS!$C$11</f>
        <v>0.5</v>
      </c>
      <c r="AA975" s="23">
        <f t="shared" si="97"/>
        <v>0.5</v>
      </c>
      <c r="AB975" s="23">
        <f>IFERROR(AA975*SETTINGS!$C$9,"")</f>
        <v>2.5000000000000001E-2</v>
      </c>
      <c r="AC975" s="23">
        <f>IFERROR((AA975+AB975)*SETTINGS!$C$10,"")</f>
        <v>2.6250000000000002E-2</v>
      </c>
    </row>
    <row r="976" spans="1:29" ht="16" x14ac:dyDescent="0.2">
      <c r="A976" s="25"/>
      <c r="H976" t="str">
        <f>IFERROR(VLOOKUP(G976,FILAMENTI_DB!$A:$C,3,FALSE),"")</f>
        <v/>
      </c>
      <c r="I976" t="str">
        <f>IFERROR(VLOOKUP(G976,FILAMENTI_DB!$A:$E,4,FALSE),"")</f>
        <v/>
      </c>
      <c r="J976" s="26"/>
      <c r="K976" s="27"/>
      <c r="L976" s="27"/>
      <c r="M976" s="27">
        <f t="shared" si="92"/>
        <v>0</v>
      </c>
      <c r="N976" s="26">
        <f t="shared" si="93"/>
        <v>0</v>
      </c>
      <c r="O976" s="26"/>
      <c r="P976" s="26"/>
      <c r="Q976" s="23"/>
      <c r="R976" s="23">
        <f t="shared" si="94"/>
        <v>0</v>
      </c>
      <c r="S976" s="23"/>
      <c r="T976" s="23">
        <f t="shared" si="95"/>
        <v>0</v>
      </c>
      <c r="U976" s="28" t="str">
        <f t="shared" si="96"/>
        <v/>
      </c>
      <c r="V976" s="10" t="str">
        <f>IFERROR(N976*VLOOKUP(G976,FILAMENTI_DB!$A:$J,10,FALSE),"")</f>
        <v/>
      </c>
      <c r="W976" s="23" t="str">
        <f>IFERROR((VLOOKUP(F976,STAMPANTI_DB!$A:$C,3,FALSE)/1000)*O976*SETTINGS!$C$6,"")</f>
        <v/>
      </c>
      <c r="X976" s="23" t="str">
        <f>IFERROR(O976*VLOOKUP(F976,STAMPANTI_DB!$A:$I,9,FALSE),"")</f>
        <v/>
      </c>
      <c r="Y976" s="23">
        <f>IFERROR(P976*SETTINGS!$C$7,"")</f>
        <v>0</v>
      </c>
      <c r="Z976" s="23">
        <f>SETTINGS!$C$11</f>
        <v>0.5</v>
      </c>
      <c r="AA976" s="23">
        <f t="shared" si="97"/>
        <v>0.5</v>
      </c>
      <c r="AB976" s="23">
        <f>IFERROR(AA976*SETTINGS!$C$9,"")</f>
        <v>2.5000000000000001E-2</v>
      </c>
      <c r="AC976" s="23">
        <f>IFERROR((AA976+AB976)*SETTINGS!$C$10,"")</f>
        <v>2.6250000000000002E-2</v>
      </c>
    </row>
    <row r="977" spans="1:29" ht="16" x14ac:dyDescent="0.2">
      <c r="A977" s="25"/>
      <c r="H977" t="str">
        <f>IFERROR(VLOOKUP(G977,FILAMENTI_DB!$A:$C,3,FALSE),"")</f>
        <v/>
      </c>
      <c r="I977" t="str">
        <f>IFERROR(VLOOKUP(G977,FILAMENTI_DB!$A:$E,4,FALSE),"")</f>
        <v/>
      </c>
      <c r="J977" s="26"/>
      <c r="K977" s="27"/>
      <c r="L977" s="27"/>
      <c r="M977" s="27">
        <f t="shared" si="92"/>
        <v>0</v>
      </c>
      <c r="N977" s="26">
        <f t="shared" si="93"/>
        <v>0</v>
      </c>
      <c r="O977" s="26"/>
      <c r="P977" s="26"/>
      <c r="Q977" s="23"/>
      <c r="R977" s="23">
        <f t="shared" si="94"/>
        <v>0</v>
      </c>
      <c r="S977" s="23"/>
      <c r="T977" s="23">
        <f t="shared" si="95"/>
        <v>0</v>
      </c>
      <c r="U977" s="28" t="str">
        <f t="shared" si="96"/>
        <v/>
      </c>
      <c r="V977" s="10" t="str">
        <f>IFERROR(N977*VLOOKUP(G977,FILAMENTI_DB!$A:$J,10,FALSE),"")</f>
        <v/>
      </c>
      <c r="W977" s="23" t="str">
        <f>IFERROR((VLOOKUP(F977,STAMPANTI_DB!$A:$C,3,FALSE)/1000)*O977*SETTINGS!$C$6,"")</f>
        <v/>
      </c>
      <c r="X977" s="23" t="str">
        <f>IFERROR(O977*VLOOKUP(F977,STAMPANTI_DB!$A:$I,9,FALSE),"")</f>
        <v/>
      </c>
      <c r="Y977" s="23">
        <f>IFERROR(P977*SETTINGS!$C$7,"")</f>
        <v>0</v>
      </c>
      <c r="Z977" s="23">
        <f>SETTINGS!$C$11</f>
        <v>0.5</v>
      </c>
      <c r="AA977" s="23">
        <f t="shared" si="97"/>
        <v>0.5</v>
      </c>
      <c r="AB977" s="23">
        <f>IFERROR(AA977*SETTINGS!$C$9,"")</f>
        <v>2.5000000000000001E-2</v>
      </c>
      <c r="AC977" s="23">
        <f>IFERROR((AA977+AB977)*SETTINGS!$C$10,"")</f>
        <v>2.6250000000000002E-2</v>
      </c>
    </row>
    <row r="978" spans="1:29" ht="16" x14ac:dyDescent="0.2">
      <c r="A978" s="25"/>
      <c r="H978" t="str">
        <f>IFERROR(VLOOKUP(G978,FILAMENTI_DB!$A:$C,3,FALSE),"")</f>
        <v/>
      </c>
      <c r="I978" t="str">
        <f>IFERROR(VLOOKUP(G978,FILAMENTI_DB!$A:$E,4,FALSE),"")</f>
        <v/>
      </c>
      <c r="J978" s="26"/>
      <c r="K978" s="27"/>
      <c r="L978" s="27"/>
      <c r="M978" s="27">
        <f t="shared" si="92"/>
        <v>0</v>
      </c>
      <c r="N978" s="26">
        <f t="shared" si="93"/>
        <v>0</v>
      </c>
      <c r="O978" s="26"/>
      <c r="P978" s="26"/>
      <c r="Q978" s="23"/>
      <c r="R978" s="23">
        <f t="shared" si="94"/>
        <v>0</v>
      </c>
      <c r="S978" s="23"/>
      <c r="T978" s="23">
        <f t="shared" si="95"/>
        <v>0</v>
      </c>
      <c r="U978" s="28" t="str">
        <f t="shared" si="96"/>
        <v/>
      </c>
      <c r="V978" s="10" t="str">
        <f>IFERROR(N978*VLOOKUP(G978,FILAMENTI_DB!$A:$J,10,FALSE),"")</f>
        <v/>
      </c>
      <c r="W978" s="23" t="str">
        <f>IFERROR((VLOOKUP(F978,STAMPANTI_DB!$A:$C,3,FALSE)/1000)*O978*SETTINGS!$C$6,"")</f>
        <v/>
      </c>
      <c r="X978" s="23" t="str">
        <f>IFERROR(O978*VLOOKUP(F978,STAMPANTI_DB!$A:$I,9,FALSE),"")</f>
        <v/>
      </c>
      <c r="Y978" s="23">
        <f>IFERROR(P978*SETTINGS!$C$7,"")</f>
        <v>0</v>
      </c>
      <c r="Z978" s="23">
        <f>SETTINGS!$C$11</f>
        <v>0.5</v>
      </c>
      <c r="AA978" s="23">
        <f t="shared" si="97"/>
        <v>0.5</v>
      </c>
      <c r="AB978" s="23">
        <f>IFERROR(AA978*SETTINGS!$C$9,"")</f>
        <v>2.5000000000000001E-2</v>
      </c>
      <c r="AC978" s="23">
        <f>IFERROR((AA978+AB978)*SETTINGS!$C$10,"")</f>
        <v>2.6250000000000002E-2</v>
      </c>
    </row>
    <row r="979" spans="1:29" ht="16" x14ac:dyDescent="0.2">
      <c r="A979" s="25"/>
      <c r="H979" t="str">
        <f>IFERROR(VLOOKUP(G979,FILAMENTI_DB!$A:$C,3,FALSE),"")</f>
        <v/>
      </c>
      <c r="I979" t="str">
        <f>IFERROR(VLOOKUP(G979,FILAMENTI_DB!$A:$E,4,FALSE),"")</f>
        <v/>
      </c>
      <c r="J979" s="26"/>
      <c r="K979" s="27"/>
      <c r="L979" s="27"/>
      <c r="M979" s="27">
        <f t="shared" si="92"/>
        <v>0</v>
      </c>
      <c r="N979" s="26">
        <f t="shared" si="93"/>
        <v>0</v>
      </c>
      <c r="O979" s="26"/>
      <c r="P979" s="26"/>
      <c r="Q979" s="23"/>
      <c r="R979" s="23">
        <f t="shared" si="94"/>
        <v>0</v>
      </c>
      <c r="S979" s="23"/>
      <c r="T979" s="23">
        <f t="shared" si="95"/>
        <v>0</v>
      </c>
      <c r="U979" s="28" t="str">
        <f t="shared" si="96"/>
        <v/>
      </c>
      <c r="V979" s="10" t="str">
        <f>IFERROR(N979*VLOOKUP(G979,FILAMENTI_DB!$A:$J,10,FALSE),"")</f>
        <v/>
      </c>
      <c r="W979" s="23" t="str">
        <f>IFERROR((VLOOKUP(F979,STAMPANTI_DB!$A:$C,3,FALSE)/1000)*O979*SETTINGS!$C$6,"")</f>
        <v/>
      </c>
      <c r="X979" s="23" t="str">
        <f>IFERROR(O979*VLOOKUP(F979,STAMPANTI_DB!$A:$I,9,FALSE),"")</f>
        <v/>
      </c>
      <c r="Y979" s="23">
        <f>IFERROR(P979*SETTINGS!$C$7,"")</f>
        <v>0</v>
      </c>
      <c r="Z979" s="23">
        <f>SETTINGS!$C$11</f>
        <v>0.5</v>
      </c>
      <c r="AA979" s="23">
        <f t="shared" si="97"/>
        <v>0.5</v>
      </c>
      <c r="AB979" s="23">
        <f>IFERROR(AA979*SETTINGS!$C$9,"")</f>
        <v>2.5000000000000001E-2</v>
      </c>
      <c r="AC979" s="23">
        <f>IFERROR((AA979+AB979)*SETTINGS!$C$10,"")</f>
        <v>2.6250000000000002E-2</v>
      </c>
    </row>
    <row r="980" spans="1:29" ht="16" x14ac:dyDescent="0.2">
      <c r="A980" s="25"/>
      <c r="H980" t="str">
        <f>IFERROR(VLOOKUP(G980,FILAMENTI_DB!$A:$C,3,FALSE),"")</f>
        <v/>
      </c>
      <c r="I980" t="str">
        <f>IFERROR(VLOOKUP(G980,FILAMENTI_DB!$A:$E,4,FALSE),"")</f>
        <v/>
      </c>
      <c r="J980" s="26"/>
      <c r="K980" s="27"/>
      <c r="L980" s="27"/>
      <c r="M980" s="27">
        <f t="shared" si="92"/>
        <v>0</v>
      </c>
      <c r="N980" s="26">
        <f t="shared" si="93"/>
        <v>0</v>
      </c>
      <c r="O980" s="26"/>
      <c r="P980" s="26"/>
      <c r="Q980" s="23"/>
      <c r="R980" s="23">
        <f t="shared" si="94"/>
        <v>0</v>
      </c>
      <c r="S980" s="23"/>
      <c r="T980" s="23">
        <f t="shared" si="95"/>
        <v>0</v>
      </c>
      <c r="U980" s="28" t="str">
        <f t="shared" si="96"/>
        <v/>
      </c>
      <c r="V980" s="10" t="str">
        <f>IFERROR(N980*VLOOKUP(G980,FILAMENTI_DB!$A:$J,10,FALSE),"")</f>
        <v/>
      </c>
      <c r="W980" s="23" t="str">
        <f>IFERROR((VLOOKUP(F980,STAMPANTI_DB!$A:$C,3,FALSE)/1000)*O980*SETTINGS!$C$6,"")</f>
        <v/>
      </c>
      <c r="X980" s="23" t="str">
        <f>IFERROR(O980*VLOOKUP(F980,STAMPANTI_DB!$A:$I,9,FALSE),"")</f>
        <v/>
      </c>
      <c r="Y980" s="23">
        <f>IFERROR(P980*SETTINGS!$C$7,"")</f>
        <v>0</v>
      </c>
      <c r="Z980" s="23">
        <f>SETTINGS!$C$11</f>
        <v>0.5</v>
      </c>
      <c r="AA980" s="23">
        <f t="shared" si="97"/>
        <v>0.5</v>
      </c>
      <c r="AB980" s="23">
        <f>IFERROR(AA980*SETTINGS!$C$9,"")</f>
        <v>2.5000000000000001E-2</v>
      </c>
      <c r="AC980" s="23">
        <f>IFERROR((AA980+AB980)*SETTINGS!$C$10,"")</f>
        <v>2.6250000000000002E-2</v>
      </c>
    </row>
    <row r="981" spans="1:29" ht="16" x14ac:dyDescent="0.2">
      <c r="A981" s="25"/>
      <c r="H981" t="str">
        <f>IFERROR(VLOOKUP(G981,FILAMENTI_DB!$A:$C,3,FALSE),"")</f>
        <v/>
      </c>
      <c r="I981" t="str">
        <f>IFERROR(VLOOKUP(G981,FILAMENTI_DB!$A:$E,4,FALSE),"")</f>
        <v/>
      </c>
      <c r="J981" s="26"/>
      <c r="K981" s="27"/>
      <c r="L981" s="27"/>
      <c r="M981" s="27">
        <f t="shared" si="92"/>
        <v>0</v>
      </c>
      <c r="N981" s="26">
        <f t="shared" si="93"/>
        <v>0</v>
      </c>
      <c r="O981" s="26"/>
      <c r="P981" s="26"/>
      <c r="Q981" s="23"/>
      <c r="R981" s="23">
        <f t="shared" si="94"/>
        <v>0</v>
      </c>
      <c r="S981" s="23"/>
      <c r="T981" s="23">
        <f t="shared" si="95"/>
        <v>0</v>
      </c>
      <c r="U981" s="28" t="str">
        <f t="shared" si="96"/>
        <v/>
      </c>
      <c r="V981" s="10" t="str">
        <f>IFERROR(N981*VLOOKUP(G981,FILAMENTI_DB!$A:$J,10,FALSE),"")</f>
        <v/>
      </c>
      <c r="W981" s="23" t="str">
        <f>IFERROR((VLOOKUP(F981,STAMPANTI_DB!$A:$C,3,FALSE)/1000)*O981*SETTINGS!$C$6,"")</f>
        <v/>
      </c>
      <c r="X981" s="23" t="str">
        <f>IFERROR(O981*VLOOKUP(F981,STAMPANTI_DB!$A:$I,9,FALSE),"")</f>
        <v/>
      </c>
      <c r="Y981" s="23">
        <f>IFERROR(P981*SETTINGS!$C$7,"")</f>
        <v>0</v>
      </c>
      <c r="Z981" s="23">
        <f>SETTINGS!$C$11</f>
        <v>0.5</v>
      </c>
      <c r="AA981" s="23">
        <f t="shared" si="97"/>
        <v>0.5</v>
      </c>
      <c r="AB981" s="23">
        <f>IFERROR(AA981*SETTINGS!$C$9,"")</f>
        <v>2.5000000000000001E-2</v>
      </c>
      <c r="AC981" s="23">
        <f>IFERROR((AA981+AB981)*SETTINGS!$C$10,"")</f>
        <v>2.6250000000000002E-2</v>
      </c>
    </row>
    <row r="982" spans="1:29" ht="16" x14ac:dyDescent="0.2">
      <c r="A982" s="25"/>
      <c r="H982" t="str">
        <f>IFERROR(VLOOKUP(G982,FILAMENTI_DB!$A:$C,3,FALSE),"")</f>
        <v/>
      </c>
      <c r="I982" t="str">
        <f>IFERROR(VLOOKUP(G982,FILAMENTI_DB!$A:$E,4,FALSE),"")</f>
        <v/>
      </c>
      <c r="J982" s="26"/>
      <c r="K982" s="27"/>
      <c r="L982" s="27"/>
      <c r="M982" s="27">
        <f t="shared" si="92"/>
        <v>0</v>
      </c>
      <c r="N982" s="26">
        <f t="shared" si="93"/>
        <v>0</v>
      </c>
      <c r="O982" s="26"/>
      <c r="P982" s="26"/>
      <c r="Q982" s="23"/>
      <c r="R982" s="23">
        <f t="shared" si="94"/>
        <v>0</v>
      </c>
      <c r="S982" s="23"/>
      <c r="T982" s="23">
        <f t="shared" si="95"/>
        <v>0</v>
      </c>
      <c r="U982" s="28" t="str">
        <f t="shared" si="96"/>
        <v/>
      </c>
      <c r="V982" s="10" t="str">
        <f>IFERROR(N982*VLOOKUP(G982,FILAMENTI_DB!$A:$J,10,FALSE),"")</f>
        <v/>
      </c>
      <c r="W982" s="23" t="str">
        <f>IFERROR((VLOOKUP(F982,STAMPANTI_DB!$A:$C,3,FALSE)/1000)*O982*SETTINGS!$C$6,"")</f>
        <v/>
      </c>
      <c r="X982" s="23" t="str">
        <f>IFERROR(O982*VLOOKUP(F982,STAMPANTI_DB!$A:$I,9,FALSE),"")</f>
        <v/>
      </c>
      <c r="Y982" s="23">
        <f>IFERROR(P982*SETTINGS!$C$7,"")</f>
        <v>0</v>
      </c>
      <c r="Z982" s="23">
        <f>SETTINGS!$C$11</f>
        <v>0.5</v>
      </c>
      <c r="AA982" s="23">
        <f t="shared" si="97"/>
        <v>0.5</v>
      </c>
      <c r="AB982" s="23">
        <f>IFERROR(AA982*SETTINGS!$C$9,"")</f>
        <v>2.5000000000000001E-2</v>
      </c>
      <c r="AC982" s="23">
        <f>IFERROR((AA982+AB982)*SETTINGS!$C$10,"")</f>
        <v>2.6250000000000002E-2</v>
      </c>
    </row>
    <row r="983" spans="1:29" ht="16" x14ac:dyDescent="0.2">
      <c r="A983" s="25"/>
      <c r="H983" t="str">
        <f>IFERROR(VLOOKUP(G983,FILAMENTI_DB!$A:$C,3,FALSE),"")</f>
        <v/>
      </c>
      <c r="I983" t="str">
        <f>IFERROR(VLOOKUP(G983,FILAMENTI_DB!$A:$E,4,FALSE),"")</f>
        <v/>
      </c>
      <c r="J983" s="26"/>
      <c r="K983" s="27"/>
      <c r="L983" s="27"/>
      <c r="M983" s="27">
        <f t="shared" si="92"/>
        <v>0</v>
      </c>
      <c r="N983" s="26">
        <f t="shared" si="93"/>
        <v>0</v>
      </c>
      <c r="O983" s="26"/>
      <c r="P983" s="26"/>
      <c r="Q983" s="23"/>
      <c r="R983" s="23">
        <f t="shared" si="94"/>
        <v>0</v>
      </c>
      <c r="S983" s="23"/>
      <c r="T983" s="23">
        <f t="shared" si="95"/>
        <v>0</v>
      </c>
      <c r="U983" s="28" t="str">
        <f t="shared" si="96"/>
        <v/>
      </c>
      <c r="V983" s="10" t="str">
        <f>IFERROR(N983*VLOOKUP(G983,FILAMENTI_DB!$A:$J,10,FALSE),"")</f>
        <v/>
      </c>
      <c r="W983" s="23" t="str">
        <f>IFERROR((VLOOKUP(F983,STAMPANTI_DB!$A:$C,3,FALSE)/1000)*O983*SETTINGS!$C$6,"")</f>
        <v/>
      </c>
      <c r="X983" s="23" t="str">
        <f>IFERROR(O983*VLOOKUP(F983,STAMPANTI_DB!$A:$I,9,FALSE),"")</f>
        <v/>
      </c>
      <c r="Y983" s="23">
        <f>IFERROR(P983*SETTINGS!$C$7,"")</f>
        <v>0</v>
      </c>
      <c r="Z983" s="23">
        <f>SETTINGS!$C$11</f>
        <v>0.5</v>
      </c>
      <c r="AA983" s="23">
        <f t="shared" si="97"/>
        <v>0.5</v>
      </c>
      <c r="AB983" s="23">
        <f>IFERROR(AA983*SETTINGS!$C$9,"")</f>
        <v>2.5000000000000001E-2</v>
      </c>
      <c r="AC983" s="23">
        <f>IFERROR((AA983+AB983)*SETTINGS!$C$10,"")</f>
        <v>2.6250000000000002E-2</v>
      </c>
    </row>
    <row r="984" spans="1:29" ht="16" x14ac:dyDescent="0.2">
      <c r="A984" s="25"/>
      <c r="H984" t="str">
        <f>IFERROR(VLOOKUP(G984,FILAMENTI_DB!$A:$C,3,FALSE),"")</f>
        <v/>
      </c>
      <c r="I984" t="str">
        <f>IFERROR(VLOOKUP(G984,FILAMENTI_DB!$A:$E,4,FALSE),"")</f>
        <v/>
      </c>
      <c r="J984" s="26"/>
      <c r="K984" s="27"/>
      <c r="L984" s="27"/>
      <c r="M984" s="27">
        <f t="shared" si="92"/>
        <v>0</v>
      </c>
      <c r="N984" s="26">
        <f t="shared" si="93"/>
        <v>0</v>
      </c>
      <c r="O984" s="26"/>
      <c r="P984" s="26"/>
      <c r="Q984" s="23"/>
      <c r="R984" s="23">
        <f t="shared" si="94"/>
        <v>0</v>
      </c>
      <c r="S984" s="23"/>
      <c r="T984" s="23">
        <f t="shared" si="95"/>
        <v>0</v>
      </c>
      <c r="U984" s="28" t="str">
        <f t="shared" si="96"/>
        <v/>
      </c>
      <c r="V984" s="10" t="str">
        <f>IFERROR(N984*VLOOKUP(G984,FILAMENTI_DB!$A:$J,10,FALSE),"")</f>
        <v/>
      </c>
      <c r="W984" s="23" t="str">
        <f>IFERROR((VLOOKUP(F984,STAMPANTI_DB!$A:$C,3,FALSE)/1000)*O984*SETTINGS!$C$6,"")</f>
        <v/>
      </c>
      <c r="X984" s="23" t="str">
        <f>IFERROR(O984*VLOOKUP(F984,STAMPANTI_DB!$A:$I,9,FALSE),"")</f>
        <v/>
      </c>
      <c r="Y984" s="23">
        <f>IFERROR(P984*SETTINGS!$C$7,"")</f>
        <v>0</v>
      </c>
      <c r="Z984" s="23">
        <f>SETTINGS!$C$11</f>
        <v>0.5</v>
      </c>
      <c r="AA984" s="23">
        <f t="shared" si="97"/>
        <v>0.5</v>
      </c>
      <c r="AB984" s="23">
        <f>IFERROR(AA984*SETTINGS!$C$9,"")</f>
        <v>2.5000000000000001E-2</v>
      </c>
      <c r="AC984" s="23">
        <f>IFERROR((AA984+AB984)*SETTINGS!$C$10,"")</f>
        <v>2.6250000000000002E-2</v>
      </c>
    </row>
    <row r="985" spans="1:29" ht="16" x14ac:dyDescent="0.2">
      <c r="A985" s="25"/>
      <c r="H985" t="str">
        <f>IFERROR(VLOOKUP(G985,FILAMENTI_DB!$A:$C,3,FALSE),"")</f>
        <v/>
      </c>
      <c r="I985" t="str">
        <f>IFERROR(VLOOKUP(G985,FILAMENTI_DB!$A:$E,4,FALSE),"")</f>
        <v/>
      </c>
      <c r="J985" s="26"/>
      <c r="K985" s="27"/>
      <c r="L985" s="27"/>
      <c r="M985" s="27">
        <f t="shared" si="92"/>
        <v>0</v>
      </c>
      <c r="N985" s="26">
        <f t="shared" si="93"/>
        <v>0</v>
      </c>
      <c r="O985" s="26"/>
      <c r="P985" s="26"/>
      <c r="Q985" s="23"/>
      <c r="R985" s="23">
        <f t="shared" si="94"/>
        <v>0</v>
      </c>
      <c r="S985" s="23"/>
      <c r="T985" s="23">
        <f t="shared" si="95"/>
        <v>0</v>
      </c>
      <c r="U985" s="28" t="str">
        <f t="shared" si="96"/>
        <v/>
      </c>
      <c r="V985" s="10" t="str">
        <f>IFERROR(N985*VLOOKUP(G985,FILAMENTI_DB!$A:$J,10,FALSE),"")</f>
        <v/>
      </c>
      <c r="W985" s="23" t="str">
        <f>IFERROR((VLOOKUP(F985,STAMPANTI_DB!$A:$C,3,FALSE)/1000)*O985*SETTINGS!$C$6,"")</f>
        <v/>
      </c>
      <c r="X985" s="23" t="str">
        <f>IFERROR(O985*VLOOKUP(F985,STAMPANTI_DB!$A:$I,9,FALSE),"")</f>
        <v/>
      </c>
      <c r="Y985" s="23">
        <f>IFERROR(P985*SETTINGS!$C$7,"")</f>
        <v>0</v>
      </c>
      <c r="Z985" s="23">
        <f>SETTINGS!$C$11</f>
        <v>0.5</v>
      </c>
      <c r="AA985" s="23">
        <f t="shared" si="97"/>
        <v>0.5</v>
      </c>
      <c r="AB985" s="23">
        <f>IFERROR(AA985*SETTINGS!$C$9,"")</f>
        <v>2.5000000000000001E-2</v>
      </c>
      <c r="AC985" s="23">
        <f>IFERROR((AA985+AB985)*SETTINGS!$C$10,"")</f>
        <v>2.6250000000000002E-2</v>
      </c>
    </row>
    <row r="986" spans="1:29" ht="16" x14ac:dyDescent="0.2">
      <c r="A986" s="25"/>
      <c r="H986" t="str">
        <f>IFERROR(VLOOKUP(G986,FILAMENTI_DB!$A:$C,3,FALSE),"")</f>
        <v/>
      </c>
      <c r="I986" t="str">
        <f>IFERROR(VLOOKUP(G986,FILAMENTI_DB!$A:$E,4,FALSE),"")</f>
        <v/>
      </c>
      <c r="J986" s="26"/>
      <c r="K986" s="27"/>
      <c r="L986" s="27"/>
      <c r="M986" s="27">
        <f t="shared" si="92"/>
        <v>0</v>
      </c>
      <c r="N986" s="26">
        <f t="shared" si="93"/>
        <v>0</v>
      </c>
      <c r="O986" s="26"/>
      <c r="P986" s="26"/>
      <c r="Q986" s="23"/>
      <c r="R986" s="23">
        <f t="shared" si="94"/>
        <v>0</v>
      </c>
      <c r="S986" s="23"/>
      <c r="T986" s="23">
        <f t="shared" si="95"/>
        <v>0</v>
      </c>
      <c r="U986" s="28" t="str">
        <f t="shared" si="96"/>
        <v/>
      </c>
      <c r="V986" s="10" t="str">
        <f>IFERROR(N986*VLOOKUP(G986,FILAMENTI_DB!$A:$J,10,FALSE),"")</f>
        <v/>
      </c>
      <c r="W986" s="23" t="str">
        <f>IFERROR((VLOOKUP(F986,STAMPANTI_DB!$A:$C,3,FALSE)/1000)*O986*SETTINGS!$C$6,"")</f>
        <v/>
      </c>
      <c r="X986" s="23" t="str">
        <f>IFERROR(O986*VLOOKUP(F986,STAMPANTI_DB!$A:$I,9,FALSE),"")</f>
        <v/>
      </c>
      <c r="Y986" s="23">
        <f>IFERROR(P986*SETTINGS!$C$7,"")</f>
        <v>0</v>
      </c>
      <c r="Z986" s="23">
        <f>SETTINGS!$C$11</f>
        <v>0.5</v>
      </c>
      <c r="AA986" s="23">
        <f t="shared" si="97"/>
        <v>0.5</v>
      </c>
      <c r="AB986" s="23">
        <f>IFERROR(AA986*SETTINGS!$C$9,"")</f>
        <v>2.5000000000000001E-2</v>
      </c>
      <c r="AC986" s="23">
        <f>IFERROR((AA986+AB986)*SETTINGS!$C$10,"")</f>
        <v>2.6250000000000002E-2</v>
      </c>
    </row>
    <row r="987" spans="1:29" ht="16" x14ac:dyDescent="0.2">
      <c r="A987" s="25"/>
      <c r="H987" t="str">
        <f>IFERROR(VLOOKUP(G987,FILAMENTI_DB!$A:$C,3,FALSE),"")</f>
        <v/>
      </c>
      <c r="I987" t="str">
        <f>IFERROR(VLOOKUP(G987,FILAMENTI_DB!$A:$E,4,FALSE),"")</f>
        <v/>
      </c>
      <c r="J987" s="26"/>
      <c r="K987" s="27"/>
      <c r="L987" s="27"/>
      <c r="M987" s="27">
        <f t="shared" si="92"/>
        <v>0</v>
      </c>
      <c r="N987" s="26">
        <f t="shared" si="93"/>
        <v>0</v>
      </c>
      <c r="O987" s="26"/>
      <c r="P987" s="26"/>
      <c r="Q987" s="23"/>
      <c r="R987" s="23">
        <f t="shared" si="94"/>
        <v>0</v>
      </c>
      <c r="S987" s="23"/>
      <c r="T987" s="23">
        <f t="shared" si="95"/>
        <v>0</v>
      </c>
      <c r="U987" s="28" t="str">
        <f t="shared" si="96"/>
        <v/>
      </c>
      <c r="V987" s="10" t="str">
        <f>IFERROR(N987*VLOOKUP(G987,FILAMENTI_DB!$A:$J,10,FALSE),"")</f>
        <v/>
      </c>
      <c r="W987" s="23" t="str">
        <f>IFERROR((VLOOKUP(F987,STAMPANTI_DB!$A:$C,3,FALSE)/1000)*O987*SETTINGS!$C$6,"")</f>
        <v/>
      </c>
      <c r="X987" s="23" t="str">
        <f>IFERROR(O987*VLOOKUP(F987,STAMPANTI_DB!$A:$I,9,FALSE),"")</f>
        <v/>
      </c>
      <c r="Y987" s="23">
        <f>IFERROR(P987*SETTINGS!$C$7,"")</f>
        <v>0</v>
      </c>
      <c r="Z987" s="23">
        <f>SETTINGS!$C$11</f>
        <v>0.5</v>
      </c>
      <c r="AA987" s="23">
        <f t="shared" si="97"/>
        <v>0.5</v>
      </c>
      <c r="AB987" s="23">
        <f>IFERROR(AA987*SETTINGS!$C$9,"")</f>
        <v>2.5000000000000001E-2</v>
      </c>
      <c r="AC987" s="23">
        <f>IFERROR((AA987+AB987)*SETTINGS!$C$10,"")</f>
        <v>2.6250000000000002E-2</v>
      </c>
    </row>
    <row r="988" spans="1:29" ht="16" x14ac:dyDescent="0.2">
      <c r="A988" s="25"/>
      <c r="H988" t="str">
        <f>IFERROR(VLOOKUP(G988,FILAMENTI_DB!$A:$C,3,FALSE),"")</f>
        <v/>
      </c>
      <c r="I988" t="str">
        <f>IFERROR(VLOOKUP(G988,FILAMENTI_DB!$A:$E,4,FALSE),"")</f>
        <v/>
      </c>
      <c r="J988" s="26"/>
      <c r="K988" s="27"/>
      <c r="L988" s="27"/>
      <c r="M988" s="27">
        <f t="shared" si="92"/>
        <v>0</v>
      </c>
      <c r="N988" s="26">
        <f t="shared" si="93"/>
        <v>0</v>
      </c>
      <c r="O988" s="26"/>
      <c r="P988" s="26"/>
      <c r="Q988" s="23"/>
      <c r="R988" s="23">
        <f t="shared" si="94"/>
        <v>0</v>
      </c>
      <c r="S988" s="23"/>
      <c r="T988" s="23">
        <f t="shared" si="95"/>
        <v>0</v>
      </c>
      <c r="U988" s="28" t="str">
        <f t="shared" si="96"/>
        <v/>
      </c>
      <c r="V988" s="10" t="str">
        <f>IFERROR(N988*VLOOKUP(G988,FILAMENTI_DB!$A:$J,10,FALSE),"")</f>
        <v/>
      </c>
      <c r="W988" s="23" t="str">
        <f>IFERROR((VLOOKUP(F988,STAMPANTI_DB!$A:$C,3,FALSE)/1000)*O988*SETTINGS!$C$6,"")</f>
        <v/>
      </c>
      <c r="X988" s="23" t="str">
        <f>IFERROR(O988*VLOOKUP(F988,STAMPANTI_DB!$A:$I,9,FALSE),"")</f>
        <v/>
      </c>
      <c r="Y988" s="23">
        <f>IFERROR(P988*SETTINGS!$C$7,"")</f>
        <v>0</v>
      </c>
      <c r="Z988" s="23">
        <f>SETTINGS!$C$11</f>
        <v>0.5</v>
      </c>
      <c r="AA988" s="23">
        <f t="shared" si="97"/>
        <v>0.5</v>
      </c>
      <c r="AB988" s="23">
        <f>IFERROR(AA988*SETTINGS!$C$9,"")</f>
        <v>2.5000000000000001E-2</v>
      </c>
      <c r="AC988" s="23">
        <f>IFERROR((AA988+AB988)*SETTINGS!$C$10,"")</f>
        <v>2.6250000000000002E-2</v>
      </c>
    </row>
    <row r="989" spans="1:29" ht="16" x14ac:dyDescent="0.2">
      <c r="A989" s="25"/>
      <c r="H989" t="str">
        <f>IFERROR(VLOOKUP(G989,FILAMENTI_DB!$A:$C,3,FALSE),"")</f>
        <v/>
      </c>
      <c r="I989" t="str">
        <f>IFERROR(VLOOKUP(G989,FILAMENTI_DB!$A:$E,4,FALSE),"")</f>
        <v/>
      </c>
      <c r="J989" s="26"/>
      <c r="K989" s="27"/>
      <c r="L989" s="27"/>
      <c r="M989" s="27">
        <f t="shared" si="92"/>
        <v>0</v>
      </c>
      <c r="N989" s="26">
        <f t="shared" si="93"/>
        <v>0</v>
      </c>
      <c r="O989" s="26"/>
      <c r="P989" s="26"/>
      <c r="Q989" s="23"/>
      <c r="R989" s="23">
        <f t="shared" si="94"/>
        <v>0</v>
      </c>
      <c r="S989" s="23"/>
      <c r="T989" s="23">
        <f t="shared" si="95"/>
        <v>0</v>
      </c>
      <c r="U989" s="28" t="str">
        <f t="shared" si="96"/>
        <v/>
      </c>
      <c r="V989" s="10" t="str">
        <f>IFERROR(N989*VLOOKUP(G989,FILAMENTI_DB!$A:$J,10,FALSE),"")</f>
        <v/>
      </c>
      <c r="W989" s="23" t="str">
        <f>IFERROR((VLOOKUP(F989,STAMPANTI_DB!$A:$C,3,FALSE)/1000)*O989*SETTINGS!$C$6,"")</f>
        <v/>
      </c>
      <c r="X989" s="23" t="str">
        <f>IFERROR(O989*VLOOKUP(F989,STAMPANTI_DB!$A:$I,9,FALSE),"")</f>
        <v/>
      </c>
      <c r="Y989" s="23">
        <f>IFERROR(P989*SETTINGS!$C$7,"")</f>
        <v>0</v>
      </c>
      <c r="Z989" s="23">
        <f>SETTINGS!$C$11</f>
        <v>0.5</v>
      </c>
      <c r="AA989" s="23">
        <f t="shared" si="97"/>
        <v>0.5</v>
      </c>
      <c r="AB989" s="23">
        <f>IFERROR(AA989*SETTINGS!$C$9,"")</f>
        <v>2.5000000000000001E-2</v>
      </c>
      <c r="AC989" s="23">
        <f>IFERROR((AA989+AB989)*SETTINGS!$C$10,"")</f>
        <v>2.6250000000000002E-2</v>
      </c>
    </row>
    <row r="990" spans="1:29" ht="16" x14ac:dyDescent="0.2">
      <c r="A990" s="25"/>
      <c r="H990" t="str">
        <f>IFERROR(VLOOKUP(G990,FILAMENTI_DB!$A:$C,3,FALSE),"")</f>
        <v/>
      </c>
      <c r="I990" t="str">
        <f>IFERROR(VLOOKUP(G990,FILAMENTI_DB!$A:$E,4,FALSE),"")</f>
        <v/>
      </c>
      <c r="J990" s="26"/>
      <c r="K990" s="27"/>
      <c r="L990" s="27"/>
      <c r="M990" s="27">
        <f t="shared" si="92"/>
        <v>0</v>
      </c>
      <c r="N990" s="26">
        <f t="shared" si="93"/>
        <v>0</v>
      </c>
      <c r="O990" s="26"/>
      <c r="P990" s="26"/>
      <c r="Q990" s="23"/>
      <c r="R990" s="23">
        <f t="shared" si="94"/>
        <v>0</v>
      </c>
      <c r="S990" s="23"/>
      <c r="T990" s="23">
        <f t="shared" si="95"/>
        <v>0</v>
      </c>
      <c r="U990" s="28" t="str">
        <f t="shared" si="96"/>
        <v/>
      </c>
      <c r="V990" s="10" t="str">
        <f>IFERROR(N990*VLOOKUP(G990,FILAMENTI_DB!$A:$J,10,FALSE),"")</f>
        <v/>
      </c>
      <c r="W990" s="23" t="str">
        <f>IFERROR((VLOOKUP(F990,STAMPANTI_DB!$A:$C,3,FALSE)/1000)*O990*SETTINGS!$C$6,"")</f>
        <v/>
      </c>
      <c r="X990" s="23" t="str">
        <f>IFERROR(O990*VLOOKUP(F990,STAMPANTI_DB!$A:$I,9,FALSE),"")</f>
        <v/>
      </c>
      <c r="Y990" s="23">
        <f>IFERROR(P990*SETTINGS!$C$7,"")</f>
        <v>0</v>
      </c>
      <c r="Z990" s="23">
        <f>SETTINGS!$C$11</f>
        <v>0.5</v>
      </c>
      <c r="AA990" s="23">
        <f t="shared" si="97"/>
        <v>0.5</v>
      </c>
      <c r="AB990" s="23">
        <f>IFERROR(AA990*SETTINGS!$C$9,"")</f>
        <v>2.5000000000000001E-2</v>
      </c>
      <c r="AC990" s="23">
        <f>IFERROR((AA990+AB990)*SETTINGS!$C$10,"")</f>
        <v>2.6250000000000002E-2</v>
      </c>
    </row>
    <row r="991" spans="1:29" ht="16" x14ac:dyDescent="0.2">
      <c r="A991" s="25"/>
      <c r="H991" t="str">
        <f>IFERROR(VLOOKUP(G991,FILAMENTI_DB!$A:$C,3,FALSE),"")</f>
        <v/>
      </c>
      <c r="I991" t="str">
        <f>IFERROR(VLOOKUP(G991,FILAMENTI_DB!$A:$E,4,FALSE),"")</f>
        <v/>
      </c>
      <c r="J991" s="26"/>
      <c r="K991" s="27"/>
      <c r="L991" s="27"/>
      <c r="M991" s="27">
        <f t="shared" si="92"/>
        <v>0</v>
      </c>
      <c r="N991" s="26">
        <f t="shared" si="93"/>
        <v>0</v>
      </c>
      <c r="O991" s="26"/>
      <c r="P991" s="26"/>
      <c r="Q991" s="23"/>
      <c r="R991" s="23">
        <f t="shared" si="94"/>
        <v>0</v>
      </c>
      <c r="S991" s="23"/>
      <c r="T991" s="23">
        <f t="shared" si="95"/>
        <v>0</v>
      </c>
      <c r="U991" s="28" t="str">
        <f t="shared" si="96"/>
        <v/>
      </c>
      <c r="V991" s="10" t="str">
        <f>IFERROR(N991*VLOOKUP(G991,FILAMENTI_DB!$A:$J,10,FALSE),"")</f>
        <v/>
      </c>
      <c r="W991" s="23" t="str">
        <f>IFERROR((VLOOKUP(F991,STAMPANTI_DB!$A:$C,3,FALSE)/1000)*O991*SETTINGS!$C$6,"")</f>
        <v/>
      </c>
      <c r="X991" s="23" t="str">
        <f>IFERROR(O991*VLOOKUP(F991,STAMPANTI_DB!$A:$I,9,FALSE),"")</f>
        <v/>
      </c>
      <c r="Y991" s="23">
        <f>IFERROR(P991*SETTINGS!$C$7,"")</f>
        <v>0</v>
      </c>
      <c r="Z991" s="23">
        <f>SETTINGS!$C$11</f>
        <v>0.5</v>
      </c>
      <c r="AA991" s="23">
        <f t="shared" si="97"/>
        <v>0.5</v>
      </c>
      <c r="AB991" s="23">
        <f>IFERROR(AA991*SETTINGS!$C$9,"")</f>
        <v>2.5000000000000001E-2</v>
      </c>
      <c r="AC991" s="23">
        <f>IFERROR((AA991+AB991)*SETTINGS!$C$10,"")</f>
        <v>2.6250000000000002E-2</v>
      </c>
    </row>
    <row r="992" spans="1:29" ht="16" x14ac:dyDescent="0.2">
      <c r="A992" s="25"/>
      <c r="H992" t="str">
        <f>IFERROR(VLOOKUP(G992,FILAMENTI_DB!$A:$C,3,FALSE),"")</f>
        <v/>
      </c>
      <c r="I992" t="str">
        <f>IFERROR(VLOOKUP(G992,FILAMENTI_DB!$A:$E,4,FALSE),"")</f>
        <v/>
      </c>
      <c r="J992" s="26"/>
      <c r="K992" s="27"/>
      <c r="L992" s="27"/>
      <c r="M992" s="27">
        <f t="shared" si="92"/>
        <v>0</v>
      </c>
      <c r="N992" s="26">
        <f t="shared" si="93"/>
        <v>0</v>
      </c>
      <c r="O992" s="26"/>
      <c r="P992" s="26"/>
      <c r="Q992" s="23"/>
      <c r="R992" s="23">
        <f t="shared" si="94"/>
        <v>0</v>
      </c>
      <c r="S992" s="23"/>
      <c r="T992" s="23">
        <f t="shared" si="95"/>
        <v>0</v>
      </c>
      <c r="U992" s="28" t="str">
        <f t="shared" si="96"/>
        <v/>
      </c>
      <c r="V992" s="10" t="str">
        <f>IFERROR(N992*VLOOKUP(G992,FILAMENTI_DB!$A:$J,10,FALSE),"")</f>
        <v/>
      </c>
      <c r="W992" s="23" t="str">
        <f>IFERROR((VLOOKUP(F992,STAMPANTI_DB!$A:$C,3,FALSE)/1000)*O992*SETTINGS!$C$6,"")</f>
        <v/>
      </c>
      <c r="X992" s="23" t="str">
        <f>IFERROR(O992*VLOOKUP(F992,STAMPANTI_DB!$A:$I,9,FALSE),"")</f>
        <v/>
      </c>
      <c r="Y992" s="23">
        <f>IFERROR(P992*SETTINGS!$C$7,"")</f>
        <v>0</v>
      </c>
      <c r="Z992" s="23">
        <f>SETTINGS!$C$11</f>
        <v>0.5</v>
      </c>
      <c r="AA992" s="23">
        <f t="shared" si="97"/>
        <v>0.5</v>
      </c>
      <c r="AB992" s="23">
        <f>IFERROR(AA992*SETTINGS!$C$9,"")</f>
        <v>2.5000000000000001E-2</v>
      </c>
      <c r="AC992" s="23">
        <f>IFERROR((AA992+AB992)*SETTINGS!$C$10,"")</f>
        <v>2.6250000000000002E-2</v>
      </c>
    </row>
    <row r="993" spans="1:29" ht="16" x14ac:dyDescent="0.2">
      <c r="A993" s="25"/>
      <c r="H993" t="str">
        <f>IFERROR(VLOOKUP(G993,FILAMENTI_DB!$A:$C,3,FALSE),"")</f>
        <v/>
      </c>
      <c r="I993" t="str">
        <f>IFERROR(VLOOKUP(G993,FILAMENTI_DB!$A:$E,4,FALSE),"")</f>
        <v/>
      </c>
      <c r="J993" s="26"/>
      <c r="K993" s="27"/>
      <c r="L993" s="27"/>
      <c r="M993" s="27">
        <f t="shared" si="92"/>
        <v>0</v>
      </c>
      <c r="N993" s="26">
        <f t="shared" si="93"/>
        <v>0</v>
      </c>
      <c r="O993" s="26"/>
      <c r="P993" s="26"/>
      <c r="Q993" s="23"/>
      <c r="R993" s="23">
        <f t="shared" si="94"/>
        <v>0</v>
      </c>
      <c r="S993" s="23"/>
      <c r="T993" s="23">
        <f t="shared" si="95"/>
        <v>0</v>
      </c>
      <c r="U993" s="28" t="str">
        <f t="shared" si="96"/>
        <v/>
      </c>
      <c r="V993" s="10" t="str">
        <f>IFERROR(N993*VLOOKUP(G993,FILAMENTI_DB!$A:$J,10,FALSE),"")</f>
        <v/>
      </c>
      <c r="W993" s="23" t="str">
        <f>IFERROR((VLOOKUP(F993,STAMPANTI_DB!$A:$C,3,FALSE)/1000)*O993*SETTINGS!$C$6,"")</f>
        <v/>
      </c>
      <c r="X993" s="23" t="str">
        <f>IFERROR(O993*VLOOKUP(F993,STAMPANTI_DB!$A:$I,9,FALSE),"")</f>
        <v/>
      </c>
      <c r="Y993" s="23">
        <f>IFERROR(P993*SETTINGS!$C$7,"")</f>
        <v>0</v>
      </c>
      <c r="Z993" s="23">
        <f>SETTINGS!$C$11</f>
        <v>0.5</v>
      </c>
      <c r="AA993" s="23">
        <f t="shared" si="97"/>
        <v>0.5</v>
      </c>
      <c r="AB993" s="23">
        <f>IFERROR(AA993*SETTINGS!$C$9,"")</f>
        <v>2.5000000000000001E-2</v>
      </c>
      <c r="AC993" s="23">
        <f>IFERROR((AA993+AB993)*SETTINGS!$C$10,"")</f>
        <v>2.6250000000000002E-2</v>
      </c>
    </row>
    <row r="994" spans="1:29" ht="16" x14ac:dyDescent="0.2">
      <c r="A994" s="25"/>
      <c r="H994" t="str">
        <f>IFERROR(VLOOKUP(G994,FILAMENTI_DB!$A:$C,3,FALSE),"")</f>
        <v/>
      </c>
      <c r="I994" t="str">
        <f>IFERROR(VLOOKUP(G994,FILAMENTI_DB!$A:$E,4,FALSE),"")</f>
        <v/>
      </c>
      <c r="J994" s="26"/>
      <c r="K994" s="27"/>
      <c r="L994" s="27"/>
      <c r="M994" s="27">
        <f t="shared" si="92"/>
        <v>0</v>
      </c>
      <c r="N994" s="26">
        <f t="shared" si="93"/>
        <v>0</v>
      </c>
      <c r="O994" s="26"/>
      <c r="P994" s="26"/>
      <c r="Q994" s="23"/>
      <c r="R994" s="23">
        <f t="shared" si="94"/>
        <v>0</v>
      </c>
      <c r="S994" s="23"/>
      <c r="T994" s="23">
        <f t="shared" si="95"/>
        <v>0</v>
      </c>
      <c r="U994" s="28" t="str">
        <f t="shared" si="96"/>
        <v/>
      </c>
      <c r="V994" s="10" t="str">
        <f>IFERROR(N994*VLOOKUP(G994,FILAMENTI_DB!$A:$J,10,FALSE),"")</f>
        <v/>
      </c>
      <c r="W994" s="23" t="str">
        <f>IFERROR((VLOOKUP(F994,STAMPANTI_DB!$A:$C,3,FALSE)/1000)*O994*SETTINGS!$C$6,"")</f>
        <v/>
      </c>
      <c r="X994" s="23" t="str">
        <f>IFERROR(O994*VLOOKUP(F994,STAMPANTI_DB!$A:$I,9,FALSE),"")</f>
        <v/>
      </c>
      <c r="Y994" s="23">
        <f>IFERROR(P994*SETTINGS!$C$7,"")</f>
        <v>0</v>
      </c>
      <c r="Z994" s="23">
        <f>SETTINGS!$C$11</f>
        <v>0.5</v>
      </c>
      <c r="AA994" s="23">
        <f t="shared" si="97"/>
        <v>0.5</v>
      </c>
      <c r="AB994" s="23">
        <f>IFERROR(AA994*SETTINGS!$C$9,"")</f>
        <v>2.5000000000000001E-2</v>
      </c>
      <c r="AC994" s="23">
        <f>IFERROR((AA994+AB994)*SETTINGS!$C$10,"")</f>
        <v>2.6250000000000002E-2</v>
      </c>
    </row>
    <row r="995" spans="1:29" ht="16" x14ac:dyDescent="0.2">
      <c r="A995" s="25"/>
      <c r="H995" t="str">
        <f>IFERROR(VLOOKUP(G995,FILAMENTI_DB!$A:$C,3,FALSE),"")</f>
        <v/>
      </c>
      <c r="I995" t="str">
        <f>IFERROR(VLOOKUP(G995,FILAMENTI_DB!$A:$E,4,FALSE),"")</f>
        <v/>
      </c>
      <c r="J995" s="26"/>
      <c r="K995" s="27"/>
      <c r="L995" s="27"/>
      <c r="M995" s="27">
        <f t="shared" si="92"/>
        <v>0</v>
      </c>
      <c r="N995" s="26">
        <f t="shared" si="93"/>
        <v>0</v>
      </c>
      <c r="O995" s="26"/>
      <c r="P995" s="26"/>
      <c r="Q995" s="23"/>
      <c r="R995" s="23">
        <f t="shared" si="94"/>
        <v>0</v>
      </c>
      <c r="S995" s="23"/>
      <c r="T995" s="23">
        <f t="shared" si="95"/>
        <v>0</v>
      </c>
      <c r="U995" s="28" t="str">
        <f t="shared" si="96"/>
        <v/>
      </c>
      <c r="V995" s="10" t="str">
        <f>IFERROR(N995*VLOOKUP(G995,FILAMENTI_DB!$A:$J,10,FALSE),"")</f>
        <v/>
      </c>
      <c r="W995" s="23" t="str">
        <f>IFERROR((VLOOKUP(F995,STAMPANTI_DB!$A:$C,3,FALSE)/1000)*O995*SETTINGS!$C$6,"")</f>
        <v/>
      </c>
      <c r="X995" s="23" t="str">
        <f>IFERROR(O995*VLOOKUP(F995,STAMPANTI_DB!$A:$I,9,FALSE),"")</f>
        <v/>
      </c>
      <c r="Y995" s="23">
        <f>IFERROR(P995*SETTINGS!$C$7,"")</f>
        <v>0</v>
      </c>
      <c r="Z995" s="23">
        <f>SETTINGS!$C$11</f>
        <v>0.5</v>
      </c>
      <c r="AA995" s="23">
        <f t="shared" si="97"/>
        <v>0.5</v>
      </c>
      <c r="AB995" s="23">
        <f>IFERROR(AA995*SETTINGS!$C$9,"")</f>
        <v>2.5000000000000001E-2</v>
      </c>
      <c r="AC995" s="23">
        <f>IFERROR((AA995+AB995)*SETTINGS!$C$10,"")</f>
        <v>2.6250000000000002E-2</v>
      </c>
    </row>
    <row r="996" spans="1:29" ht="16" x14ac:dyDescent="0.2">
      <c r="A996" s="25"/>
      <c r="H996" t="str">
        <f>IFERROR(VLOOKUP(G996,FILAMENTI_DB!$A:$C,3,FALSE),"")</f>
        <v/>
      </c>
      <c r="I996" t="str">
        <f>IFERROR(VLOOKUP(G996,FILAMENTI_DB!$A:$E,4,FALSE),"")</f>
        <v/>
      </c>
      <c r="J996" s="26"/>
      <c r="K996" s="27"/>
      <c r="L996" s="27"/>
      <c r="M996" s="27">
        <f t="shared" si="92"/>
        <v>0</v>
      </c>
      <c r="N996" s="26">
        <f t="shared" si="93"/>
        <v>0</v>
      </c>
      <c r="O996" s="26"/>
      <c r="P996" s="26"/>
      <c r="Q996" s="23"/>
      <c r="R996" s="23">
        <f t="shared" si="94"/>
        <v>0</v>
      </c>
      <c r="S996" s="23"/>
      <c r="T996" s="23">
        <f t="shared" si="95"/>
        <v>0</v>
      </c>
      <c r="U996" s="28" t="str">
        <f t="shared" si="96"/>
        <v/>
      </c>
      <c r="V996" s="10" t="str">
        <f>IFERROR(N996*VLOOKUP(G996,FILAMENTI_DB!$A:$J,10,FALSE),"")</f>
        <v/>
      </c>
      <c r="W996" s="23" t="str">
        <f>IFERROR((VLOOKUP(F996,STAMPANTI_DB!$A:$C,3,FALSE)/1000)*O996*SETTINGS!$C$6,"")</f>
        <v/>
      </c>
      <c r="X996" s="23" t="str">
        <f>IFERROR(O996*VLOOKUP(F996,STAMPANTI_DB!$A:$I,9,FALSE),"")</f>
        <v/>
      </c>
      <c r="Y996" s="23">
        <f>IFERROR(P996*SETTINGS!$C$7,"")</f>
        <v>0</v>
      </c>
      <c r="Z996" s="23">
        <f>SETTINGS!$C$11</f>
        <v>0.5</v>
      </c>
      <c r="AA996" s="23">
        <f t="shared" si="97"/>
        <v>0.5</v>
      </c>
      <c r="AB996" s="23">
        <f>IFERROR(AA996*SETTINGS!$C$9,"")</f>
        <v>2.5000000000000001E-2</v>
      </c>
      <c r="AC996" s="23">
        <f>IFERROR((AA996+AB996)*SETTINGS!$C$10,"")</f>
        <v>2.6250000000000002E-2</v>
      </c>
    </row>
    <row r="997" spans="1:29" ht="16" x14ac:dyDescent="0.2">
      <c r="A997" s="25"/>
      <c r="H997" t="str">
        <f>IFERROR(VLOOKUP(G997,FILAMENTI_DB!$A:$C,3,FALSE),"")</f>
        <v/>
      </c>
      <c r="I997" t="str">
        <f>IFERROR(VLOOKUP(G997,FILAMENTI_DB!$A:$E,4,FALSE),"")</f>
        <v/>
      </c>
      <c r="J997" s="26"/>
      <c r="K997" s="27"/>
      <c r="L997" s="27"/>
      <c r="M997" s="27">
        <f t="shared" si="92"/>
        <v>0</v>
      </c>
      <c r="N997" s="26">
        <f t="shared" si="93"/>
        <v>0</v>
      </c>
      <c r="O997" s="26"/>
      <c r="P997" s="26"/>
      <c r="Q997" s="23"/>
      <c r="R997" s="23">
        <f t="shared" si="94"/>
        <v>0</v>
      </c>
      <c r="S997" s="23"/>
      <c r="T997" s="23">
        <f t="shared" si="95"/>
        <v>0</v>
      </c>
      <c r="U997" s="28" t="str">
        <f t="shared" si="96"/>
        <v/>
      </c>
      <c r="V997" s="10" t="str">
        <f>IFERROR(N997*VLOOKUP(G997,FILAMENTI_DB!$A:$J,10,FALSE),"")</f>
        <v/>
      </c>
      <c r="W997" s="23" t="str">
        <f>IFERROR((VLOOKUP(F997,STAMPANTI_DB!$A:$C,3,FALSE)/1000)*O997*SETTINGS!$C$6,"")</f>
        <v/>
      </c>
      <c r="X997" s="23" t="str">
        <f>IFERROR(O997*VLOOKUP(F997,STAMPANTI_DB!$A:$I,9,FALSE),"")</f>
        <v/>
      </c>
      <c r="Y997" s="23">
        <f>IFERROR(P997*SETTINGS!$C$7,"")</f>
        <v>0</v>
      </c>
      <c r="Z997" s="23">
        <f>SETTINGS!$C$11</f>
        <v>0.5</v>
      </c>
      <c r="AA997" s="23">
        <f t="shared" si="97"/>
        <v>0.5</v>
      </c>
      <c r="AB997" s="23">
        <f>IFERROR(AA997*SETTINGS!$C$9,"")</f>
        <v>2.5000000000000001E-2</v>
      </c>
      <c r="AC997" s="23">
        <f>IFERROR((AA997+AB997)*SETTINGS!$C$10,"")</f>
        <v>2.6250000000000002E-2</v>
      </c>
    </row>
    <row r="998" spans="1:29" ht="16" x14ac:dyDescent="0.2">
      <c r="A998" s="25"/>
      <c r="H998" t="str">
        <f>IFERROR(VLOOKUP(G998,FILAMENTI_DB!$A:$C,3,FALSE),"")</f>
        <v/>
      </c>
      <c r="I998" t="str">
        <f>IFERROR(VLOOKUP(G998,FILAMENTI_DB!$A:$E,4,FALSE),"")</f>
        <v/>
      </c>
      <c r="J998" s="26"/>
      <c r="K998" s="27"/>
      <c r="L998" s="27"/>
      <c r="M998" s="27">
        <f t="shared" si="92"/>
        <v>0</v>
      </c>
      <c r="N998" s="26">
        <f t="shared" si="93"/>
        <v>0</v>
      </c>
      <c r="O998" s="26"/>
      <c r="P998" s="26"/>
      <c r="Q998" s="23"/>
      <c r="R998" s="23">
        <f t="shared" si="94"/>
        <v>0</v>
      </c>
      <c r="S998" s="23"/>
      <c r="T998" s="23">
        <f t="shared" si="95"/>
        <v>0</v>
      </c>
      <c r="U998" s="28" t="str">
        <f t="shared" si="96"/>
        <v/>
      </c>
      <c r="V998" s="10" t="str">
        <f>IFERROR(N998*VLOOKUP(G998,FILAMENTI_DB!$A:$J,10,FALSE),"")</f>
        <v/>
      </c>
      <c r="W998" s="23" t="str">
        <f>IFERROR((VLOOKUP(F998,STAMPANTI_DB!$A:$C,3,FALSE)/1000)*O998*SETTINGS!$C$6,"")</f>
        <v/>
      </c>
      <c r="X998" s="23" t="str">
        <f>IFERROR(O998*VLOOKUP(F998,STAMPANTI_DB!$A:$I,9,FALSE),"")</f>
        <v/>
      </c>
      <c r="Y998" s="23">
        <f>IFERROR(P998*SETTINGS!$C$7,"")</f>
        <v>0</v>
      </c>
      <c r="Z998" s="23">
        <f>SETTINGS!$C$11</f>
        <v>0.5</v>
      </c>
      <c r="AA998" s="23">
        <f t="shared" si="97"/>
        <v>0.5</v>
      </c>
      <c r="AB998" s="23">
        <f>IFERROR(AA998*SETTINGS!$C$9,"")</f>
        <v>2.5000000000000001E-2</v>
      </c>
      <c r="AC998" s="23">
        <f>IFERROR((AA998+AB998)*SETTINGS!$C$10,"")</f>
        <v>2.6250000000000002E-2</v>
      </c>
    </row>
    <row r="999" spans="1:29" ht="16" x14ac:dyDescent="0.2">
      <c r="A999" s="25"/>
      <c r="H999" t="str">
        <f>IFERROR(VLOOKUP(G999,FILAMENTI_DB!$A:$C,3,FALSE),"")</f>
        <v/>
      </c>
      <c r="I999" t="str">
        <f>IFERROR(VLOOKUP(G999,FILAMENTI_DB!$A:$E,4,FALSE),"")</f>
        <v/>
      </c>
      <c r="J999" s="26"/>
      <c r="K999" s="27"/>
      <c r="L999" s="27"/>
      <c r="M999" s="27">
        <f t="shared" si="92"/>
        <v>0</v>
      </c>
      <c r="N999" s="26">
        <f t="shared" si="93"/>
        <v>0</v>
      </c>
      <c r="O999" s="26"/>
      <c r="P999" s="26"/>
      <c r="Q999" s="23"/>
      <c r="R999" s="23">
        <f t="shared" si="94"/>
        <v>0</v>
      </c>
      <c r="S999" s="23"/>
      <c r="T999" s="23">
        <f t="shared" si="95"/>
        <v>0</v>
      </c>
      <c r="U999" s="28" t="str">
        <f t="shared" si="96"/>
        <v/>
      </c>
      <c r="V999" s="10" t="str">
        <f>IFERROR(N999*VLOOKUP(G999,FILAMENTI_DB!$A:$J,10,FALSE),"")</f>
        <v/>
      </c>
      <c r="W999" s="23" t="str">
        <f>IFERROR((VLOOKUP(F999,STAMPANTI_DB!$A:$C,3,FALSE)/1000)*O999*SETTINGS!$C$6,"")</f>
        <v/>
      </c>
      <c r="X999" s="23" t="str">
        <f>IFERROR(O999*VLOOKUP(F999,STAMPANTI_DB!$A:$I,9,FALSE),"")</f>
        <v/>
      </c>
      <c r="Y999" s="23">
        <f>IFERROR(P999*SETTINGS!$C$7,"")</f>
        <v>0</v>
      </c>
      <c r="Z999" s="23">
        <f>SETTINGS!$C$11</f>
        <v>0.5</v>
      </c>
      <c r="AA999" s="23">
        <f t="shared" si="97"/>
        <v>0.5</v>
      </c>
      <c r="AB999" s="23">
        <f>IFERROR(AA999*SETTINGS!$C$9,"")</f>
        <v>2.5000000000000001E-2</v>
      </c>
      <c r="AC999" s="23">
        <f>IFERROR((AA999+AB999)*SETTINGS!$C$10,"")</f>
        <v>2.6250000000000002E-2</v>
      </c>
    </row>
  </sheetData>
  <autoFilter ref="A4:AC4" xr:uid="{00000000-0009-0000-0000-000005000000}"/>
  <mergeCells count="3">
    <mergeCell ref="A3:AC3"/>
    <mergeCell ref="A2:AC2"/>
    <mergeCell ref="A1:AC1"/>
  </mergeCells>
  <conditionalFormatting sqref="A5:AC1000">
    <cfRule type="expression" dxfId="3" priority="5">
      <formula>$E5="Fallita"</formula>
    </cfRule>
  </conditionalFormatting>
  <conditionalFormatting sqref="AD5:AD203">
    <cfRule type="expression" dxfId="2" priority="1">
      <formula>$E5="Fallita"</formula>
    </cfRule>
  </conditionalFormatting>
  <dataValidations count="1">
    <dataValidation type="list" allowBlank="1" sqref="E13:E999" xr:uid="{00000000-0002-0000-0500-000000000000}">
      <formula1>#REF!</formula1>
    </dataValidation>
  </dataValidations>
  <pageMargins left="0.75" right="0.75" top="1" bottom="1" header="0.5" footer="0.5"/>
  <pageSetup paperSize="9" orientation="portrait" horizontalDpi="0" verticalDpi="0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xr:uid="{00000000-0002-0000-0500-000001000000}">
          <x14:formula1>
            <xm:f>SETTINGS!$F$22:$F$26</xm:f>
          </x14:formula1>
          <xm:sqref>AD5:AD1000</xm:sqref>
        </x14:dataValidation>
        <x14:dataValidation type="list" allowBlank="1" xr:uid="{AA793B53-8F83-EB4A-847A-AA1D5E352ED1}">
          <x14:formula1>
            <xm:f>SETTINGS!$F$10:$F$13</xm:f>
          </x14:formula1>
          <xm:sqref>E5:E12</xm:sqref>
        </x14:dataValidation>
        <x14:dataValidation type="list" allowBlank="1" showInputMessage="1" showErrorMessage="1" xr:uid="{F6CCEB9E-04BF-42B5-9EFF-AFFD156DD611}">
          <x14:formula1>
            <xm:f>FILAMENTI_DB!$A$5:$A$14</xm:f>
          </x14:formula1>
          <xm:sqref>G6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C00000"/>
  </sheetPr>
  <dimension ref="A1:N1000"/>
  <sheetViews>
    <sheetView showGridLines="0" workbookViewId="0">
      <pane ySplit="4" topLeftCell="A5" activePane="bottomLeft" state="frozen"/>
      <selection pane="bottomLeft" activeCell="M7" sqref="M7"/>
    </sheetView>
  </sheetViews>
  <sheetFormatPr baseColWidth="10" defaultColWidth="8.83203125" defaultRowHeight="15" x14ac:dyDescent="0.2"/>
  <cols>
    <col min="1" max="1" width="11" customWidth="1"/>
    <col min="2" max="2" width="10" customWidth="1"/>
    <col min="3" max="3" width="12" customWidth="1"/>
    <col min="4" max="4" width="14" customWidth="1"/>
    <col min="5" max="5" width="12" customWidth="1"/>
    <col min="6" max="6" width="10" customWidth="1"/>
    <col min="7" max="7" width="32" customWidth="1"/>
    <col min="8" max="8" width="14" customWidth="1"/>
    <col min="9" max="9" width="24" customWidth="1"/>
    <col min="10" max="10" width="13" hidden="1" customWidth="1"/>
    <col min="11" max="11" width="18" customWidth="1"/>
    <col min="12" max="12" width="16" customWidth="1"/>
    <col min="13" max="13" width="14" customWidth="1"/>
  </cols>
  <sheetData>
    <row r="1" spans="1:14" ht="26" customHeight="1" x14ac:dyDescent="0.2">
      <c r="A1" s="48" t="s">
        <v>178</v>
      </c>
      <c r="B1" s="49"/>
      <c r="C1" s="49"/>
      <c r="D1" s="49"/>
      <c r="E1" s="49"/>
      <c r="F1" s="49"/>
      <c r="G1" s="49"/>
      <c r="H1" s="49"/>
      <c r="I1" s="50"/>
    </row>
    <row r="2" spans="1:14" ht="18" customHeight="1" x14ac:dyDescent="0.2">
      <c r="A2" s="56" t="s">
        <v>179</v>
      </c>
      <c r="B2" s="49"/>
      <c r="C2" s="49"/>
      <c r="D2" s="49"/>
      <c r="E2" s="49"/>
      <c r="F2" s="49"/>
      <c r="G2" s="49"/>
      <c r="H2" s="49"/>
      <c r="I2" s="50"/>
    </row>
    <row r="3" spans="1:14" ht="22" customHeight="1" x14ac:dyDescent="0.2">
      <c r="A3" s="66" t="s">
        <v>180</v>
      </c>
      <c r="B3" s="76"/>
      <c r="C3" s="76"/>
      <c r="D3" s="76"/>
      <c r="E3" s="76"/>
      <c r="F3" s="76"/>
      <c r="G3" s="76"/>
      <c r="H3" s="76"/>
      <c r="I3" s="76"/>
      <c r="J3" s="76"/>
      <c r="K3" s="76"/>
      <c r="L3" s="76"/>
      <c r="M3" s="52"/>
    </row>
    <row r="4" spans="1:14" ht="16" customHeight="1" x14ac:dyDescent="0.2">
      <c r="A4" s="1" t="s">
        <v>133</v>
      </c>
      <c r="B4" s="1" t="s">
        <v>99</v>
      </c>
      <c r="C4" s="1" t="s">
        <v>158</v>
      </c>
      <c r="D4" s="1" t="s">
        <v>159</v>
      </c>
      <c r="E4" s="1" t="s">
        <v>181</v>
      </c>
      <c r="F4" s="1" t="s">
        <v>182</v>
      </c>
      <c r="G4" s="1" t="s">
        <v>183</v>
      </c>
      <c r="H4" s="1" t="s">
        <v>184</v>
      </c>
      <c r="I4" s="1" t="s">
        <v>185</v>
      </c>
      <c r="J4" s="1" t="s">
        <v>60</v>
      </c>
      <c r="K4" s="39" t="s">
        <v>186</v>
      </c>
      <c r="L4" s="39" t="s">
        <v>187</v>
      </c>
      <c r="M4" s="39" t="s">
        <v>188</v>
      </c>
    </row>
    <row r="5" spans="1:14" ht="16" customHeight="1" x14ac:dyDescent="0.2">
      <c r="A5" s="17" t="s">
        <v>106</v>
      </c>
      <c r="B5" s="7" t="s">
        <v>62</v>
      </c>
      <c r="C5" s="7" t="s">
        <v>189</v>
      </c>
      <c r="D5" s="7" t="s">
        <v>103</v>
      </c>
      <c r="E5" s="6">
        <v>20</v>
      </c>
      <c r="F5" s="8">
        <v>0.3</v>
      </c>
      <c r="G5" s="7" t="s">
        <v>190</v>
      </c>
      <c r="H5" s="10" t="str">
        <f>IFERROR(E5*VLOOKUP(D5,FILAMENTI_DB!$A:$J,8,FALSE)+(VLOOKUP(C5,STAMPANTI_DB!$A:$C,3,FALSE)/1000)*F5*SETTINGS!$C$6+F5*VLOOKUP(C5,STAMPANTI_DB!$A:$I,9,FALSE)+SETTINGS!$C$11,"" )</f>
        <v/>
      </c>
      <c r="I5" s="7"/>
      <c r="J5" t="s">
        <v>57</v>
      </c>
      <c r="M5" s="23" t="str">
        <f>IFERROR((E5*VLOOKUP(D5,FILAMENTI_DB!$A:$J,8,FALSE))+((VLOOKUP(C5,STAMPANTI_DB!$A:$C,3,FALSE)/1000)*F5*SETTINGS!$C$6)+(F5*VLOOKUP(C5,STAMPANTI_DB!$A:$I,9,FALSE)),"")</f>
        <v/>
      </c>
      <c r="N5" s="18"/>
    </row>
    <row r="6" spans="1:14" ht="16" customHeight="1" x14ac:dyDescent="0.2">
      <c r="A6" s="17"/>
      <c r="B6" s="7"/>
      <c r="C6" s="7"/>
      <c r="D6" s="7"/>
      <c r="E6" s="6"/>
      <c r="F6" s="8"/>
      <c r="G6" s="7"/>
      <c r="H6" s="10" t="str">
        <f>IFERROR(E6*VLOOKUP(D6,FILAMENTI_DB!$A:$J,8,FALSE)+(VLOOKUP(C6,STAMPANTI_DB!$A:$C,3,FALSE)/1000)*F6*SETTINGS!$C$6+F6*VLOOKUP(C6,STAMPANTI_DB!$A:$I,9,FALSE)+SETTINGS!$C$11,"" )</f>
        <v/>
      </c>
      <c r="I6" s="7"/>
      <c r="J6" t="s">
        <v>62</v>
      </c>
      <c r="M6" s="23" t="str">
        <f>IFERROR((E6*VLOOKUP(D6,FILAMENTI_DB!$A:$J,8,FALSE))+((VLOOKUP(C6,STAMPANTI_DB!$A:$C,3,FALSE)/1000)*F6*SETTINGS!$C$6)+(F6*VLOOKUP(C6,STAMPANTI_DB!$A:$I,9,FALSE)),"")</f>
        <v/>
      </c>
    </row>
    <row r="7" spans="1:14" ht="16" customHeight="1" x14ac:dyDescent="0.2">
      <c r="A7" s="17"/>
      <c r="B7" s="7"/>
      <c r="C7" s="7"/>
      <c r="D7" s="7"/>
      <c r="E7" s="6"/>
      <c r="F7" s="8"/>
      <c r="G7" s="7"/>
      <c r="H7" s="10" t="str">
        <f>IFERROR(E7*VLOOKUP(D7,FILAMENTI_DB!$A:$J,8,FALSE)+(VLOOKUP(C7,STAMPANTI_DB!$A:$C,3,FALSE)/1000)*F7*SETTINGS!$C$6+F7*VLOOKUP(C7,STAMPANTI_DB!$A:$I,9,FALSE)+SETTINGS!$C$11,"" )</f>
        <v/>
      </c>
      <c r="I7" s="7"/>
      <c r="J7" t="s">
        <v>54</v>
      </c>
      <c r="M7" s="23" t="str">
        <f>IFERROR((E7*VLOOKUP(D7,FILAMENTI_DB!$A:$J,8,FALSE))+((VLOOKUP(C7,STAMPANTI_DB!$A:$C,3,FALSE)/1000)*F7*SETTINGS!$C$6)+(F7*VLOOKUP(C7,STAMPANTI_DB!$A:$I,9,FALSE)),"")</f>
        <v/>
      </c>
    </row>
    <row r="8" spans="1:14" ht="16" customHeight="1" x14ac:dyDescent="0.2">
      <c r="A8" s="17"/>
      <c r="B8" s="7"/>
      <c r="C8" s="7"/>
      <c r="D8" s="7"/>
      <c r="E8" s="6"/>
      <c r="F8" s="8"/>
      <c r="G8" s="7"/>
      <c r="H8" s="10" t="str">
        <f>IFERROR(E8*VLOOKUP(D8,FILAMENTI_DB!$A:$J,8,FALSE)+(VLOOKUP(C8,STAMPANTI_DB!$A:$C,3,FALSE)/1000)*F8*SETTINGS!$C$6+F8*VLOOKUP(C8,STAMPANTI_DB!$A:$I,9,FALSE)+SETTINGS!$C$11,"" )</f>
        <v/>
      </c>
      <c r="I8" s="7"/>
      <c r="M8" s="23" t="str">
        <f>IFERROR((E8*VLOOKUP(D8,FILAMENTI_DB!$A:$J,8,FALSE))+((VLOOKUP(C8,STAMPANTI_DB!$A:$C,3,FALSE)/1000)*F8*SETTINGS!$C$6)+(F8*VLOOKUP(C8,STAMPANTI_DB!$A:$I,9,FALSE)),"")</f>
        <v/>
      </c>
    </row>
    <row r="9" spans="1:14" ht="16" customHeight="1" x14ac:dyDescent="0.2">
      <c r="A9" s="17"/>
      <c r="B9" s="7"/>
      <c r="C9" s="7"/>
      <c r="D9" s="7"/>
      <c r="E9" s="6"/>
      <c r="F9" s="8"/>
      <c r="G9" s="7"/>
      <c r="H9" s="10" t="str">
        <f>IFERROR(E9*VLOOKUP(D9,FILAMENTI_DB!$A:$J,8,FALSE)+(VLOOKUP(C9,STAMPANTI_DB!$A:$C,3,FALSE)/1000)*F9*SETTINGS!$C$6+F9*VLOOKUP(C9,STAMPANTI_DB!$A:$I,9,FALSE)+SETTINGS!$C$11,"" )</f>
        <v/>
      </c>
      <c r="I9" s="7"/>
      <c r="M9" s="23" t="str">
        <f>IFERROR((E9*VLOOKUP(D9,FILAMENTI_DB!$A:$J,8,FALSE))+((VLOOKUP(C9,STAMPANTI_DB!$A:$C,3,FALSE)/1000)*F9*SETTINGS!$C$6)+(F9*VLOOKUP(C9,STAMPANTI_DB!$A:$I,9,FALSE)),"")</f>
        <v/>
      </c>
    </row>
    <row r="10" spans="1:14" ht="16" customHeight="1" x14ac:dyDescent="0.2">
      <c r="A10" s="17"/>
      <c r="B10" s="7"/>
      <c r="C10" s="7"/>
      <c r="D10" s="7"/>
      <c r="E10" s="6"/>
      <c r="F10" s="8"/>
      <c r="G10" s="7"/>
      <c r="H10" s="10" t="str">
        <f>IFERROR(E10*VLOOKUP(D10,FILAMENTI_DB!$A:$J,8,FALSE)+(VLOOKUP(C10,STAMPANTI_DB!$A:$C,3,FALSE)/1000)*F10*SETTINGS!$C$6+F10*VLOOKUP(C10,STAMPANTI_DB!$A:$I,9,FALSE)+SETTINGS!$C$11,"" )</f>
        <v/>
      </c>
      <c r="I10" s="7"/>
      <c r="M10" s="23" t="str">
        <f>IFERROR((E10*VLOOKUP(D10,FILAMENTI_DB!$A:$J,8,FALSE))+((VLOOKUP(C10,STAMPANTI_DB!$A:$C,3,FALSE)/1000)*F10*SETTINGS!$C$6)+(F10*VLOOKUP(C10,STAMPANTI_DB!$A:$I,9,FALSE)),"")</f>
        <v/>
      </c>
    </row>
    <row r="11" spans="1:14" ht="16" customHeight="1" x14ac:dyDescent="0.2">
      <c r="A11" s="17"/>
      <c r="B11" s="7"/>
      <c r="C11" s="7"/>
      <c r="D11" s="7"/>
      <c r="E11" s="6"/>
      <c r="F11" s="8"/>
      <c r="G11" s="7"/>
      <c r="H11" s="10" t="str">
        <f>IFERROR(E11*VLOOKUP(D11,FILAMENTI_DB!$A:$J,8,FALSE)+(VLOOKUP(C11,STAMPANTI_DB!$A:$C,3,FALSE)/1000)*F11*SETTINGS!$C$6+F11*VLOOKUP(C11,STAMPANTI_DB!$A:$I,9,FALSE)+SETTINGS!$C$11,"" )</f>
        <v/>
      </c>
      <c r="I11" s="7"/>
      <c r="M11" s="23" t="str">
        <f>IFERROR((E11*VLOOKUP(D11,FILAMENTI_DB!$A:$J,8,FALSE))+((VLOOKUP(C11,STAMPANTI_DB!$A:$C,3,FALSE)/1000)*F11*SETTINGS!$C$6)+(F11*VLOOKUP(C11,STAMPANTI_DB!$A:$I,9,FALSE)),"")</f>
        <v/>
      </c>
    </row>
    <row r="12" spans="1:14" ht="16" customHeight="1" x14ac:dyDescent="0.2">
      <c r="A12" s="17"/>
      <c r="B12" s="7"/>
      <c r="C12" s="7"/>
      <c r="D12" s="7"/>
      <c r="E12" s="6"/>
      <c r="F12" s="8"/>
      <c r="G12" s="7"/>
      <c r="H12" s="10" t="str">
        <f>IFERROR(E12*VLOOKUP(D12,FILAMENTI_DB!$A:$J,8,FALSE)+(VLOOKUP(C12,STAMPANTI_DB!$A:$C,3,FALSE)/1000)*F12*SETTINGS!$C$6+F12*VLOOKUP(C12,STAMPANTI_DB!$A:$I,9,FALSE)+SETTINGS!$C$11,"" )</f>
        <v/>
      </c>
      <c r="I12" s="7"/>
      <c r="M12" s="23" t="str">
        <f>IFERROR((E12*VLOOKUP(D12,FILAMENTI_DB!$A:$J,8,FALSE))+((VLOOKUP(C12,STAMPANTI_DB!$A:$C,3,FALSE)/1000)*F12*SETTINGS!$C$6)+(F12*VLOOKUP(C12,STAMPANTI_DB!$A:$I,9,FALSE)),"")</f>
        <v/>
      </c>
    </row>
    <row r="13" spans="1:14" ht="16" customHeight="1" x14ac:dyDescent="0.2">
      <c r="A13" s="17"/>
      <c r="B13" s="7"/>
      <c r="C13" s="7"/>
      <c r="D13" s="7"/>
      <c r="E13" s="6"/>
      <c r="F13" s="8"/>
      <c r="G13" s="7"/>
      <c r="H13" s="10" t="str">
        <f>IFERROR(E13*VLOOKUP(D13,FILAMENTI_DB!$A:$J,8,FALSE)+(VLOOKUP(C13,STAMPANTI_DB!$A:$C,3,FALSE)/1000)*F13*SETTINGS!$C$6+F13*VLOOKUP(C13,STAMPANTI_DB!$A:$I,9,FALSE)+SETTINGS!$C$11,"" )</f>
        <v/>
      </c>
      <c r="I13" s="7"/>
      <c r="M13" s="23" t="str">
        <f>IFERROR((E13*VLOOKUP(D13,FILAMENTI_DB!$A:$J,8,FALSE))+((VLOOKUP(C13,STAMPANTI_DB!$A:$C,3,FALSE)/1000)*F13*SETTINGS!$C$6)+(F13*VLOOKUP(C13,STAMPANTI_DB!$A:$I,9,FALSE)),"")</f>
        <v/>
      </c>
    </row>
    <row r="14" spans="1:14" ht="16" customHeight="1" x14ac:dyDescent="0.2">
      <c r="A14" s="17"/>
      <c r="B14" s="7"/>
      <c r="C14" s="7"/>
      <c r="D14" s="7"/>
      <c r="E14" s="6"/>
      <c r="F14" s="8"/>
      <c r="G14" s="7"/>
      <c r="H14" s="10" t="str">
        <f>IFERROR(E14*VLOOKUP(D14,FILAMENTI_DB!$A:$J,8,FALSE)+(VLOOKUP(C14,STAMPANTI_DB!$A:$C,3,FALSE)/1000)*F14*SETTINGS!$C$6+F14*VLOOKUP(C14,STAMPANTI_DB!$A:$I,9,FALSE)+SETTINGS!$C$11,"" )</f>
        <v/>
      </c>
      <c r="I14" s="7"/>
      <c r="M14" s="23" t="str">
        <f>IFERROR((E14*VLOOKUP(D14,FILAMENTI_DB!$A:$J,8,FALSE))+((VLOOKUP(C14,STAMPANTI_DB!$A:$C,3,FALSE)/1000)*F14*SETTINGS!$C$6)+(F14*VLOOKUP(C14,STAMPANTI_DB!$A:$I,9,FALSE)),"")</f>
        <v/>
      </c>
    </row>
    <row r="15" spans="1:14" ht="16" customHeight="1" x14ac:dyDescent="0.2">
      <c r="A15" s="17"/>
      <c r="B15" s="7"/>
      <c r="C15" s="7"/>
      <c r="D15" s="7"/>
      <c r="E15" s="6"/>
      <c r="F15" s="8"/>
      <c r="G15" s="7"/>
      <c r="H15" s="10" t="str">
        <f>IFERROR(E15*VLOOKUP(D15,FILAMENTI_DB!$A:$J,8,FALSE)+(VLOOKUP(C15,STAMPANTI_DB!$A:$C,3,FALSE)/1000)*F15*SETTINGS!$C$6+F15*VLOOKUP(C15,STAMPANTI_DB!$A:$I,9,FALSE)+SETTINGS!$C$11,"" )</f>
        <v/>
      </c>
      <c r="I15" s="7"/>
      <c r="M15" s="23" t="str">
        <f>IFERROR((E15*VLOOKUP(D15,FILAMENTI_DB!$A:$J,8,FALSE))+((VLOOKUP(C15,STAMPANTI_DB!$A:$C,3,FALSE)/1000)*F15*SETTINGS!$C$6)+(F15*VLOOKUP(C15,STAMPANTI_DB!$A:$I,9,FALSE)),"")</f>
        <v/>
      </c>
    </row>
    <row r="16" spans="1:14" ht="16" customHeight="1" x14ac:dyDescent="0.2">
      <c r="A16" s="17"/>
      <c r="B16" s="7"/>
      <c r="C16" s="7"/>
      <c r="D16" s="7"/>
      <c r="E16" s="6"/>
      <c r="F16" s="8"/>
      <c r="G16" s="7"/>
      <c r="H16" s="10" t="str">
        <f>IFERROR(E16*VLOOKUP(D16,FILAMENTI_DB!$A:$J,8,FALSE)+(VLOOKUP(C16,STAMPANTI_DB!$A:$C,3,FALSE)/1000)*F16*SETTINGS!$C$6+F16*VLOOKUP(C16,STAMPANTI_DB!$A:$I,9,FALSE)+SETTINGS!$C$11,"" )</f>
        <v/>
      </c>
      <c r="I16" s="7"/>
      <c r="M16" s="23" t="str">
        <f>IFERROR((E16*VLOOKUP(D16,FILAMENTI_DB!$A:$J,8,FALSE))+((VLOOKUP(C16,STAMPANTI_DB!$A:$C,3,FALSE)/1000)*F16*SETTINGS!$C$6)+(F16*VLOOKUP(C16,STAMPANTI_DB!$A:$I,9,FALSE)),"")</f>
        <v/>
      </c>
    </row>
    <row r="17" spans="1:13" ht="16" customHeight="1" x14ac:dyDescent="0.2">
      <c r="A17" s="17"/>
      <c r="B17" s="7"/>
      <c r="C17" s="7"/>
      <c r="D17" s="7"/>
      <c r="E17" s="6"/>
      <c r="F17" s="8"/>
      <c r="G17" s="7"/>
      <c r="H17" s="10" t="str">
        <f>IFERROR(E17*VLOOKUP(D17,FILAMENTI_DB!$A:$J,8,FALSE)+(VLOOKUP(C17,STAMPANTI_DB!$A:$C,3,FALSE)/1000)*F17*SETTINGS!$C$6+F17*VLOOKUP(C17,STAMPANTI_DB!$A:$I,9,FALSE)+SETTINGS!$C$11,"" )</f>
        <v/>
      </c>
      <c r="I17" s="7"/>
      <c r="M17" s="23" t="str">
        <f>IFERROR((E17*VLOOKUP(D17,FILAMENTI_DB!$A:$J,8,FALSE))+((VLOOKUP(C17,STAMPANTI_DB!$A:$C,3,FALSE)/1000)*F17*SETTINGS!$C$6)+(F17*VLOOKUP(C17,STAMPANTI_DB!$A:$I,9,FALSE)),"")</f>
        <v/>
      </c>
    </row>
    <row r="18" spans="1:13" ht="16" customHeight="1" x14ac:dyDescent="0.2">
      <c r="A18" s="17"/>
      <c r="B18" s="7"/>
      <c r="C18" s="7"/>
      <c r="D18" s="7"/>
      <c r="E18" s="6"/>
      <c r="F18" s="8"/>
      <c r="G18" s="7"/>
      <c r="H18" s="10" t="str">
        <f>IFERROR(E18*VLOOKUP(D18,FILAMENTI_DB!$A:$J,8,FALSE)+(VLOOKUP(C18,STAMPANTI_DB!$A:$C,3,FALSE)/1000)*F18*SETTINGS!$C$6+F18*VLOOKUP(C18,STAMPANTI_DB!$A:$I,9,FALSE)+SETTINGS!$C$11,"" )</f>
        <v/>
      </c>
      <c r="I18" s="7"/>
      <c r="M18" s="23" t="str">
        <f>IFERROR((E18*VLOOKUP(D18,FILAMENTI_DB!$A:$J,8,FALSE))+((VLOOKUP(C18,STAMPANTI_DB!$A:$C,3,FALSE)/1000)*F18*SETTINGS!$C$6)+(F18*VLOOKUP(C18,STAMPANTI_DB!$A:$I,9,FALSE)),"")</f>
        <v/>
      </c>
    </row>
    <row r="19" spans="1:13" ht="16" customHeight="1" x14ac:dyDescent="0.2">
      <c r="A19" s="17"/>
      <c r="B19" s="7"/>
      <c r="C19" s="7"/>
      <c r="D19" s="7"/>
      <c r="E19" s="6"/>
      <c r="F19" s="8"/>
      <c r="G19" s="7"/>
      <c r="H19" s="10" t="str">
        <f>IFERROR(E19*VLOOKUP(D19,FILAMENTI_DB!$A:$J,8,FALSE)+(VLOOKUP(C19,STAMPANTI_DB!$A:$C,3,FALSE)/1000)*F19*SETTINGS!$C$6+F19*VLOOKUP(C19,STAMPANTI_DB!$A:$I,9,FALSE)+SETTINGS!$C$11,"" )</f>
        <v/>
      </c>
      <c r="I19" s="7"/>
      <c r="M19" s="23" t="str">
        <f>IFERROR((E19*VLOOKUP(D19,FILAMENTI_DB!$A:$J,8,FALSE))+((VLOOKUP(C19,STAMPANTI_DB!$A:$C,3,FALSE)/1000)*F19*SETTINGS!$C$6)+(F19*VLOOKUP(C19,STAMPANTI_DB!$A:$I,9,FALSE)),"")</f>
        <v/>
      </c>
    </row>
    <row r="20" spans="1:13" ht="16" customHeight="1" x14ac:dyDescent="0.2">
      <c r="A20" s="17"/>
      <c r="B20" s="7"/>
      <c r="C20" s="7"/>
      <c r="D20" s="7"/>
      <c r="E20" s="6"/>
      <c r="F20" s="8"/>
      <c r="G20" s="7"/>
      <c r="H20" s="10" t="str">
        <f>IFERROR(E20*VLOOKUP(D20,FILAMENTI_DB!$A:$J,8,FALSE)+(VLOOKUP(C20,STAMPANTI_DB!$A:$C,3,FALSE)/1000)*F20*SETTINGS!$C$6+F20*VLOOKUP(C20,STAMPANTI_DB!$A:$I,9,FALSE)+SETTINGS!$C$11,"" )</f>
        <v/>
      </c>
      <c r="I20" s="7"/>
      <c r="M20" s="23" t="str">
        <f>IFERROR((E20*VLOOKUP(D20,FILAMENTI_DB!$A:$J,8,FALSE))+((VLOOKUP(C20,STAMPANTI_DB!$A:$C,3,FALSE)/1000)*F20*SETTINGS!$C$6)+(F20*VLOOKUP(C20,STAMPANTI_DB!$A:$I,9,FALSE)),"")</f>
        <v/>
      </c>
    </row>
    <row r="21" spans="1:13" ht="16" customHeight="1" x14ac:dyDescent="0.2">
      <c r="A21" s="17"/>
      <c r="B21" s="7"/>
      <c r="C21" s="7"/>
      <c r="D21" s="7"/>
      <c r="E21" s="6"/>
      <c r="F21" s="8"/>
      <c r="G21" s="7"/>
      <c r="H21" s="10" t="str">
        <f>IFERROR(E21*VLOOKUP(D21,FILAMENTI_DB!$A:$J,8,FALSE)+(VLOOKUP(C21,STAMPANTI_DB!$A:$C,3,FALSE)/1000)*F21*SETTINGS!$C$6+F21*VLOOKUP(C21,STAMPANTI_DB!$A:$I,9,FALSE)+SETTINGS!$C$11,"" )</f>
        <v/>
      </c>
      <c r="I21" s="7"/>
      <c r="M21" s="23" t="str">
        <f>IFERROR((E21*VLOOKUP(D21,FILAMENTI_DB!$A:$J,8,FALSE))+((VLOOKUP(C21,STAMPANTI_DB!$A:$C,3,FALSE)/1000)*F21*SETTINGS!$C$6)+(F21*VLOOKUP(C21,STAMPANTI_DB!$A:$I,9,FALSE)),"")</f>
        <v/>
      </c>
    </row>
    <row r="22" spans="1:13" ht="16" customHeight="1" x14ac:dyDescent="0.2">
      <c r="A22" s="17"/>
      <c r="B22" s="7"/>
      <c r="C22" s="7"/>
      <c r="D22" s="7"/>
      <c r="E22" s="6"/>
      <c r="F22" s="8"/>
      <c r="G22" s="7"/>
      <c r="H22" s="10" t="str">
        <f>IFERROR(E22*VLOOKUP(D22,FILAMENTI_DB!$A:$J,8,FALSE)+(VLOOKUP(C22,STAMPANTI_DB!$A:$C,3,FALSE)/1000)*F22*SETTINGS!$C$6+F22*VLOOKUP(C22,STAMPANTI_DB!$A:$I,9,FALSE)+SETTINGS!$C$11,"" )</f>
        <v/>
      </c>
      <c r="I22" s="7"/>
      <c r="M22" s="23" t="str">
        <f>IFERROR((E22*VLOOKUP(D22,FILAMENTI_DB!$A:$J,8,FALSE))+((VLOOKUP(C22,STAMPANTI_DB!$A:$C,3,FALSE)/1000)*F22*SETTINGS!$C$6)+(F22*VLOOKUP(C22,STAMPANTI_DB!$A:$I,9,FALSE)),"")</f>
        <v/>
      </c>
    </row>
    <row r="23" spans="1:13" ht="16" customHeight="1" x14ac:dyDescent="0.2">
      <c r="A23" s="17"/>
      <c r="B23" s="7"/>
      <c r="C23" s="7"/>
      <c r="D23" s="7"/>
      <c r="E23" s="6"/>
      <c r="F23" s="8"/>
      <c r="G23" s="7"/>
      <c r="H23" s="10" t="str">
        <f>IFERROR(E23*VLOOKUP(D23,FILAMENTI_DB!$A:$J,8,FALSE)+(VLOOKUP(C23,STAMPANTI_DB!$A:$C,3,FALSE)/1000)*F23*SETTINGS!$C$6+F23*VLOOKUP(C23,STAMPANTI_DB!$A:$I,9,FALSE)+SETTINGS!$C$11,"" )</f>
        <v/>
      </c>
      <c r="I23" s="7"/>
      <c r="M23" s="23" t="str">
        <f>IFERROR((E23*VLOOKUP(D23,FILAMENTI_DB!$A:$J,8,FALSE))+((VLOOKUP(C23,STAMPANTI_DB!$A:$C,3,FALSE)/1000)*F23*SETTINGS!$C$6)+(F23*VLOOKUP(C23,STAMPANTI_DB!$A:$I,9,FALSE)),"")</f>
        <v/>
      </c>
    </row>
    <row r="24" spans="1:13" ht="16" customHeight="1" x14ac:dyDescent="0.2">
      <c r="A24" s="17"/>
      <c r="B24" s="7"/>
      <c r="C24" s="7"/>
      <c r="D24" s="7"/>
      <c r="E24" s="6"/>
      <c r="F24" s="8"/>
      <c r="G24" s="7"/>
      <c r="H24" s="10" t="str">
        <f>IFERROR(E24*VLOOKUP(D24,FILAMENTI_DB!$A:$J,8,FALSE)+(VLOOKUP(C24,STAMPANTI_DB!$A:$C,3,FALSE)/1000)*F24*SETTINGS!$C$6+F24*VLOOKUP(C24,STAMPANTI_DB!$A:$I,9,FALSE)+SETTINGS!$C$11,"" )</f>
        <v/>
      </c>
      <c r="I24" s="7"/>
      <c r="M24" s="23" t="str">
        <f>IFERROR((E24*VLOOKUP(D24,FILAMENTI_DB!$A:$J,8,FALSE))+((VLOOKUP(C24,STAMPANTI_DB!$A:$C,3,FALSE)/1000)*F24*SETTINGS!$C$6)+(F24*VLOOKUP(C24,STAMPANTI_DB!$A:$I,9,FALSE)),"")</f>
        <v/>
      </c>
    </row>
    <row r="25" spans="1:13" ht="16" customHeight="1" x14ac:dyDescent="0.2">
      <c r="A25" s="17"/>
      <c r="B25" s="7"/>
      <c r="C25" s="7"/>
      <c r="D25" s="7"/>
      <c r="E25" s="6"/>
      <c r="F25" s="8"/>
      <c r="G25" s="7"/>
      <c r="H25" s="10" t="str">
        <f>IFERROR(E25*VLOOKUP(D25,FILAMENTI_DB!$A:$J,8,FALSE)+(VLOOKUP(C25,STAMPANTI_DB!$A:$C,3,FALSE)/1000)*F25*SETTINGS!$C$6+F25*VLOOKUP(C25,STAMPANTI_DB!$A:$I,9,FALSE)+SETTINGS!$C$11,"" )</f>
        <v/>
      </c>
      <c r="I25" s="7"/>
      <c r="M25" s="23" t="str">
        <f>IFERROR((E25*VLOOKUP(D25,FILAMENTI_DB!$A:$J,8,FALSE))+((VLOOKUP(C25,STAMPANTI_DB!$A:$C,3,FALSE)/1000)*F25*SETTINGS!$C$6)+(F25*VLOOKUP(C25,STAMPANTI_DB!$A:$I,9,FALSE)),"")</f>
        <v/>
      </c>
    </row>
    <row r="26" spans="1:13" ht="16" customHeight="1" x14ac:dyDescent="0.2">
      <c r="A26" s="17"/>
      <c r="B26" s="7"/>
      <c r="C26" s="7"/>
      <c r="D26" s="7"/>
      <c r="E26" s="6"/>
      <c r="F26" s="8"/>
      <c r="G26" s="7"/>
      <c r="H26" s="10" t="str">
        <f>IFERROR(E26*VLOOKUP(D26,FILAMENTI_DB!$A:$J,8,FALSE)+(VLOOKUP(C26,STAMPANTI_DB!$A:$C,3,FALSE)/1000)*F26*SETTINGS!$C$6+F26*VLOOKUP(C26,STAMPANTI_DB!$A:$I,9,FALSE)+SETTINGS!$C$11,"" )</f>
        <v/>
      </c>
      <c r="I26" s="7"/>
      <c r="M26" s="23" t="str">
        <f>IFERROR((E26*VLOOKUP(D26,FILAMENTI_DB!$A:$J,8,FALSE))+((VLOOKUP(C26,STAMPANTI_DB!$A:$C,3,FALSE)/1000)*F26*SETTINGS!$C$6)+(F26*VLOOKUP(C26,STAMPANTI_DB!$A:$I,9,FALSE)),"")</f>
        <v/>
      </c>
    </row>
    <row r="27" spans="1:13" ht="16" customHeight="1" x14ac:dyDescent="0.2">
      <c r="A27" s="17"/>
      <c r="B27" s="7"/>
      <c r="C27" s="7"/>
      <c r="D27" s="7"/>
      <c r="E27" s="6"/>
      <c r="F27" s="8"/>
      <c r="G27" s="7"/>
      <c r="H27" s="10" t="str">
        <f>IFERROR(E27*VLOOKUP(D27,FILAMENTI_DB!$A:$J,8,FALSE)+(VLOOKUP(C27,STAMPANTI_DB!$A:$C,3,FALSE)/1000)*F27*SETTINGS!$C$6+F27*VLOOKUP(C27,STAMPANTI_DB!$A:$I,9,FALSE)+SETTINGS!$C$11,"" )</f>
        <v/>
      </c>
      <c r="I27" s="7"/>
      <c r="M27" s="23" t="str">
        <f>IFERROR((E27*VLOOKUP(D27,FILAMENTI_DB!$A:$J,8,FALSE))+((VLOOKUP(C27,STAMPANTI_DB!$A:$C,3,FALSE)/1000)*F27*SETTINGS!$C$6)+(F27*VLOOKUP(C27,STAMPANTI_DB!$A:$I,9,FALSE)),"")</f>
        <v/>
      </c>
    </row>
    <row r="28" spans="1:13" ht="16" customHeight="1" x14ac:dyDescent="0.2">
      <c r="A28" s="17"/>
      <c r="B28" s="7"/>
      <c r="C28" s="7"/>
      <c r="D28" s="7"/>
      <c r="E28" s="6"/>
      <c r="F28" s="8"/>
      <c r="G28" s="7"/>
      <c r="H28" s="10" t="str">
        <f>IFERROR(E28*VLOOKUP(D28,FILAMENTI_DB!$A:$J,8,FALSE)+(VLOOKUP(C28,STAMPANTI_DB!$A:$C,3,FALSE)/1000)*F28*SETTINGS!$C$6+F28*VLOOKUP(C28,STAMPANTI_DB!$A:$I,9,FALSE)+SETTINGS!$C$11,"" )</f>
        <v/>
      </c>
      <c r="I28" s="7"/>
      <c r="M28" s="23" t="str">
        <f>IFERROR((E28*VLOOKUP(D28,FILAMENTI_DB!$A:$J,8,FALSE))+((VLOOKUP(C28,STAMPANTI_DB!$A:$C,3,FALSE)/1000)*F28*SETTINGS!$C$6)+(F28*VLOOKUP(C28,STAMPANTI_DB!$A:$I,9,FALSE)),"")</f>
        <v/>
      </c>
    </row>
    <row r="29" spans="1:13" ht="16" customHeight="1" x14ac:dyDescent="0.2">
      <c r="A29" s="17"/>
      <c r="B29" s="7"/>
      <c r="C29" s="7"/>
      <c r="D29" s="7"/>
      <c r="E29" s="6"/>
      <c r="F29" s="8"/>
      <c r="G29" s="7"/>
      <c r="H29" s="10" t="str">
        <f>IFERROR(E29*VLOOKUP(D29,FILAMENTI_DB!$A:$J,8,FALSE)+(VLOOKUP(C29,STAMPANTI_DB!$A:$C,3,FALSE)/1000)*F29*SETTINGS!$C$6+F29*VLOOKUP(C29,STAMPANTI_DB!$A:$I,9,FALSE)+SETTINGS!$C$11,"" )</f>
        <v/>
      </c>
      <c r="I29" s="7"/>
      <c r="M29" s="23" t="str">
        <f>IFERROR((E29*VLOOKUP(D29,FILAMENTI_DB!$A:$J,8,FALSE))+((VLOOKUP(C29,STAMPANTI_DB!$A:$C,3,FALSE)/1000)*F29*SETTINGS!$C$6)+(F29*VLOOKUP(C29,STAMPANTI_DB!$A:$I,9,FALSE)),"")</f>
        <v/>
      </c>
    </row>
    <row r="30" spans="1:13" ht="16" customHeight="1" x14ac:dyDescent="0.2">
      <c r="A30" s="17"/>
      <c r="B30" s="7"/>
      <c r="C30" s="7"/>
      <c r="D30" s="7"/>
      <c r="E30" s="6"/>
      <c r="F30" s="8"/>
      <c r="G30" s="7"/>
      <c r="H30" s="10" t="str">
        <f>IFERROR(E30*VLOOKUP(D30,FILAMENTI_DB!$A:$J,8,FALSE)+(VLOOKUP(C30,STAMPANTI_DB!$A:$C,3,FALSE)/1000)*F30*SETTINGS!$C$6+F30*VLOOKUP(C30,STAMPANTI_DB!$A:$I,9,FALSE)+SETTINGS!$C$11,"" )</f>
        <v/>
      </c>
      <c r="I30" s="7"/>
      <c r="M30" s="23" t="str">
        <f>IFERROR((E30*VLOOKUP(D30,FILAMENTI_DB!$A:$J,8,FALSE))+((VLOOKUP(C30,STAMPANTI_DB!$A:$C,3,FALSE)/1000)*F30*SETTINGS!$C$6)+(F30*VLOOKUP(C30,STAMPANTI_DB!$A:$I,9,FALSE)),"")</f>
        <v/>
      </c>
    </row>
    <row r="31" spans="1:13" ht="16" customHeight="1" x14ac:dyDescent="0.2">
      <c r="A31" s="17"/>
      <c r="B31" s="7"/>
      <c r="C31" s="7"/>
      <c r="D31" s="7"/>
      <c r="E31" s="6"/>
      <c r="F31" s="8"/>
      <c r="G31" s="7"/>
      <c r="H31" s="10" t="str">
        <f>IFERROR(E31*VLOOKUP(D31,FILAMENTI_DB!$A:$J,8,FALSE)+(VLOOKUP(C31,STAMPANTI_DB!$A:$C,3,FALSE)/1000)*F31*SETTINGS!$C$6+F31*VLOOKUP(C31,STAMPANTI_DB!$A:$I,9,FALSE)+SETTINGS!$C$11,"" )</f>
        <v/>
      </c>
      <c r="I31" s="7"/>
      <c r="M31" s="23" t="str">
        <f>IFERROR((E31*VLOOKUP(D31,FILAMENTI_DB!$A:$J,8,FALSE))+((VLOOKUP(C31,STAMPANTI_DB!$A:$C,3,FALSE)/1000)*F31*SETTINGS!$C$6)+(F31*VLOOKUP(C31,STAMPANTI_DB!$A:$I,9,FALSE)),"")</f>
        <v/>
      </c>
    </row>
    <row r="32" spans="1:13" ht="16" customHeight="1" x14ac:dyDescent="0.2">
      <c r="A32" s="17"/>
      <c r="B32" s="7"/>
      <c r="C32" s="7"/>
      <c r="D32" s="7"/>
      <c r="E32" s="6"/>
      <c r="F32" s="8"/>
      <c r="G32" s="7"/>
      <c r="H32" s="10" t="str">
        <f>IFERROR(E32*VLOOKUP(D32,FILAMENTI_DB!$A:$J,8,FALSE)+(VLOOKUP(C32,STAMPANTI_DB!$A:$C,3,FALSE)/1000)*F32*SETTINGS!$C$6+F32*VLOOKUP(C32,STAMPANTI_DB!$A:$I,9,FALSE)+SETTINGS!$C$11,"" )</f>
        <v/>
      </c>
      <c r="I32" s="7"/>
      <c r="M32" s="23" t="str">
        <f>IFERROR((E32*VLOOKUP(D32,FILAMENTI_DB!$A:$J,8,FALSE))+((VLOOKUP(C32,STAMPANTI_DB!$A:$C,3,FALSE)/1000)*F32*SETTINGS!$C$6)+(F32*VLOOKUP(C32,STAMPANTI_DB!$A:$I,9,FALSE)),"")</f>
        <v/>
      </c>
    </row>
    <row r="33" spans="1:13" ht="16" customHeight="1" x14ac:dyDescent="0.2">
      <c r="A33" s="17"/>
      <c r="B33" s="7"/>
      <c r="C33" s="7"/>
      <c r="D33" s="7"/>
      <c r="E33" s="6"/>
      <c r="F33" s="8"/>
      <c r="G33" s="7"/>
      <c r="H33" s="10" t="str">
        <f>IFERROR(E33*VLOOKUP(D33,FILAMENTI_DB!$A:$J,8,FALSE)+(VLOOKUP(C33,STAMPANTI_DB!$A:$C,3,FALSE)/1000)*F33*SETTINGS!$C$6+F33*VLOOKUP(C33,STAMPANTI_DB!$A:$I,9,FALSE)+SETTINGS!$C$11,"" )</f>
        <v/>
      </c>
      <c r="I33" s="7"/>
      <c r="M33" s="23" t="str">
        <f>IFERROR((E33*VLOOKUP(D33,FILAMENTI_DB!$A:$J,8,FALSE))+((VLOOKUP(C33,STAMPANTI_DB!$A:$C,3,FALSE)/1000)*F33*SETTINGS!$C$6)+(F33*VLOOKUP(C33,STAMPANTI_DB!$A:$I,9,FALSE)),"")</f>
        <v/>
      </c>
    </row>
    <row r="34" spans="1:13" ht="16" customHeight="1" x14ac:dyDescent="0.2">
      <c r="A34" s="17"/>
      <c r="B34" s="7"/>
      <c r="C34" s="7"/>
      <c r="D34" s="7"/>
      <c r="E34" s="6"/>
      <c r="F34" s="8"/>
      <c r="G34" s="7"/>
      <c r="H34" s="10" t="str">
        <f>IFERROR(E34*VLOOKUP(D34,FILAMENTI_DB!$A:$J,8,FALSE)+(VLOOKUP(C34,STAMPANTI_DB!$A:$C,3,FALSE)/1000)*F34*SETTINGS!$C$6+F34*VLOOKUP(C34,STAMPANTI_DB!$A:$I,9,FALSE)+SETTINGS!$C$11,"" )</f>
        <v/>
      </c>
      <c r="I34" s="7"/>
      <c r="M34" s="23" t="str">
        <f>IFERROR((E34*VLOOKUP(D34,FILAMENTI_DB!$A:$J,8,FALSE))+((VLOOKUP(C34,STAMPANTI_DB!$A:$C,3,FALSE)/1000)*F34*SETTINGS!$C$6)+(F34*VLOOKUP(C34,STAMPANTI_DB!$A:$I,9,FALSE)),"")</f>
        <v/>
      </c>
    </row>
    <row r="35" spans="1:13" ht="16" customHeight="1" x14ac:dyDescent="0.2">
      <c r="A35" s="17"/>
      <c r="B35" s="7"/>
      <c r="C35" s="7"/>
      <c r="D35" s="7"/>
      <c r="E35" s="6"/>
      <c r="F35" s="8"/>
      <c r="G35" s="7"/>
      <c r="H35" s="10" t="str">
        <f>IFERROR(E35*VLOOKUP(D35,FILAMENTI_DB!$A:$J,8,FALSE)+(VLOOKUP(C35,STAMPANTI_DB!$A:$C,3,FALSE)/1000)*F35*SETTINGS!$C$6+F35*VLOOKUP(C35,STAMPANTI_DB!$A:$I,9,FALSE)+SETTINGS!$C$11,"" )</f>
        <v/>
      </c>
      <c r="I35" s="7"/>
      <c r="M35" s="23" t="str">
        <f>IFERROR((E35*VLOOKUP(D35,FILAMENTI_DB!$A:$J,8,FALSE))+((VLOOKUP(C35,STAMPANTI_DB!$A:$C,3,FALSE)/1000)*F35*SETTINGS!$C$6)+(F35*VLOOKUP(C35,STAMPANTI_DB!$A:$I,9,FALSE)),"")</f>
        <v/>
      </c>
    </row>
    <row r="36" spans="1:13" ht="16" customHeight="1" x14ac:dyDescent="0.2">
      <c r="A36" s="17"/>
      <c r="B36" s="7"/>
      <c r="C36" s="7"/>
      <c r="D36" s="7"/>
      <c r="E36" s="6"/>
      <c r="F36" s="8"/>
      <c r="G36" s="7"/>
      <c r="H36" s="10" t="str">
        <f>IFERROR(E36*VLOOKUP(D36,FILAMENTI_DB!$A:$J,8,FALSE)+(VLOOKUP(C36,STAMPANTI_DB!$A:$C,3,FALSE)/1000)*F36*SETTINGS!$C$6+F36*VLOOKUP(C36,STAMPANTI_DB!$A:$I,9,FALSE)+SETTINGS!$C$11,"" )</f>
        <v/>
      </c>
      <c r="I36" s="7"/>
      <c r="M36" s="23" t="str">
        <f>IFERROR((E36*VLOOKUP(D36,FILAMENTI_DB!$A:$J,8,FALSE))+((VLOOKUP(C36,STAMPANTI_DB!$A:$C,3,FALSE)/1000)*F36*SETTINGS!$C$6)+(F36*VLOOKUP(C36,STAMPANTI_DB!$A:$I,9,FALSE)),"")</f>
        <v/>
      </c>
    </row>
    <row r="37" spans="1:13" ht="16" customHeight="1" x14ac:dyDescent="0.2">
      <c r="A37" s="17"/>
      <c r="B37" s="7"/>
      <c r="C37" s="7"/>
      <c r="D37" s="7"/>
      <c r="E37" s="6"/>
      <c r="F37" s="8"/>
      <c r="G37" s="7"/>
      <c r="H37" s="10" t="str">
        <f>IFERROR(E37*VLOOKUP(D37,FILAMENTI_DB!$A:$J,8,FALSE)+(VLOOKUP(C37,STAMPANTI_DB!$A:$C,3,FALSE)/1000)*F37*SETTINGS!$C$6+F37*VLOOKUP(C37,STAMPANTI_DB!$A:$I,9,FALSE)+SETTINGS!$C$11,"" )</f>
        <v/>
      </c>
      <c r="I37" s="7"/>
      <c r="M37" s="23" t="str">
        <f>IFERROR((E37*VLOOKUP(D37,FILAMENTI_DB!$A:$J,8,FALSE))+((VLOOKUP(C37,STAMPANTI_DB!$A:$C,3,FALSE)/1000)*F37*SETTINGS!$C$6)+(F37*VLOOKUP(C37,STAMPANTI_DB!$A:$I,9,FALSE)),"")</f>
        <v/>
      </c>
    </row>
    <row r="38" spans="1:13" ht="16" customHeight="1" x14ac:dyDescent="0.2">
      <c r="A38" s="17"/>
      <c r="B38" s="7"/>
      <c r="C38" s="7"/>
      <c r="D38" s="7"/>
      <c r="E38" s="6"/>
      <c r="F38" s="8"/>
      <c r="G38" s="7"/>
      <c r="H38" s="10" t="str">
        <f>IFERROR(E38*VLOOKUP(D38,FILAMENTI_DB!$A:$J,8,FALSE)+(VLOOKUP(C38,STAMPANTI_DB!$A:$C,3,FALSE)/1000)*F38*SETTINGS!$C$6+F38*VLOOKUP(C38,STAMPANTI_DB!$A:$I,9,FALSE)+SETTINGS!$C$11,"" )</f>
        <v/>
      </c>
      <c r="I38" s="7"/>
      <c r="M38" s="23" t="str">
        <f>IFERROR((E38*VLOOKUP(D38,FILAMENTI_DB!$A:$J,8,FALSE))+((VLOOKUP(C38,STAMPANTI_DB!$A:$C,3,FALSE)/1000)*F38*SETTINGS!$C$6)+(F38*VLOOKUP(C38,STAMPANTI_DB!$A:$I,9,FALSE)),"")</f>
        <v/>
      </c>
    </row>
    <row r="39" spans="1:13" ht="16" customHeight="1" x14ac:dyDescent="0.2">
      <c r="A39" s="17"/>
      <c r="B39" s="7"/>
      <c r="C39" s="7"/>
      <c r="D39" s="7"/>
      <c r="E39" s="6"/>
      <c r="F39" s="8"/>
      <c r="G39" s="7"/>
      <c r="H39" s="10" t="str">
        <f>IFERROR(E39*VLOOKUP(D39,FILAMENTI_DB!$A:$J,8,FALSE)+(VLOOKUP(C39,STAMPANTI_DB!$A:$C,3,FALSE)/1000)*F39*SETTINGS!$C$6+F39*VLOOKUP(C39,STAMPANTI_DB!$A:$I,9,FALSE)+SETTINGS!$C$11,"" )</f>
        <v/>
      </c>
      <c r="I39" s="7"/>
      <c r="M39" s="23" t="str">
        <f>IFERROR((E39*VLOOKUP(D39,FILAMENTI_DB!$A:$J,8,FALSE))+((VLOOKUP(C39,STAMPANTI_DB!$A:$C,3,FALSE)/1000)*F39*SETTINGS!$C$6)+(F39*VLOOKUP(C39,STAMPANTI_DB!$A:$I,9,FALSE)),"")</f>
        <v/>
      </c>
    </row>
    <row r="40" spans="1:13" ht="16" customHeight="1" x14ac:dyDescent="0.2">
      <c r="A40" s="17"/>
      <c r="B40" s="7"/>
      <c r="C40" s="7"/>
      <c r="D40" s="7"/>
      <c r="E40" s="6"/>
      <c r="F40" s="8"/>
      <c r="G40" s="7"/>
      <c r="H40" s="10" t="str">
        <f>IFERROR(E40*VLOOKUP(D40,FILAMENTI_DB!$A:$J,8,FALSE)+(VLOOKUP(C40,STAMPANTI_DB!$A:$C,3,FALSE)/1000)*F40*SETTINGS!$C$6+F40*VLOOKUP(C40,STAMPANTI_DB!$A:$I,9,FALSE)+SETTINGS!$C$11,"" )</f>
        <v/>
      </c>
      <c r="I40" s="7"/>
      <c r="M40" s="23" t="str">
        <f>IFERROR((E40*VLOOKUP(D40,FILAMENTI_DB!$A:$J,8,FALSE))+((VLOOKUP(C40,STAMPANTI_DB!$A:$C,3,FALSE)/1000)*F40*SETTINGS!$C$6)+(F40*VLOOKUP(C40,STAMPANTI_DB!$A:$I,9,FALSE)),"")</f>
        <v/>
      </c>
    </row>
    <row r="41" spans="1:13" ht="16" customHeight="1" x14ac:dyDescent="0.2">
      <c r="A41" s="17"/>
      <c r="B41" s="7"/>
      <c r="C41" s="7"/>
      <c r="D41" s="7"/>
      <c r="E41" s="6"/>
      <c r="F41" s="8"/>
      <c r="G41" s="7"/>
      <c r="H41" s="10" t="str">
        <f>IFERROR(E41*VLOOKUP(D41,FILAMENTI_DB!$A:$J,8,FALSE)+(VLOOKUP(C41,STAMPANTI_DB!$A:$C,3,FALSE)/1000)*F41*SETTINGS!$C$6+F41*VLOOKUP(C41,STAMPANTI_DB!$A:$I,9,FALSE)+SETTINGS!$C$11,"" )</f>
        <v/>
      </c>
      <c r="I41" s="7"/>
      <c r="M41" s="23" t="str">
        <f>IFERROR((E41*VLOOKUP(D41,FILAMENTI_DB!$A:$J,8,FALSE))+((VLOOKUP(C41,STAMPANTI_DB!$A:$C,3,FALSE)/1000)*F41*SETTINGS!$C$6)+(F41*VLOOKUP(C41,STAMPANTI_DB!$A:$I,9,FALSE)),"")</f>
        <v/>
      </c>
    </row>
    <row r="42" spans="1:13" ht="16" customHeight="1" x14ac:dyDescent="0.2">
      <c r="A42" s="17"/>
      <c r="B42" s="7"/>
      <c r="C42" s="7"/>
      <c r="D42" s="7"/>
      <c r="E42" s="6"/>
      <c r="F42" s="8"/>
      <c r="G42" s="7"/>
      <c r="H42" s="10" t="str">
        <f>IFERROR(E42*VLOOKUP(D42,FILAMENTI_DB!$A:$J,8,FALSE)+(VLOOKUP(C42,STAMPANTI_DB!$A:$C,3,FALSE)/1000)*F42*SETTINGS!$C$6+F42*VLOOKUP(C42,STAMPANTI_DB!$A:$I,9,FALSE)+SETTINGS!$C$11,"" )</f>
        <v/>
      </c>
      <c r="I42" s="7"/>
      <c r="M42" s="23" t="str">
        <f>IFERROR((E42*VLOOKUP(D42,FILAMENTI_DB!$A:$J,8,FALSE))+((VLOOKUP(C42,STAMPANTI_DB!$A:$C,3,FALSE)/1000)*F42*SETTINGS!$C$6)+(F42*VLOOKUP(C42,STAMPANTI_DB!$A:$I,9,FALSE)),"")</f>
        <v/>
      </c>
    </row>
    <row r="43" spans="1:13" ht="16" customHeight="1" x14ac:dyDescent="0.2">
      <c r="A43" s="17"/>
      <c r="B43" s="7"/>
      <c r="C43" s="7"/>
      <c r="D43" s="7"/>
      <c r="E43" s="6"/>
      <c r="F43" s="8"/>
      <c r="G43" s="7"/>
      <c r="H43" s="10" t="str">
        <f>IFERROR(E43*VLOOKUP(D43,FILAMENTI_DB!$A:$J,8,FALSE)+(VLOOKUP(C43,STAMPANTI_DB!$A:$C,3,FALSE)/1000)*F43*SETTINGS!$C$6+F43*VLOOKUP(C43,STAMPANTI_DB!$A:$I,9,FALSE)+SETTINGS!$C$11,"" )</f>
        <v/>
      </c>
      <c r="I43" s="7"/>
      <c r="M43" s="23" t="str">
        <f>IFERROR((E43*VLOOKUP(D43,FILAMENTI_DB!$A:$J,8,FALSE))+((VLOOKUP(C43,STAMPANTI_DB!$A:$C,3,FALSE)/1000)*F43*SETTINGS!$C$6)+(F43*VLOOKUP(C43,STAMPANTI_DB!$A:$I,9,FALSE)),"")</f>
        <v/>
      </c>
    </row>
    <row r="44" spans="1:13" ht="16" customHeight="1" x14ac:dyDescent="0.2">
      <c r="A44" s="17"/>
      <c r="B44" s="7"/>
      <c r="C44" s="7"/>
      <c r="D44" s="7"/>
      <c r="E44" s="6"/>
      <c r="F44" s="8"/>
      <c r="G44" s="7"/>
      <c r="H44" s="10" t="str">
        <f>IFERROR(E44*VLOOKUP(D44,FILAMENTI_DB!$A:$J,8,FALSE)+(VLOOKUP(C44,STAMPANTI_DB!$A:$C,3,FALSE)/1000)*F44*SETTINGS!$C$6+F44*VLOOKUP(C44,STAMPANTI_DB!$A:$I,9,FALSE)+SETTINGS!$C$11,"" )</f>
        <v/>
      </c>
      <c r="I44" s="7"/>
      <c r="M44" s="23" t="str">
        <f>IFERROR((E44*VLOOKUP(D44,FILAMENTI_DB!$A:$J,8,FALSE))+((VLOOKUP(C44,STAMPANTI_DB!$A:$C,3,FALSE)/1000)*F44*SETTINGS!$C$6)+(F44*VLOOKUP(C44,STAMPANTI_DB!$A:$I,9,FALSE)),"")</f>
        <v/>
      </c>
    </row>
    <row r="45" spans="1:13" ht="16" customHeight="1" x14ac:dyDescent="0.2">
      <c r="A45" s="17"/>
      <c r="B45" s="7"/>
      <c r="C45" s="7"/>
      <c r="D45" s="7"/>
      <c r="E45" s="6"/>
      <c r="F45" s="8"/>
      <c r="G45" s="7"/>
      <c r="H45" s="10" t="str">
        <f>IFERROR(E45*VLOOKUP(D45,FILAMENTI_DB!$A:$J,8,FALSE)+(VLOOKUP(C45,STAMPANTI_DB!$A:$C,3,FALSE)/1000)*F45*SETTINGS!$C$6+F45*VLOOKUP(C45,STAMPANTI_DB!$A:$I,9,FALSE)+SETTINGS!$C$11,"" )</f>
        <v/>
      </c>
      <c r="I45" s="7"/>
      <c r="M45" s="23" t="str">
        <f>IFERROR((E45*VLOOKUP(D45,FILAMENTI_DB!$A:$J,8,FALSE))+((VLOOKUP(C45,STAMPANTI_DB!$A:$C,3,FALSE)/1000)*F45*SETTINGS!$C$6)+(F45*VLOOKUP(C45,STAMPANTI_DB!$A:$I,9,FALSE)),"")</f>
        <v/>
      </c>
    </row>
    <row r="46" spans="1:13" ht="16" customHeight="1" x14ac:dyDescent="0.2">
      <c r="A46" s="17"/>
      <c r="B46" s="7"/>
      <c r="C46" s="7"/>
      <c r="D46" s="7"/>
      <c r="E46" s="6"/>
      <c r="F46" s="8"/>
      <c r="G46" s="7"/>
      <c r="H46" s="10" t="str">
        <f>IFERROR(E46*VLOOKUP(D46,FILAMENTI_DB!$A:$J,8,FALSE)+(VLOOKUP(C46,STAMPANTI_DB!$A:$C,3,FALSE)/1000)*F46*SETTINGS!$C$6+F46*VLOOKUP(C46,STAMPANTI_DB!$A:$I,9,FALSE)+SETTINGS!$C$11,"" )</f>
        <v/>
      </c>
      <c r="I46" s="7"/>
      <c r="M46" s="23" t="str">
        <f>IFERROR((E46*VLOOKUP(D46,FILAMENTI_DB!$A:$J,8,FALSE))+((VLOOKUP(C46,STAMPANTI_DB!$A:$C,3,FALSE)/1000)*F46*SETTINGS!$C$6)+(F46*VLOOKUP(C46,STAMPANTI_DB!$A:$I,9,FALSE)),"")</f>
        <v/>
      </c>
    </row>
    <row r="47" spans="1:13" ht="16" customHeight="1" x14ac:dyDescent="0.2">
      <c r="A47" s="17"/>
      <c r="B47" s="7"/>
      <c r="C47" s="7"/>
      <c r="D47" s="7"/>
      <c r="E47" s="6"/>
      <c r="F47" s="8"/>
      <c r="G47" s="7"/>
      <c r="H47" s="10" t="str">
        <f>IFERROR(E47*VLOOKUP(D47,FILAMENTI_DB!$A:$J,8,FALSE)+(VLOOKUP(C47,STAMPANTI_DB!$A:$C,3,FALSE)/1000)*F47*SETTINGS!$C$6+F47*VLOOKUP(C47,STAMPANTI_DB!$A:$I,9,FALSE)+SETTINGS!$C$11,"" )</f>
        <v/>
      </c>
      <c r="I47" s="7"/>
      <c r="M47" s="23" t="str">
        <f>IFERROR((E47*VLOOKUP(D47,FILAMENTI_DB!$A:$J,8,FALSE))+((VLOOKUP(C47,STAMPANTI_DB!$A:$C,3,FALSE)/1000)*F47*SETTINGS!$C$6)+(F47*VLOOKUP(C47,STAMPANTI_DB!$A:$I,9,FALSE)),"")</f>
        <v/>
      </c>
    </row>
    <row r="48" spans="1:13" ht="16" customHeight="1" x14ac:dyDescent="0.2">
      <c r="A48" s="17"/>
      <c r="B48" s="7"/>
      <c r="C48" s="7"/>
      <c r="D48" s="7"/>
      <c r="E48" s="6"/>
      <c r="F48" s="8"/>
      <c r="G48" s="7"/>
      <c r="H48" s="10" t="str">
        <f>IFERROR(E48*VLOOKUP(D48,FILAMENTI_DB!$A:$J,8,FALSE)+(VLOOKUP(C48,STAMPANTI_DB!$A:$C,3,FALSE)/1000)*F48*SETTINGS!$C$6+F48*VLOOKUP(C48,STAMPANTI_DB!$A:$I,9,FALSE)+SETTINGS!$C$11,"" )</f>
        <v/>
      </c>
      <c r="I48" s="7"/>
      <c r="M48" s="23" t="str">
        <f>IFERROR((E48*VLOOKUP(D48,FILAMENTI_DB!$A:$J,8,FALSE))+((VLOOKUP(C48,STAMPANTI_DB!$A:$C,3,FALSE)/1000)*F48*SETTINGS!$C$6)+(F48*VLOOKUP(C48,STAMPANTI_DB!$A:$I,9,FALSE)),"")</f>
        <v/>
      </c>
    </row>
    <row r="49" spans="1:13" ht="16" customHeight="1" x14ac:dyDescent="0.2">
      <c r="A49" s="17"/>
      <c r="B49" s="7"/>
      <c r="C49" s="7"/>
      <c r="D49" s="7"/>
      <c r="E49" s="6"/>
      <c r="F49" s="8"/>
      <c r="G49" s="7"/>
      <c r="H49" s="10" t="str">
        <f>IFERROR(E49*VLOOKUP(D49,FILAMENTI_DB!$A:$J,8,FALSE)+(VLOOKUP(C49,STAMPANTI_DB!$A:$C,3,FALSE)/1000)*F49*SETTINGS!$C$6+F49*VLOOKUP(C49,STAMPANTI_DB!$A:$I,9,FALSE)+SETTINGS!$C$11,"" )</f>
        <v/>
      </c>
      <c r="I49" s="7"/>
      <c r="M49" s="23" t="str">
        <f>IFERROR((E49*VLOOKUP(D49,FILAMENTI_DB!$A:$J,8,FALSE))+((VLOOKUP(C49,STAMPANTI_DB!$A:$C,3,FALSE)/1000)*F49*SETTINGS!$C$6)+(F49*VLOOKUP(C49,STAMPANTI_DB!$A:$I,9,FALSE)),"")</f>
        <v/>
      </c>
    </row>
    <row r="50" spans="1:13" ht="16" customHeight="1" x14ac:dyDescent="0.2">
      <c r="A50" s="17"/>
      <c r="B50" s="7"/>
      <c r="C50" s="7"/>
      <c r="D50" s="7"/>
      <c r="E50" s="6"/>
      <c r="F50" s="8"/>
      <c r="G50" s="7"/>
      <c r="H50" s="10" t="str">
        <f>IFERROR(E50*VLOOKUP(D50,FILAMENTI_DB!$A:$J,8,FALSE)+(VLOOKUP(C50,STAMPANTI_DB!$A:$C,3,FALSE)/1000)*F50*SETTINGS!$C$6+F50*VLOOKUP(C50,STAMPANTI_DB!$A:$I,9,FALSE)+SETTINGS!$C$11,"" )</f>
        <v/>
      </c>
      <c r="I50" s="7"/>
      <c r="M50" s="23" t="str">
        <f>IFERROR((E50*VLOOKUP(D50,FILAMENTI_DB!$A:$J,8,FALSE))+((VLOOKUP(C50,STAMPANTI_DB!$A:$C,3,FALSE)/1000)*F50*SETTINGS!$C$6)+(F50*VLOOKUP(C50,STAMPANTI_DB!$A:$I,9,FALSE)),"")</f>
        <v/>
      </c>
    </row>
    <row r="51" spans="1:13" ht="16" customHeight="1" x14ac:dyDescent="0.2">
      <c r="A51" s="17"/>
      <c r="B51" s="7"/>
      <c r="C51" s="7"/>
      <c r="D51" s="7"/>
      <c r="E51" s="6"/>
      <c r="F51" s="8"/>
      <c r="G51" s="7"/>
      <c r="H51" s="10" t="str">
        <f>IFERROR(E51*VLOOKUP(D51,FILAMENTI_DB!$A:$J,8,FALSE)+(VLOOKUP(C51,STAMPANTI_DB!$A:$C,3,FALSE)/1000)*F51*SETTINGS!$C$6+F51*VLOOKUP(C51,STAMPANTI_DB!$A:$I,9,FALSE)+SETTINGS!$C$11,"" )</f>
        <v/>
      </c>
      <c r="I51" s="7"/>
      <c r="M51" s="23" t="str">
        <f>IFERROR((E51*VLOOKUP(D51,FILAMENTI_DB!$A:$J,8,FALSE))+((VLOOKUP(C51,STAMPANTI_DB!$A:$C,3,FALSE)/1000)*F51*SETTINGS!$C$6)+(F51*VLOOKUP(C51,STAMPANTI_DB!$A:$I,9,FALSE)),"")</f>
        <v/>
      </c>
    </row>
    <row r="52" spans="1:13" ht="16" customHeight="1" x14ac:dyDescent="0.2">
      <c r="A52" s="17"/>
      <c r="B52" s="7"/>
      <c r="C52" s="7"/>
      <c r="D52" s="7"/>
      <c r="E52" s="6"/>
      <c r="F52" s="8"/>
      <c r="G52" s="7"/>
      <c r="H52" s="10" t="str">
        <f>IFERROR(E52*VLOOKUP(D52,FILAMENTI_DB!$A:$J,8,FALSE)+(VLOOKUP(C52,STAMPANTI_DB!$A:$C,3,FALSE)/1000)*F52*SETTINGS!$C$6+F52*VLOOKUP(C52,STAMPANTI_DB!$A:$I,9,FALSE)+SETTINGS!$C$11,"" )</f>
        <v/>
      </c>
      <c r="I52" s="7"/>
      <c r="M52" s="23" t="str">
        <f>IFERROR((E52*VLOOKUP(D52,FILAMENTI_DB!$A:$J,8,FALSE))+((VLOOKUP(C52,STAMPANTI_DB!$A:$C,3,FALSE)/1000)*F52*SETTINGS!$C$6)+(F52*VLOOKUP(C52,STAMPANTI_DB!$A:$I,9,FALSE)),"")</f>
        <v/>
      </c>
    </row>
    <row r="53" spans="1:13" ht="16" customHeight="1" x14ac:dyDescent="0.2">
      <c r="A53" s="17"/>
      <c r="B53" s="7"/>
      <c r="C53" s="7"/>
      <c r="D53" s="7"/>
      <c r="E53" s="6"/>
      <c r="F53" s="8"/>
      <c r="G53" s="7"/>
      <c r="H53" s="10" t="str">
        <f>IFERROR(E53*VLOOKUP(D53,FILAMENTI_DB!$A:$J,8,FALSE)+(VLOOKUP(C53,STAMPANTI_DB!$A:$C,3,FALSE)/1000)*F53*SETTINGS!$C$6+F53*VLOOKUP(C53,STAMPANTI_DB!$A:$I,9,FALSE)+SETTINGS!$C$11,"" )</f>
        <v/>
      </c>
      <c r="I53" s="7"/>
      <c r="M53" s="23" t="str">
        <f>IFERROR((E53*VLOOKUP(D53,FILAMENTI_DB!$A:$J,8,FALSE))+((VLOOKUP(C53,STAMPANTI_DB!$A:$C,3,FALSE)/1000)*F53*SETTINGS!$C$6)+(F53*VLOOKUP(C53,STAMPANTI_DB!$A:$I,9,FALSE)),"")</f>
        <v/>
      </c>
    </row>
    <row r="54" spans="1:13" ht="16" customHeight="1" x14ac:dyDescent="0.2">
      <c r="A54" s="17"/>
      <c r="B54" s="7"/>
      <c r="C54" s="7"/>
      <c r="D54" s="7"/>
      <c r="E54" s="6"/>
      <c r="F54" s="8"/>
      <c r="G54" s="7"/>
      <c r="H54" s="10" t="str">
        <f>IFERROR(E54*VLOOKUP(D54,FILAMENTI_DB!$A:$J,8,FALSE)+(VLOOKUP(C54,STAMPANTI_DB!$A:$C,3,FALSE)/1000)*F54*SETTINGS!$C$6+F54*VLOOKUP(C54,STAMPANTI_DB!$A:$I,9,FALSE)+SETTINGS!$C$11,"" )</f>
        <v/>
      </c>
      <c r="I54" s="7"/>
      <c r="M54" s="23" t="str">
        <f>IFERROR((E54*VLOOKUP(D54,FILAMENTI_DB!$A:$J,8,FALSE))+((VLOOKUP(C54,STAMPANTI_DB!$A:$C,3,FALSE)/1000)*F54*SETTINGS!$C$6)+(F54*VLOOKUP(C54,STAMPANTI_DB!$A:$I,9,FALSE)),"")</f>
        <v/>
      </c>
    </row>
    <row r="55" spans="1:13" ht="16" customHeight="1" x14ac:dyDescent="0.2">
      <c r="A55" s="17"/>
      <c r="B55" s="7"/>
      <c r="C55" s="7"/>
      <c r="D55" s="7"/>
      <c r="E55" s="6"/>
      <c r="F55" s="8"/>
      <c r="G55" s="7"/>
      <c r="H55" s="10" t="str">
        <f>IFERROR(E55*VLOOKUP(D55,FILAMENTI_DB!$A:$J,8,FALSE)+(VLOOKUP(C55,STAMPANTI_DB!$A:$C,3,FALSE)/1000)*F55*SETTINGS!$C$6+F55*VLOOKUP(C55,STAMPANTI_DB!$A:$I,9,FALSE)+SETTINGS!$C$11,"" )</f>
        <v/>
      </c>
      <c r="I55" s="7"/>
      <c r="M55" s="23" t="str">
        <f>IFERROR((E55*VLOOKUP(D55,FILAMENTI_DB!$A:$J,8,FALSE))+((VLOOKUP(C55,STAMPANTI_DB!$A:$C,3,FALSE)/1000)*F55*SETTINGS!$C$6)+(F55*VLOOKUP(C55,STAMPANTI_DB!$A:$I,9,FALSE)),"")</f>
        <v/>
      </c>
    </row>
    <row r="56" spans="1:13" ht="16" customHeight="1" x14ac:dyDescent="0.2">
      <c r="A56" s="17"/>
      <c r="B56" s="7"/>
      <c r="C56" s="7"/>
      <c r="D56" s="7"/>
      <c r="E56" s="6"/>
      <c r="F56" s="8"/>
      <c r="G56" s="7"/>
      <c r="H56" s="10" t="str">
        <f>IFERROR(E56*VLOOKUP(D56,FILAMENTI_DB!$A:$J,8,FALSE)+(VLOOKUP(C56,STAMPANTI_DB!$A:$C,3,FALSE)/1000)*F56*SETTINGS!$C$6+F56*VLOOKUP(C56,STAMPANTI_DB!$A:$I,9,FALSE)+SETTINGS!$C$11,"" )</f>
        <v/>
      </c>
      <c r="I56" s="7"/>
      <c r="M56" s="23" t="str">
        <f>IFERROR((E56*VLOOKUP(D56,FILAMENTI_DB!$A:$J,8,FALSE))+((VLOOKUP(C56,STAMPANTI_DB!$A:$C,3,FALSE)/1000)*F56*SETTINGS!$C$6)+(F56*VLOOKUP(C56,STAMPANTI_DB!$A:$I,9,FALSE)),"")</f>
        <v/>
      </c>
    </row>
    <row r="57" spans="1:13" ht="16" customHeight="1" x14ac:dyDescent="0.2">
      <c r="A57" s="17"/>
      <c r="B57" s="7"/>
      <c r="C57" s="7"/>
      <c r="D57" s="7"/>
      <c r="E57" s="6"/>
      <c r="F57" s="8"/>
      <c r="G57" s="7"/>
      <c r="H57" s="10" t="str">
        <f>IFERROR(E57*VLOOKUP(D57,FILAMENTI_DB!$A:$J,8,FALSE)+(VLOOKUP(C57,STAMPANTI_DB!$A:$C,3,FALSE)/1000)*F57*SETTINGS!$C$6+F57*VLOOKUP(C57,STAMPANTI_DB!$A:$I,9,FALSE)+SETTINGS!$C$11,"" )</f>
        <v/>
      </c>
      <c r="I57" s="7"/>
      <c r="M57" s="23" t="str">
        <f>IFERROR((E57*VLOOKUP(D57,FILAMENTI_DB!$A:$J,8,FALSE))+((VLOOKUP(C57,STAMPANTI_DB!$A:$C,3,FALSE)/1000)*F57*SETTINGS!$C$6)+(F57*VLOOKUP(C57,STAMPANTI_DB!$A:$I,9,FALSE)),"")</f>
        <v/>
      </c>
    </row>
    <row r="58" spans="1:13" ht="16" customHeight="1" x14ac:dyDescent="0.2">
      <c r="A58" s="17"/>
      <c r="B58" s="7"/>
      <c r="C58" s="7"/>
      <c r="D58" s="7"/>
      <c r="E58" s="6"/>
      <c r="F58" s="8"/>
      <c r="G58" s="7"/>
      <c r="H58" s="10" t="str">
        <f>IFERROR(E58*VLOOKUP(D58,FILAMENTI_DB!$A:$J,8,FALSE)+(VLOOKUP(C58,STAMPANTI_DB!$A:$C,3,FALSE)/1000)*F58*SETTINGS!$C$6+F58*VLOOKUP(C58,STAMPANTI_DB!$A:$I,9,FALSE)+SETTINGS!$C$11,"" )</f>
        <v/>
      </c>
      <c r="I58" s="7"/>
      <c r="M58" s="23" t="str">
        <f>IFERROR((E58*VLOOKUP(D58,FILAMENTI_DB!$A:$J,8,FALSE))+((VLOOKUP(C58,STAMPANTI_DB!$A:$C,3,FALSE)/1000)*F58*SETTINGS!$C$6)+(F58*VLOOKUP(C58,STAMPANTI_DB!$A:$I,9,FALSE)),"")</f>
        <v/>
      </c>
    </row>
    <row r="59" spans="1:13" ht="16" customHeight="1" x14ac:dyDescent="0.2">
      <c r="A59" s="17"/>
      <c r="B59" s="7"/>
      <c r="C59" s="7"/>
      <c r="D59" s="7"/>
      <c r="E59" s="6"/>
      <c r="F59" s="8"/>
      <c r="G59" s="7"/>
      <c r="H59" s="10" t="str">
        <f>IFERROR(E59*VLOOKUP(D59,FILAMENTI_DB!$A:$J,8,FALSE)+(VLOOKUP(C59,STAMPANTI_DB!$A:$C,3,FALSE)/1000)*F59*SETTINGS!$C$6+F59*VLOOKUP(C59,STAMPANTI_DB!$A:$I,9,FALSE)+SETTINGS!$C$11,"" )</f>
        <v/>
      </c>
      <c r="I59" s="7"/>
      <c r="M59" s="23" t="str">
        <f>IFERROR((E59*VLOOKUP(D59,FILAMENTI_DB!$A:$J,8,FALSE))+((VLOOKUP(C59,STAMPANTI_DB!$A:$C,3,FALSE)/1000)*F59*SETTINGS!$C$6)+(F59*VLOOKUP(C59,STAMPANTI_DB!$A:$I,9,FALSE)),"")</f>
        <v/>
      </c>
    </row>
    <row r="60" spans="1:13" ht="16" customHeight="1" x14ac:dyDescent="0.2">
      <c r="A60" s="17"/>
      <c r="B60" s="7"/>
      <c r="C60" s="7"/>
      <c r="D60" s="7"/>
      <c r="E60" s="6"/>
      <c r="F60" s="8"/>
      <c r="G60" s="7"/>
      <c r="H60" s="10" t="str">
        <f>IFERROR(E60*VLOOKUP(D60,FILAMENTI_DB!$A:$J,8,FALSE)+(VLOOKUP(C60,STAMPANTI_DB!$A:$C,3,FALSE)/1000)*F60*SETTINGS!$C$6+F60*VLOOKUP(C60,STAMPANTI_DB!$A:$I,9,FALSE)+SETTINGS!$C$11,"" )</f>
        <v/>
      </c>
      <c r="I60" s="7"/>
      <c r="M60" s="23" t="str">
        <f>IFERROR((E60*VLOOKUP(D60,FILAMENTI_DB!$A:$J,8,FALSE))+((VLOOKUP(C60,STAMPANTI_DB!$A:$C,3,FALSE)/1000)*F60*SETTINGS!$C$6)+(F60*VLOOKUP(C60,STAMPANTI_DB!$A:$I,9,FALSE)),"")</f>
        <v/>
      </c>
    </row>
    <row r="61" spans="1:13" ht="16" customHeight="1" x14ac:dyDescent="0.2">
      <c r="A61" s="17"/>
      <c r="B61" s="7"/>
      <c r="C61" s="7"/>
      <c r="D61" s="7"/>
      <c r="E61" s="6"/>
      <c r="F61" s="8"/>
      <c r="G61" s="7"/>
      <c r="H61" s="10" t="str">
        <f>IFERROR(E61*VLOOKUP(D61,FILAMENTI_DB!$A:$J,8,FALSE)+(VLOOKUP(C61,STAMPANTI_DB!$A:$C,3,FALSE)/1000)*F61*SETTINGS!$C$6+F61*VLOOKUP(C61,STAMPANTI_DB!$A:$I,9,FALSE)+SETTINGS!$C$11,"" )</f>
        <v/>
      </c>
      <c r="I61" s="7"/>
      <c r="M61" s="23" t="str">
        <f>IFERROR((E61*VLOOKUP(D61,FILAMENTI_DB!$A:$J,8,FALSE))+((VLOOKUP(C61,STAMPANTI_DB!$A:$C,3,FALSE)/1000)*F61*SETTINGS!$C$6)+(F61*VLOOKUP(C61,STAMPANTI_DB!$A:$I,9,FALSE)),"")</f>
        <v/>
      </c>
    </row>
    <row r="62" spans="1:13" ht="16" customHeight="1" x14ac:dyDescent="0.2">
      <c r="A62" s="17"/>
      <c r="B62" s="7"/>
      <c r="C62" s="7"/>
      <c r="D62" s="7"/>
      <c r="E62" s="6"/>
      <c r="F62" s="8"/>
      <c r="G62" s="7"/>
      <c r="H62" s="10" t="str">
        <f>IFERROR(E62*VLOOKUP(D62,FILAMENTI_DB!$A:$J,8,FALSE)+(VLOOKUP(C62,STAMPANTI_DB!$A:$C,3,FALSE)/1000)*F62*SETTINGS!$C$6+F62*VLOOKUP(C62,STAMPANTI_DB!$A:$I,9,FALSE)+SETTINGS!$C$11,"" )</f>
        <v/>
      </c>
      <c r="I62" s="7"/>
      <c r="M62" s="23" t="str">
        <f>IFERROR((E62*VLOOKUP(D62,FILAMENTI_DB!$A:$J,8,FALSE))+((VLOOKUP(C62,STAMPANTI_DB!$A:$C,3,FALSE)/1000)*F62*SETTINGS!$C$6)+(F62*VLOOKUP(C62,STAMPANTI_DB!$A:$I,9,FALSE)),"")</f>
        <v/>
      </c>
    </row>
    <row r="63" spans="1:13" ht="16" customHeight="1" x14ac:dyDescent="0.2">
      <c r="A63" s="17"/>
      <c r="B63" s="7"/>
      <c r="C63" s="7"/>
      <c r="D63" s="7"/>
      <c r="E63" s="6"/>
      <c r="F63" s="8"/>
      <c r="G63" s="7"/>
      <c r="H63" s="10" t="str">
        <f>IFERROR(E63*VLOOKUP(D63,FILAMENTI_DB!$A:$J,8,FALSE)+(VLOOKUP(C63,STAMPANTI_DB!$A:$C,3,FALSE)/1000)*F63*SETTINGS!$C$6+F63*VLOOKUP(C63,STAMPANTI_DB!$A:$I,9,FALSE)+SETTINGS!$C$11,"" )</f>
        <v/>
      </c>
      <c r="I63" s="7"/>
      <c r="M63" s="23" t="str">
        <f>IFERROR((E63*VLOOKUP(D63,FILAMENTI_DB!$A:$J,8,FALSE))+((VLOOKUP(C63,STAMPANTI_DB!$A:$C,3,FALSE)/1000)*F63*SETTINGS!$C$6)+(F63*VLOOKUP(C63,STAMPANTI_DB!$A:$I,9,FALSE)),"")</f>
        <v/>
      </c>
    </row>
    <row r="64" spans="1:13" ht="16" customHeight="1" x14ac:dyDescent="0.2">
      <c r="A64" s="17"/>
      <c r="B64" s="7"/>
      <c r="C64" s="7"/>
      <c r="D64" s="7"/>
      <c r="E64" s="6"/>
      <c r="F64" s="8"/>
      <c r="G64" s="7"/>
      <c r="H64" s="10" t="str">
        <f>IFERROR(E64*VLOOKUP(D64,FILAMENTI_DB!$A:$J,8,FALSE)+(VLOOKUP(C64,STAMPANTI_DB!$A:$C,3,FALSE)/1000)*F64*SETTINGS!$C$6+F64*VLOOKUP(C64,STAMPANTI_DB!$A:$I,9,FALSE)+SETTINGS!$C$11,"" )</f>
        <v/>
      </c>
      <c r="I64" s="7"/>
      <c r="M64" s="23" t="str">
        <f>IFERROR((E64*VLOOKUP(D64,FILAMENTI_DB!$A:$J,8,FALSE))+((VLOOKUP(C64,STAMPANTI_DB!$A:$C,3,FALSE)/1000)*F64*SETTINGS!$C$6)+(F64*VLOOKUP(C64,STAMPANTI_DB!$A:$I,9,FALSE)),"")</f>
        <v/>
      </c>
    </row>
    <row r="65" spans="1:13" ht="16" customHeight="1" x14ac:dyDescent="0.2">
      <c r="A65" s="17"/>
      <c r="B65" s="7"/>
      <c r="C65" s="7"/>
      <c r="D65" s="7"/>
      <c r="E65" s="6"/>
      <c r="F65" s="8"/>
      <c r="G65" s="7"/>
      <c r="H65" s="10" t="str">
        <f>IFERROR(E65*VLOOKUP(D65,FILAMENTI_DB!$A:$J,8,FALSE)+(VLOOKUP(C65,STAMPANTI_DB!$A:$C,3,FALSE)/1000)*F65*SETTINGS!$C$6+F65*VLOOKUP(C65,STAMPANTI_DB!$A:$I,9,FALSE)+SETTINGS!$C$11,"" )</f>
        <v/>
      </c>
      <c r="I65" s="7"/>
      <c r="M65" s="23" t="str">
        <f>IFERROR((E65*VLOOKUP(D65,FILAMENTI_DB!$A:$J,8,FALSE))+((VLOOKUP(C65,STAMPANTI_DB!$A:$C,3,FALSE)/1000)*F65*SETTINGS!$C$6)+(F65*VLOOKUP(C65,STAMPANTI_DB!$A:$I,9,FALSE)),"")</f>
        <v/>
      </c>
    </row>
    <row r="66" spans="1:13" ht="16" customHeight="1" x14ac:dyDescent="0.2">
      <c r="A66" s="17"/>
      <c r="B66" s="7"/>
      <c r="C66" s="7"/>
      <c r="D66" s="7"/>
      <c r="E66" s="6"/>
      <c r="F66" s="8"/>
      <c r="G66" s="7"/>
      <c r="H66" s="10" t="str">
        <f>IFERROR(E66*VLOOKUP(D66,FILAMENTI_DB!$A:$J,8,FALSE)+(VLOOKUP(C66,STAMPANTI_DB!$A:$C,3,FALSE)/1000)*F66*SETTINGS!$C$6+F66*VLOOKUP(C66,STAMPANTI_DB!$A:$I,9,FALSE)+SETTINGS!$C$11,"" )</f>
        <v/>
      </c>
      <c r="I66" s="7"/>
      <c r="M66" s="23" t="str">
        <f>IFERROR((E66*VLOOKUP(D66,FILAMENTI_DB!$A:$J,8,FALSE))+((VLOOKUP(C66,STAMPANTI_DB!$A:$C,3,FALSE)/1000)*F66*SETTINGS!$C$6)+(F66*VLOOKUP(C66,STAMPANTI_DB!$A:$I,9,FALSE)),"")</f>
        <v/>
      </c>
    </row>
    <row r="67" spans="1:13" ht="16" customHeight="1" x14ac:dyDescent="0.2">
      <c r="A67" s="17"/>
      <c r="B67" s="7"/>
      <c r="C67" s="7"/>
      <c r="D67" s="7"/>
      <c r="E67" s="6"/>
      <c r="F67" s="8"/>
      <c r="G67" s="7"/>
      <c r="H67" s="10" t="str">
        <f>IFERROR(E67*VLOOKUP(D67,FILAMENTI_DB!$A:$J,8,FALSE)+(VLOOKUP(C67,STAMPANTI_DB!$A:$C,3,FALSE)/1000)*F67*SETTINGS!$C$6+F67*VLOOKUP(C67,STAMPANTI_DB!$A:$I,9,FALSE)+SETTINGS!$C$11,"" )</f>
        <v/>
      </c>
      <c r="I67" s="7"/>
      <c r="M67" s="23" t="str">
        <f>IFERROR((E67*VLOOKUP(D67,FILAMENTI_DB!$A:$J,8,FALSE))+((VLOOKUP(C67,STAMPANTI_DB!$A:$C,3,FALSE)/1000)*F67*SETTINGS!$C$6)+(F67*VLOOKUP(C67,STAMPANTI_DB!$A:$I,9,FALSE)),"")</f>
        <v/>
      </c>
    </row>
    <row r="68" spans="1:13" ht="16" customHeight="1" x14ac:dyDescent="0.2">
      <c r="A68" s="17"/>
      <c r="B68" s="7"/>
      <c r="C68" s="7"/>
      <c r="D68" s="7"/>
      <c r="E68" s="6"/>
      <c r="F68" s="8"/>
      <c r="G68" s="7"/>
      <c r="H68" s="10" t="str">
        <f>IFERROR(E68*VLOOKUP(D68,FILAMENTI_DB!$A:$J,8,FALSE)+(VLOOKUP(C68,STAMPANTI_DB!$A:$C,3,FALSE)/1000)*F68*SETTINGS!$C$6+F68*VLOOKUP(C68,STAMPANTI_DB!$A:$I,9,FALSE)+SETTINGS!$C$11,"" )</f>
        <v/>
      </c>
      <c r="I68" s="7"/>
      <c r="M68" s="23" t="str">
        <f>IFERROR((E68*VLOOKUP(D68,FILAMENTI_DB!$A:$J,8,FALSE))+((VLOOKUP(C68,STAMPANTI_DB!$A:$C,3,FALSE)/1000)*F68*SETTINGS!$C$6)+(F68*VLOOKUP(C68,STAMPANTI_DB!$A:$I,9,FALSE)),"")</f>
        <v/>
      </c>
    </row>
    <row r="69" spans="1:13" ht="16" customHeight="1" x14ac:dyDescent="0.2">
      <c r="A69" s="17"/>
      <c r="B69" s="7"/>
      <c r="C69" s="7"/>
      <c r="D69" s="7"/>
      <c r="E69" s="6"/>
      <c r="F69" s="8"/>
      <c r="G69" s="7"/>
      <c r="H69" s="10" t="str">
        <f>IFERROR(E69*VLOOKUP(D69,FILAMENTI_DB!$A:$J,8,FALSE)+(VLOOKUP(C69,STAMPANTI_DB!$A:$C,3,FALSE)/1000)*F69*SETTINGS!$C$6+F69*VLOOKUP(C69,STAMPANTI_DB!$A:$I,9,FALSE)+SETTINGS!$C$11,"" )</f>
        <v/>
      </c>
      <c r="I69" s="7"/>
      <c r="M69" s="23" t="str">
        <f>IFERROR((E69*VLOOKUP(D69,FILAMENTI_DB!$A:$J,8,FALSE))+((VLOOKUP(C69,STAMPANTI_DB!$A:$C,3,FALSE)/1000)*F69*SETTINGS!$C$6)+(F69*VLOOKUP(C69,STAMPANTI_DB!$A:$I,9,FALSE)),"")</f>
        <v/>
      </c>
    </row>
    <row r="70" spans="1:13" ht="16" customHeight="1" x14ac:dyDescent="0.2">
      <c r="A70" s="17"/>
      <c r="B70" s="7"/>
      <c r="C70" s="7"/>
      <c r="D70" s="7"/>
      <c r="E70" s="6"/>
      <c r="F70" s="8"/>
      <c r="G70" s="7"/>
      <c r="H70" s="10" t="str">
        <f>IFERROR(E70*VLOOKUP(D70,FILAMENTI_DB!$A:$J,8,FALSE)+(VLOOKUP(C70,STAMPANTI_DB!$A:$C,3,FALSE)/1000)*F70*SETTINGS!$C$6+F70*VLOOKUP(C70,STAMPANTI_DB!$A:$I,9,FALSE)+SETTINGS!$C$11,"" )</f>
        <v/>
      </c>
      <c r="I70" s="7"/>
      <c r="M70" s="23" t="str">
        <f>IFERROR((E70*VLOOKUP(D70,FILAMENTI_DB!$A:$J,8,FALSE))+((VLOOKUP(C70,STAMPANTI_DB!$A:$C,3,FALSE)/1000)*F70*SETTINGS!$C$6)+(F70*VLOOKUP(C70,STAMPANTI_DB!$A:$I,9,FALSE)),"")</f>
        <v/>
      </c>
    </row>
    <row r="71" spans="1:13" ht="16" customHeight="1" x14ac:dyDescent="0.2">
      <c r="A71" s="17"/>
      <c r="B71" s="7"/>
      <c r="C71" s="7"/>
      <c r="D71" s="7"/>
      <c r="E71" s="6"/>
      <c r="F71" s="8"/>
      <c r="G71" s="7"/>
      <c r="H71" s="10" t="str">
        <f>IFERROR(E71*VLOOKUP(D71,FILAMENTI_DB!$A:$J,8,FALSE)+(VLOOKUP(C71,STAMPANTI_DB!$A:$C,3,FALSE)/1000)*F71*SETTINGS!$C$6+F71*VLOOKUP(C71,STAMPANTI_DB!$A:$I,9,FALSE)+SETTINGS!$C$11,"" )</f>
        <v/>
      </c>
      <c r="I71" s="7"/>
      <c r="M71" s="23" t="str">
        <f>IFERROR((E71*VLOOKUP(D71,FILAMENTI_DB!$A:$J,8,FALSE))+((VLOOKUP(C71,STAMPANTI_DB!$A:$C,3,FALSE)/1000)*F71*SETTINGS!$C$6)+(F71*VLOOKUP(C71,STAMPANTI_DB!$A:$I,9,FALSE)),"")</f>
        <v/>
      </c>
    </row>
    <row r="72" spans="1:13" ht="16" customHeight="1" x14ac:dyDescent="0.2">
      <c r="A72" s="17"/>
      <c r="B72" s="7"/>
      <c r="C72" s="7"/>
      <c r="D72" s="7"/>
      <c r="E72" s="6"/>
      <c r="F72" s="8"/>
      <c r="G72" s="7"/>
      <c r="H72" s="10" t="str">
        <f>IFERROR(E72*VLOOKUP(D72,FILAMENTI_DB!$A:$J,8,FALSE)+(VLOOKUP(C72,STAMPANTI_DB!$A:$C,3,FALSE)/1000)*F72*SETTINGS!$C$6+F72*VLOOKUP(C72,STAMPANTI_DB!$A:$I,9,FALSE)+SETTINGS!$C$11,"" )</f>
        <v/>
      </c>
      <c r="I72" s="7"/>
      <c r="M72" s="23" t="str">
        <f>IFERROR((E72*VLOOKUP(D72,FILAMENTI_DB!$A:$J,8,FALSE))+((VLOOKUP(C72,STAMPANTI_DB!$A:$C,3,FALSE)/1000)*F72*SETTINGS!$C$6)+(F72*VLOOKUP(C72,STAMPANTI_DB!$A:$I,9,FALSE)),"")</f>
        <v/>
      </c>
    </row>
    <row r="73" spans="1:13" ht="16" customHeight="1" x14ac:dyDescent="0.2">
      <c r="A73" s="17"/>
      <c r="B73" s="7"/>
      <c r="C73" s="7"/>
      <c r="D73" s="7"/>
      <c r="E73" s="6"/>
      <c r="F73" s="8"/>
      <c r="G73" s="7"/>
      <c r="H73" s="10" t="str">
        <f>IFERROR(E73*VLOOKUP(D73,FILAMENTI_DB!$A:$J,8,FALSE)+(VLOOKUP(C73,STAMPANTI_DB!$A:$C,3,FALSE)/1000)*F73*SETTINGS!$C$6+F73*VLOOKUP(C73,STAMPANTI_DB!$A:$I,9,FALSE)+SETTINGS!$C$11,"" )</f>
        <v/>
      </c>
      <c r="I73" s="7"/>
      <c r="M73" s="23" t="str">
        <f>IFERROR((E73*VLOOKUP(D73,FILAMENTI_DB!$A:$J,8,FALSE))+((VLOOKUP(C73,STAMPANTI_DB!$A:$C,3,FALSE)/1000)*F73*SETTINGS!$C$6)+(F73*VLOOKUP(C73,STAMPANTI_DB!$A:$I,9,FALSE)),"")</f>
        <v/>
      </c>
    </row>
    <row r="74" spans="1:13" ht="16" customHeight="1" x14ac:dyDescent="0.2">
      <c r="A74" s="17"/>
      <c r="B74" s="7"/>
      <c r="C74" s="7"/>
      <c r="D74" s="7"/>
      <c r="E74" s="6"/>
      <c r="F74" s="8"/>
      <c r="G74" s="7"/>
      <c r="H74" s="10" t="str">
        <f>IFERROR(E74*VLOOKUP(D74,FILAMENTI_DB!$A:$J,8,FALSE)+(VLOOKUP(C74,STAMPANTI_DB!$A:$C,3,FALSE)/1000)*F74*SETTINGS!$C$6+F74*VLOOKUP(C74,STAMPANTI_DB!$A:$I,9,FALSE)+SETTINGS!$C$11,"" )</f>
        <v/>
      </c>
      <c r="I74" s="7"/>
      <c r="M74" s="23" t="str">
        <f>IFERROR((E74*VLOOKUP(D74,FILAMENTI_DB!$A:$J,8,FALSE))+((VLOOKUP(C74,STAMPANTI_DB!$A:$C,3,FALSE)/1000)*F74*SETTINGS!$C$6)+(F74*VLOOKUP(C74,STAMPANTI_DB!$A:$I,9,FALSE)),"")</f>
        <v/>
      </c>
    </row>
    <row r="75" spans="1:13" ht="16" customHeight="1" x14ac:dyDescent="0.2">
      <c r="A75" s="17"/>
      <c r="B75" s="7"/>
      <c r="C75" s="7"/>
      <c r="D75" s="7"/>
      <c r="E75" s="6"/>
      <c r="F75" s="8"/>
      <c r="G75" s="7"/>
      <c r="H75" s="10" t="str">
        <f>IFERROR(E75*VLOOKUP(D75,FILAMENTI_DB!$A:$J,8,FALSE)+(VLOOKUP(C75,STAMPANTI_DB!$A:$C,3,FALSE)/1000)*F75*SETTINGS!$C$6+F75*VLOOKUP(C75,STAMPANTI_DB!$A:$I,9,FALSE)+SETTINGS!$C$11,"" )</f>
        <v/>
      </c>
      <c r="I75" s="7"/>
      <c r="M75" s="23" t="str">
        <f>IFERROR((E75*VLOOKUP(D75,FILAMENTI_DB!$A:$J,8,FALSE))+((VLOOKUP(C75,STAMPANTI_DB!$A:$C,3,FALSE)/1000)*F75*SETTINGS!$C$6)+(F75*VLOOKUP(C75,STAMPANTI_DB!$A:$I,9,FALSE)),"")</f>
        <v/>
      </c>
    </row>
    <row r="76" spans="1:13" ht="16" customHeight="1" x14ac:dyDescent="0.2">
      <c r="A76" s="17"/>
      <c r="B76" s="7"/>
      <c r="C76" s="7"/>
      <c r="D76" s="7"/>
      <c r="E76" s="6"/>
      <c r="F76" s="8"/>
      <c r="G76" s="7"/>
      <c r="H76" s="10" t="str">
        <f>IFERROR(E76*VLOOKUP(D76,FILAMENTI_DB!$A:$J,8,FALSE)+(VLOOKUP(C76,STAMPANTI_DB!$A:$C,3,FALSE)/1000)*F76*SETTINGS!$C$6+F76*VLOOKUP(C76,STAMPANTI_DB!$A:$I,9,FALSE)+SETTINGS!$C$11,"" )</f>
        <v/>
      </c>
      <c r="I76" s="7"/>
      <c r="M76" s="23" t="str">
        <f>IFERROR((E76*VLOOKUP(D76,FILAMENTI_DB!$A:$J,8,FALSE))+((VLOOKUP(C76,STAMPANTI_DB!$A:$C,3,FALSE)/1000)*F76*SETTINGS!$C$6)+(F76*VLOOKUP(C76,STAMPANTI_DB!$A:$I,9,FALSE)),"")</f>
        <v/>
      </c>
    </row>
    <row r="77" spans="1:13" ht="16" customHeight="1" x14ac:dyDescent="0.2">
      <c r="A77" s="17"/>
      <c r="B77" s="7"/>
      <c r="C77" s="7"/>
      <c r="D77" s="7"/>
      <c r="E77" s="6"/>
      <c r="F77" s="8"/>
      <c r="G77" s="7"/>
      <c r="H77" s="10" t="str">
        <f>IFERROR(E77*VLOOKUP(D77,FILAMENTI_DB!$A:$J,8,FALSE)+(VLOOKUP(C77,STAMPANTI_DB!$A:$C,3,FALSE)/1000)*F77*SETTINGS!$C$6+F77*VLOOKUP(C77,STAMPANTI_DB!$A:$I,9,FALSE)+SETTINGS!$C$11,"" )</f>
        <v/>
      </c>
      <c r="I77" s="7"/>
      <c r="M77" s="23" t="str">
        <f>IFERROR((E77*VLOOKUP(D77,FILAMENTI_DB!$A:$J,8,FALSE))+((VLOOKUP(C77,STAMPANTI_DB!$A:$C,3,FALSE)/1000)*F77*SETTINGS!$C$6)+(F77*VLOOKUP(C77,STAMPANTI_DB!$A:$I,9,FALSE)),"")</f>
        <v/>
      </c>
    </row>
    <row r="78" spans="1:13" ht="16" customHeight="1" x14ac:dyDescent="0.2">
      <c r="A78" s="17"/>
      <c r="B78" s="7"/>
      <c r="C78" s="7"/>
      <c r="D78" s="7"/>
      <c r="E78" s="6"/>
      <c r="F78" s="8"/>
      <c r="G78" s="7"/>
      <c r="H78" s="10" t="str">
        <f>IFERROR(E78*VLOOKUP(D78,FILAMENTI_DB!$A:$J,8,FALSE)+(VLOOKUP(C78,STAMPANTI_DB!$A:$C,3,FALSE)/1000)*F78*SETTINGS!$C$6+F78*VLOOKUP(C78,STAMPANTI_DB!$A:$I,9,FALSE)+SETTINGS!$C$11,"" )</f>
        <v/>
      </c>
      <c r="I78" s="7"/>
      <c r="M78" s="23" t="str">
        <f>IFERROR((E78*VLOOKUP(D78,FILAMENTI_DB!$A:$J,8,FALSE))+((VLOOKUP(C78,STAMPANTI_DB!$A:$C,3,FALSE)/1000)*F78*SETTINGS!$C$6)+(F78*VLOOKUP(C78,STAMPANTI_DB!$A:$I,9,FALSE)),"")</f>
        <v/>
      </c>
    </row>
    <row r="79" spans="1:13" ht="16" customHeight="1" x14ac:dyDescent="0.2">
      <c r="A79" s="17"/>
      <c r="B79" s="7"/>
      <c r="C79" s="7"/>
      <c r="D79" s="7"/>
      <c r="E79" s="6"/>
      <c r="F79" s="8"/>
      <c r="G79" s="7"/>
      <c r="H79" s="10" t="str">
        <f>IFERROR(E79*VLOOKUP(D79,FILAMENTI_DB!$A:$J,8,FALSE)+(VLOOKUP(C79,STAMPANTI_DB!$A:$C,3,FALSE)/1000)*F79*SETTINGS!$C$6+F79*VLOOKUP(C79,STAMPANTI_DB!$A:$I,9,FALSE)+SETTINGS!$C$11,"" )</f>
        <v/>
      </c>
      <c r="I79" s="7"/>
      <c r="M79" s="23" t="str">
        <f>IFERROR((E79*VLOOKUP(D79,FILAMENTI_DB!$A:$J,8,FALSE))+((VLOOKUP(C79,STAMPANTI_DB!$A:$C,3,FALSE)/1000)*F79*SETTINGS!$C$6)+(F79*VLOOKUP(C79,STAMPANTI_DB!$A:$I,9,FALSE)),"")</f>
        <v/>
      </c>
    </row>
    <row r="80" spans="1:13" ht="16" customHeight="1" x14ac:dyDescent="0.2">
      <c r="A80" s="17"/>
      <c r="B80" s="7"/>
      <c r="C80" s="7"/>
      <c r="D80" s="7"/>
      <c r="E80" s="6"/>
      <c r="F80" s="8"/>
      <c r="G80" s="7"/>
      <c r="H80" s="10" t="str">
        <f>IFERROR(E80*VLOOKUP(D80,FILAMENTI_DB!$A:$J,8,FALSE)+(VLOOKUP(C80,STAMPANTI_DB!$A:$C,3,FALSE)/1000)*F80*SETTINGS!$C$6+F80*VLOOKUP(C80,STAMPANTI_DB!$A:$I,9,FALSE)+SETTINGS!$C$11,"" )</f>
        <v/>
      </c>
      <c r="I80" s="7"/>
      <c r="M80" s="23" t="str">
        <f>IFERROR((E80*VLOOKUP(D80,FILAMENTI_DB!$A:$J,8,FALSE))+((VLOOKUP(C80,STAMPANTI_DB!$A:$C,3,FALSE)/1000)*F80*SETTINGS!$C$6)+(F80*VLOOKUP(C80,STAMPANTI_DB!$A:$I,9,FALSE)),"")</f>
        <v/>
      </c>
    </row>
    <row r="81" spans="1:13" ht="16" customHeight="1" x14ac:dyDescent="0.2">
      <c r="A81" s="17"/>
      <c r="B81" s="7"/>
      <c r="C81" s="7"/>
      <c r="D81" s="7"/>
      <c r="E81" s="6"/>
      <c r="F81" s="8"/>
      <c r="G81" s="7"/>
      <c r="H81" s="10" t="str">
        <f>IFERROR(E81*VLOOKUP(D81,FILAMENTI_DB!$A:$J,8,FALSE)+(VLOOKUP(C81,STAMPANTI_DB!$A:$C,3,FALSE)/1000)*F81*SETTINGS!$C$6+F81*VLOOKUP(C81,STAMPANTI_DB!$A:$I,9,FALSE)+SETTINGS!$C$11,"" )</f>
        <v/>
      </c>
      <c r="I81" s="7"/>
      <c r="M81" s="23" t="str">
        <f>IFERROR((E81*VLOOKUP(D81,FILAMENTI_DB!$A:$J,8,FALSE))+((VLOOKUP(C81,STAMPANTI_DB!$A:$C,3,FALSE)/1000)*F81*SETTINGS!$C$6)+(F81*VLOOKUP(C81,STAMPANTI_DB!$A:$I,9,FALSE)),"")</f>
        <v/>
      </c>
    </row>
    <row r="82" spans="1:13" ht="16" customHeight="1" x14ac:dyDescent="0.2">
      <c r="A82" s="17"/>
      <c r="B82" s="7"/>
      <c r="C82" s="7"/>
      <c r="D82" s="7"/>
      <c r="E82" s="6"/>
      <c r="F82" s="8"/>
      <c r="G82" s="7"/>
      <c r="H82" s="10" t="str">
        <f>IFERROR(E82*VLOOKUP(D82,FILAMENTI_DB!$A:$J,8,FALSE)+(VLOOKUP(C82,STAMPANTI_DB!$A:$C,3,FALSE)/1000)*F82*SETTINGS!$C$6+F82*VLOOKUP(C82,STAMPANTI_DB!$A:$I,9,FALSE)+SETTINGS!$C$11,"" )</f>
        <v/>
      </c>
      <c r="I82" s="7"/>
      <c r="M82" s="23" t="str">
        <f>IFERROR((E82*VLOOKUP(D82,FILAMENTI_DB!$A:$J,8,FALSE))+((VLOOKUP(C82,STAMPANTI_DB!$A:$C,3,FALSE)/1000)*F82*SETTINGS!$C$6)+(F82*VLOOKUP(C82,STAMPANTI_DB!$A:$I,9,FALSE)),"")</f>
        <v/>
      </c>
    </row>
    <row r="83" spans="1:13" ht="16" customHeight="1" x14ac:dyDescent="0.2">
      <c r="A83" s="17"/>
      <c r="B83" s="7"/>
      <c r="C83" s="7"/>
      <c r="D83" s="7"/>
      <c r="E83" s="6"/>
      <c r="F83" s="8"/>
      <c r="G83" s="7"/>
      <c r="H83" s="10" t="str">
        <f>IFERROR(E83*VLOOKUP(D83,FILAMENTI_DB!$A:$J,8,FALSE)+(VLOOKUP(C83,STAMPANTI_DB!$A:$C,3,FALSE)/1000)*F83*SETTINGS!$C$6+F83*VLOOKUP(C83,STAMPANTI_DB!$A:$I,9,FALSE)+SETTINGS!$C$11,"" )</f>
        <v/>
      </c>
      <c r="I83" s="7"/>
      <c r="M83" s="23" t="str">
        <f>IFERROR((E83*VLOOKUP(D83,FILAMENTI_DB!$A:$J,8,FALSE))+((VLOOKUP(C83,STAMPANTI_DB!$A:$C,3,FALSE)/1000)*F83*SETTINGS!$C$6)+(F83*VLOOKUP(C83,STAMPANTI_DB!$A:$I,9,FALSE)),"")</f>
        <v/>
      </c>
    </row>
    <row r="84" spans="1:13" ht="16" customHeight="1" x14ac:dyDescent="0.2">
      <c r="A84" s="17"/>
      <c r="B84" s="7"/>
      <c r="C84" s="7"/>
      <c r="D84" s="7"/>
      <c r="E84" s="6"/>
      <c r="F84" s="8"/>
      <c r="G84" s="7"/>
      <c r="H84" s="10" t="str">
        <f>IFERROR(E84*VLOOKUP(D84,FILAMENTI_DB!$A:$J,8,FALSE)+(VLOOKUP(C84,STAMPANTI_DB!$A:$C,3,FALSE)/1000)*F84*SETTINGS!$C$6+F84*VLOOKUP(C84,STAMPANTI_DB!$A:$I,9,FALSE)+SETTINGS!$C$11,"" )</f>
        <v/>
      </c>
      <c r="I84" s="7"/>
      <c r="M84" s="23" t="str">
        <f>IFERROR((E84*VLOOKUP(D84,FILAMENTI_DB!$A:$J,8,FALSE))+((VLOOKUP(C84,STAMPANTI_DB!$A:$C,3,FALSE)/1000)*F84*SETTINGS!$C$6)+(F84*VLOOKUP(C84,STAMPANTI_DB!$A:$I,9,FALSE)),"")</f>
        <v/>
      </c>
    </row>
    <row r="85" spans="1:13" ht="16" customHeight="1" x14ac:dyDescent="0.2">
      <c r="A85" s="17"/>
      <c r="B85" s="7"/>
      <c r="C85" s="7"/>
      <c r="D85" s="7"/>
      <c r="E85" s="6"/>
      <c r="F85" s="8"/>
      <c r="G85" s="7"/>
      <c r="H85" s="10" t="str">
        <f>IFERROR(E85*VLOOKUP(D85,FILAMENTI_DB!$A:$J,8,FALSE)+(VLOOKUP(C85,STAMPANTI_DB!$A:$C,3,FALSE)/1000)*F85*SETTINGS!$C$6+F85*VLOOKUP(C85,STAMPANTI_DB!$A:$I,9,FALSE)+SETTINGS!$C$11,"" )</f>
        <v/>
      </c>
      <c r="I85" s="7"/>
      <c r="M85" s="23" t="str">
        <f>IFERROR((E85*VLOOKUP(D85,FILAMENTI_DB!$A:$J,8,FALSE))+((VLOOKUP(C85,STAMPANTI_DB!$A:$C,3,FALSE)/1000)*F85*SETTINGS!$C$6)+(F85*VLOOKUP(C85,STAMPANTI_DB!$A:$I,9,FALSE)),"")</f>
        <v/>
      </c>
    </row>
    <row r="86" spans="1:13" ht="16" customHeight="1" x14ac:dyDescent="0.2">
      <c r="A86" s="17"/>
      <c r="B86" s="7"/>
      <c r="C86" s="7"/>
      <c r="D86" s="7"/>
      <c r="E86" s="6"/>
      <c r="F86" s="8"/>
      <c r="G86" s="7"/>
      <c r="H86" s="10" t="str">
        <f>IFERROR(E86*VLOOKUP(D86,FILAMENTI_DB!$A:$J,8,FALSE)+(VLOOKUP(C86,STAMPANTI_DB!$A:$C,3,FALSE)/1000)*F86*SETTINGS!$C$6+F86*VLOOKUP(C86,STAMPANTI_DB!$A:$I,9,FALSE)+SETTINGS!$C$11,"" )</f>
        <v/>
      </c>
      <c r="I86" s="7"/>
      <c r="M86" s="23" t="str">
        <f>IFERROR((E86*VLOOKUP(D86,FILAMENTI_DB!$A:$J,8,FALSE))+((VLOOKUP(C86,STAMPANTI_DB!$A:$C,3,FALSE)/1000)*F86*SETTINGS!$C$6)+(F86*VLOOKUP(C86,STAMPANTI_DB!$A:$I,9,FALSE)),"")</f>
        <v/>
      </c>
    </row>
    <row r="87" spans="1:13" ht="16" customHeight="1" x14ac:dyDescent="0.2">
      <c r="A87" s="17"/>
      <c r="B87" s="7"/>
      <c r="C87" s="7"/>
      <c r="D87" s="7"/>
      <c r="E87" s="6"/>
      <c r="F87" s="8"/>
      <c r="G87" s="7"/>
      <c r="H87" s="10" t="str">
        <f>IFERROR(E87*VLOOKUP(D87,FILAMENTI_DB!$A:$J,8,FALSE)+(VLOOKUP(C87,STAMPANTI_DB!$A:$C,3,FALSE)/1000)*F87*SETTINGS!$C$6+F87*VLOOKUP(C87,STAMPANTI_DB!$A:$I,9,FALSE)+SETTINGS!$C$11,"" )</f>
        <v/>
      </c>
      <c r="I87" s="7"/>
      <c r="M87" s="23" t="str">
        <f>IFERROR((E87*VLOOKUP(D87,FILAMENTI_DB!$A:$J,8,FALSE))+((VLOOKUP(C87,STAMPANTI_DB!$A:$C,3,FALSE)/1000)*F87*SETTINGS!$C$6)+(F87*VLOOKUP(C87,STAMPANTI_DB!$A:$I,9,FALSE)),"")</f>
        <v/>
      </c>
    </row>
    <row r="88" spans="1:13" ht="16" customHeight="1" x14ac:dyDescent="0.2">
      <c r="A88" s="17"/>
      <c r="B88" s="7"/>
      <c r="C88" s="7"/>
      <c r="D88" s="7"/>
      <c r="E88" s="6"/>
      <c r="F88" s="8"/>
      <c r="G88" s="7"/>
      <c r="H88" s="10" t="str">
        <f>IFERROR(E88*VLOOKUP(D88,FILAMENTI_DB!$A:$J,8,FALSE)+(VLOOKUP(C88,STAMPANTI_DB!$A:$C,3,FALSE)/1000)*F88*SETTINGS!$C$6+F88*VLOOKUP(C88,STAMPANTI_DB!$A:$I,9,FALSE)+SETTINGS!$C$11,"" )</f>
        <v/>
      </c>
      <c r="I88" s="7"/>
      <c r="M88" s="23" t="str">
        <f>IFERROR((E88*VLOOKUP(D88,FILAMENTI_DB!$A:$J,8,FALSE))+((VLOOKUP(C88,STAMPANTI_DB!$A:$C,3,FALSE)/1000)*F88*SETTINGS!$C$6)+(F88*VLOOKUP(C88,STAMPANTI_DB!$A:$I,9,FALSE)),"")</f>
        <v/>
      </c>
    </row>
    <row r="89" spans="1:13" ht="16" customHeight="1" x14ac:dyDescent="0.2">
      <c r="A89" s="17"/>
      <c r="B89" s="7"/>
      <c r="C89" s="7"/>
      <c r="D89" s="7"/>
      <c r="E89" s="6"/>
      <c r="F89" s="8"/>
      <c r="G89" s="7"/>
      <c r="H89" s="10" t="str">
        <f>IFERROR(E89*VLOOKUP(D89,FILAMENTI_DB!$A:$J,8,FALSE)+(VLOOKUP(C89,STAMPANTI_DB!$A:$C,3,FALSE)/1000)*F89*SETTINGS!$C$6+F89*VLOOKUP(C89,STAMPANTI_DB!$A:$I,9,FALSE)+SETTINGS!$C$11,"" )</f>
        <v/>
      </c>
      <c r="I89" s="7"/>
      <c r="M89" s="23" t="str">
        <f>IFERROR((E89*VLOOKUP(D89,FILAMENTI_DB!$A:$J,8,FALSE))+((VLOOKUP(C89,STAMPANTI_DB!$A:$C,3,FALSE)/1000)*F89*SETTINGS!$C$6)+(F89*VLOOKUP(C89,STAMPANTI_DB!$A:$I,9,FALSE)),"")</f>
        <v/>
      </c>
    </row>
    <row r="90" spans="1:13" ht="16" customHeight="1" x14ac:dyDescent="0.2">
      <c r="A90" s="17"/>
      <c r="B90" s="7"/>
      <c r="C90" s="7"/>
      <c r="D90" s="7"/>
      <c r="E90" s="6"/>
      <c r="F90" s="8"/>
      <c r="G90" s="7"/>
      <c r="H90" s="10" t="str">
        <f>IFERROR(E90*VLOOKUP(D90,FILAMENTI_DB!$A:$J,8,FALSE)+(VLOOKUP(C90,STAMPANTI_DB!$A:$C,3,FALSE)/1000)*F90*SETTINGS!$C$6+F90*VLOOKUP(C90,STAMPANTI_DB!$A:$I,9,FALSE)+SETTINGS!$C$11,"" )</f>
        <v/>
      </c>
      <c r="I90" s="7"/>
      <c r="M90" s="23" t="str">
        <f>IFERROR((E90*VLOOKUP(D90,FILAMENTI_DB!$A:$J,8,FALSE))+((VLOOKUP(C90,STAMPANTI_DB!$A:$C,3,FALSE)/1000)*F90*SETTINGS!$C$6)+(F90*VLOOKUP(C90,STAMPANTI_DB!$A:$I,9,FALSE)),"")</f>
        <v/>
      </c>
    </row>
    <row r="91" spans="1:13" ht="16" customHeight="1" x14ac:dyDescent="0.2">
      <c r="A91" s="17"/>
      <c r="B91" s="7"/>
      <c r="C91" s="7"/>
      <c r="D91" s="7"/>
      <c r="E91" s="6"/>
      <c r="F91" s="8"/>
      <c r="G91" s="7"/>
      <c r="H91" s="10" t="str">
        <f>IFERROR(E91*VLOOKUP(D91,FILAMENTI_DB!$A:$J,8,FALSE)+(VLOOKUP(C91,STAMPANTI_DB!$A:$C,3,FALSE)/1000)*F91*SETTINGS!$C$6+F91*VLOOKUP(C91,STAMPANTI_DB!$A:$I,9,FALSE)+SETTINGS!$C$11,"" )</f>
        <v/>
      </c>
      <c r="I91" s="7"/>
      <c r="M91" s="23" t="str">
        <f>IFERROR((E91*VLOOKUP(D91,FILAMENTI_DB!$A:$J,8,FALSE))+((VLOOKUP(C91,STAMPANTI_DB!$A:$C,3,FALSE)/1000)*F91*SETTINGS!$C$6)+(F91*VLOOKUP(C91,STAMPANTI_DB!$A:$I,9,FALSE)),"")</f>
        <v/>
      </c>
    </row>
    <row r="92" spans="1:13" ht="16" customHeight="1" x14ac:dyDescent="0.2">
      <c r="A92" s="17"/>
      <c r="B92" s="7"/>
      <c r="C92" s="7"/>
      <c r="D92" s="7"/>
      <c r="E92" s="6"/>
      <c r="F92" s="8"/>
      <c r="G92" s="7"/>
      <c r="H92" s="10" t="str">
        <f>IFERROR(E92*VLOOKUP(D92,FILAMENTI_DB!$A:$J,8,FALSE)+(VLOOKUP(C92,STAMPANTI_DB!$A:$C,3,FALSE)/1000)*F92*SETTINGS!$C$6+F92*VLOOKUP(C92,STAMPANTI_DB!$A:$I,9,FALSE)+SETTINGS!$C$11,"" )</f>
        <v/>
      </c>
      <c r="I92" s="7"/>
      <c r="M92" s="23" t="str">
        <f>IFERROR((E92*VLOOKUP(D92,FILAMENTI_DB!$A:$J,8,FALSE))+((VLOOKUP(C92,STAMPANTI_DB!$A:$C,3,FALSE)/1000)*F92*SETTINGS!$C$6)+(F92*VLOOKUP(C92,STAMPANTI_DB!$A:$I,9,FALSE)),"")</f>
        <v/>
      </c>
    </row>
    <row r="93" spans="1:13" ht="16" customHeight="1" x14ac:dyDescent="0.2">
      <c r="A93" s="17"/>
      <c r="B93" s="7"/>
      <c r="C93" s="7"/>
      <c r="D93" s="7"/>
      <c r="E93" s="6"/>
      <c r="F93" s="8"/>
      <c r="G93" s="7"/>
      <c r="H93" s="10" t="str">
        <f>IFERROR(E93*VLOOKUP(D93,FILAMENTI_DB!$A:$J,8,FALSE)+(VLOOKUP(C93,STAMPANTI_DB!$A:$C,3,FALSE)/1000)*F93*SETTINGS!$C$6+F93*VLOOKUP(C93,STAMPANTI_DB!$A:$I,9,FALSE)+SETTINGS!$C$11,"" )</f>
        <v/>
      </c>
      <c r="I93" s="7"/>
      <c r="M93" s="23" t="str">
        <f>IFERROR((E93*VLOOKUP(D93,FILAMENTI_DB!$A:$J,8,FALSE))+((VLOOKUP(C93,STAMPANTI_DB!$A:$C,3,FALSE)/1000)*F93*SETTINGS!$C$6)+(F93*VLOOKUP(C93,STAMPANTI_DB!$A:$I,9,FALSE)),"")</f>
        <v/>
      </c>
    </row>
    <row r="94" spans="1:13" ht="16" customHeight="1" x14ac:dyDescent="0.2">
      <c r="A94" s="17"/>
      <c r="B94" s="7"/>
      <c r="C94" s="7"/>
      <c r="D94" s="7"/>
      <c r="E94" s="6"/>
      <c r="F94" s="8"/>
      <c r="G94" s="7"/>
      <c r="H94" s="10" t="str">
        <f>IFERROR(E94*VLOOKUP(D94,FILAMENTI_DB!$A:$J,8,FALSE)+(VLOOKUP(C94,STAMPANTI_DB!$A:$C,3,FALSE)/1000)*F94*SETTINGS!$C$6+F94*VLOOKUP(C94,STAMPANTI_DB!$A:$I,9,FALSE)+SETTINGS!$C$11,"" )</f>
        <v/>
      </c>
      <c r="I94" s="7"/>
      <c r="M94" s="23" t="str">
        <f>IFERROR((E94*VLOOKUP(D94,FILAMENTI_DB!$A:$J,8,FALSE))+((VLOOKUP(C94,STAMPANTI_DB!$A:$C,3,FALSE)/1000)*F94*SETTINGS!$C$6)+(F94*VLOOKUP(C94,STAMPANTI_DB!$A:$I,9,FALSE)),"")</f>
        <v/>
      </c>
    </row>
    <row r="95" spans="1:13" ht="16" customHeight="1" x14ac:dyDescent="0.2">
      <c r="A95" s="17"/>
      <c r="B95" s="7"/>
      <c r="C95" s="7"/>
      <c r="D95" s="7"/>
      <c r="E95" s="6"/>
      <c r="F95" s="8"/>
      <c r="G95" s="7"/>
      <c r="H95" s="10" t="str">
        <f>IFERROR(E95*VLOOKUP(D95,FILAMENTI_DB!$A:$J,8,FALSE)+(VLOOKUP(C95,STAMPANTI_DB!$A:$C,3,FALSE)/1000)*F95*SETTINGS!$C$6+F95*VLOOKUP(C95,STAMPANTI_DB!$A:$I,9,FALSE)+SETTINGS!$C$11,"" )</f>
        <v/>
      </c>
      <c r="I95" s="7"/>
      <c r="M95" s="23" t="str">
        <f>IFERROR((E95*VLOOKUP(D95,FILAMENTI_DB!$A:$J,8,FALSE))+((VLOOKUP(C95,STAMPANTI_DB!$A:$C,3,FALSE)/1000)*F95*SETTINGS!$C$6)+(F95*VLOOKUP(C95,STAMPANTI_DB!$A:$I,9,FALSE)),"")</f>
        <v/>
      </c>
    </row>
    <row r="96" spans="1:13" ht="16" customHeight="1" x14ac:dyDescent="0.2">
      <c r="A96" s="17"/>
      <c r="B96" s="7"/>
      <c r="C96" s="7"/>
      <c r="D96" s="7"/>
      <c r="E96" s="6"/>
      <c r="F96" s="8"/>
      <c r="G96" s="7"/>
      <c r="H96" s="10" t="str">
        <f>IFERROR(E96*VLOOKUP(D96,FILAMENTI_DB!$A:$J,8,FALSE)+(VLOOKUP(C96,STAMPANTI_DB!$A:$C,3,FALSE)/1000)*F96*SETTINGS!$C$6+F96*VLOOKUP(C96,STAMPANTI_DB!$A:$I,9,FALSE)+SETTINGS!$C$11,"" )</f>
        <v/>
      </c>
      <c r="I96" s="7"/>
      <c r="M96" s="23" t="str">
        <f>IFERROR((E96*VLOOKUP(D96,FILAMENTI_DB!$A:$J,8,FALSE))+((VLOOKUP(C96,STAMPANTI_DB!$A:$C,3,FALSE)/1000)*F96*SETTINGS!$C$6)+(F96*VLOOKUP(C96,STAMPANTI_DB!$A:$I,9,FALSE)),"")</f>
        <v/>
      </c>
    </row>
    <row r="97" spans="1:13" ht="16" customHeight="1" x14ac:dyDescent="0.2">
      <c r="A97" s="17"/>
      <c r="B97" s="7"/>
      <c r="C97" s="7"/>
      <c r="D97" s="7"/>
      <c r="E97" s="6"/>
      <c r="F97" s="8"/>
      <c r="G97" s="7"/>
      <c r="H97" s="10" t="str">
        <f>IFERROR(E97*VLOOKUP(D97,FILAMENTI_DB!$A:$J,8,FALSE)+(VLOOKUP(C97,STAMPANTI_DB!$A:$C,3,FALSE)/1000)*F97*SETTINGS!$C$6+F97*VLOOKUP(C97,STAMPANTI_DB!$A:$I,9,FALSE)+SETTINGS!$C$11,"" )</f>
        <v/>
      </c>
      <c r="I97" s="7"/>
      <c r="M97" s="23" t="str">
        <f>IFERROR((E97*VLOOKUP(D97,FILAMENTI_DB!$A:$J,8,FALSE))+((VLOOKUP(C97,STAMPANTI_DB!$A:$C,3,FALSE)/1000)*F97*SETTINGS!$C$6)+(F97*VLOOKUP(C97,STAMPANTI_DB!$A:$I,9,FALSE)),"")</f>
        <v/>
      </c>
    </row>
    <row r="98" spans="1:13" ht="16" customHeight="1" x14ac:dyDescent="0.2">
      <c r="A98" s="17"/>
      <c r="B98" s="7"/>
      <c r="C98" s="7"/>
      <c r="D98" s="7"/>
      <c r="E98" s="6"/>
      <c r="F98" s="8"/>
      <c r="G98" s="7"/>
      <c r="H98" s="10" t="str">
        <f>IFERROR(E98*VLOOKUP(D98,FILAMENTI_DB!$A:$J,8,FALSE)+(VLOOKUP(C98,STAMPANTI_DB!$A:$C,3,FALSE)/1000)*F98*SETTINGS!$C$6+F98*VLOOKUP(C98,STAMPANTI_DB!$A:$I,9,FALSE)+SETTINGS!$C$11,"" )</f>
        <v/>
      </c>
      <c r="I98" s="7"/>
      <c r="M98" s="23" t="str">
        <f>IFERROR((E98*VLOOKUP(D98,FILAMENTI_DB!$A:$J,8,FALSE))+((VLOOKUP(C98,STAMPANTI_DB!$A:$C,3,FALSE)/1000)*F98*SETTINGS!$C$6)+(F98*VLOOKUP(C98,STAMPANTI_DB!$A:$I,9,FALSE)),"")</f>
        <v/>
      </c>
    </row>
    <row r="99" spans="1:13" ht="16" customHeight="1" x14ac:dyDescent="0.2">
      <c r="A99" s="17"/>
      <c r="B99" s="7"/>
      <c r="C99" s="7"/>
      <c r="D99" s="7"/>
      <c r="E99" s="6"/>
      <c r="F99" s="8"/>
      <c r="G99" s="7"/>
      <c r="H99" s="10" t="str">
        <f>IFERROR(E99*VLOOKUP(D99,FILAMENTI_DB!$A:$J,8,FALSE)+(VLOOKUP(C99,STAMPANTI_DB!$A:$C,3,FALSE)/1000)*F99*SETTINGS!$C$6+F99*VLOOKUP(C99,STAMPANTI_DB!$A:$I,9,FALSE)+SETTINGS!$C$11,"" )</f>
        <v/>
      </c>
      <c r="I99" s="7"/>
      <c r="M99" s="23" t="str">
        <f>IFERROR((E99*VLOOKUP(D99,FILAMENTI_DB!$A:$J,8,FALSE))+((VLOOKUP(C99,STAMPANTI_DB!$A:$C,3,FALSE)/1000)*F99*SETTINGS!$C$6)+(F99*VLOOKUP(C99,STAMPANTI_DB!$A:$I,9,FALSE)),"")</f>
        <v/>
      </c>
    </row>
    <row r="100" spans="1:13" ht="16" customHeight="1" x14ac:dyDescent="0.2">
      <c r="A100" s="17"/>
      <c r="B100" s="7"/>
      <c r="C100" s="7"/>
      <c r="D100" s="7"/>
      <c r="E100" s="6"/>
      <c r="F100" s="8"/>
      <c r="G100" s="7"/>
      <c r="H100" s="10" t="str">
        <f>IFERROR(E100*VLOOKUP(D100,FILAMENTI_DB!$A:$J,8,FALSE)+(VLOOKUP(C100,STAMPANTI_DB!$A:$C,3,FALSE)/1000)*F100*SETTINGS!$C$6+F100*VLOOKUP(C100,STAMPANTI_DB!$A:$I,9,FALSE)+SETTINGS!$C$11,"" )</f>
        <v/>
      </c>
      <c r="I100" s="7"/>
      <c r="M100" s="23" t="str">
        <f>IFERROR((E100*VLOOKUP(D100,FILAMENTI_DB!$A:$J,8,FALSE))+((VLOOKUP(C100,STAMPANTI_DB!$A:$C,3,FALSE)/1000)*F100*SETTINGS!$C$6)+(F100*VLOOKUP(C100,STAMPANTI_DB!$A:$I,9,FALSE)),"")</f>
        <v/>
      </c>
    </row>
    <row r="101" spans="1:13" ht="16" customHeight="1" x14ac:dyDescent="0.2">
      <c r="A101" s="17"/>
      <c r="B101" s="7"/>
      <c r="C101" s="7"/>
      <c r="D101" s="7"/>
      <c r="E101" s="6"/>
      <c r="F101" s="8"/>
      <c r="G101" s="7"/>
      <c r="H101" s="10" t="str">
        <f>IFERROR(E101*VLOOKUP(D101,FILAMENTI_DB!$A:$J,8,FALSE)+(VLOOKUP(C101,STAMPANTI_DB!$A:$C,3,FALSE)/1000)*F101*SETTINGS!$C$6+F101*VLOOKUP(C101,STAMPANTI_DB!$A:$I,9,FALSE)+SETTINGS!$C$11,"" )</f>
        <v/>
      </c>
      <c r="I101" s="7"/>
      <c r="M101" s="23" t="str">
        <f>IFERROR((E101*VLOOKUP(D101,FILAMENTI_DB!$A:$J,8,FALSE))+((VLOOKUP(C101,STAMPANTI_DB!$A:$C,3,FALSE)/1000)*F101*SETTINGS!$C$6)+(F101*VLOOKUP(C101,STAMPANTI_DB!$A:$I,9,FALSE)),"")</f>
        <v/>
      </c>
    </row>
    <row r="102" spans="1:13" ht="16" customHeight="1" x14ac:dyDescent="0.2">
      <c r="A102" s="17"/>
      <c r="B102" s="7"/>
      <c r="C102" s="7"/>
      <c r="D102" s="7"/>
      <c r="E102" s="6"/>
      <c r="F102" s="8"/>
      <c r="G102" s="7"/>
      <c r="H102" s="10" t="str">
        <f>IFERROR(E102*VLOOKUP(D102,FILAMENTI_DB!$A:$J,8,FALSE)+(VLOOKUP(C102,STAMPANTI_DB!$A:$C,3,FALSE)/1000)*F102*SETTINGS!$C$6+F102*VLOOKUP(C102,STAMPANTI_DB!$A:$I,9,FALSE)+SETTINGS!$C$11,"" )</f>
        <v/>
      </c>
      <c r="I102" s="7"/>
      <c r="M102" s="23" t="str">
        <f>IFERROR((E102*VLOOKUP(D102,FILAMENTI_DB!$A:$J,8,FALSE))+((VLOOKUP(C102,STAMPANTI_DB!$A:$C,3,FALSE)/1000)*F102*SETTINGS!$C$6)+(F102*VLOOKUP(C102,STAMPANTI_DB!$A:$I,9,FALSE)),"")</f>
        <v/>
      </c>
    </row>
    <row r="103" spans="1:13" ht="16" customHeight="1" x14ac:dyDescent="0.2">
      <c r="A103" s="17"/>
      <c r="B103" s="7"/>
      <c r="C103" s="7"/>
      <c r="D103" s="7"/>
      <c r="E103" s="6"/>
      <c r="F103" s="8"/>
      <c r="G103" s="7"/>
      <c r="H103" s="10" t="str">
        <f>IFERROR(E103*VLOOKUP(D103,FILAMENTI_DB!$A:$J,8,FALSE)+(VLOOKUP(C103,STAMPANTI_DB!$A:$C,3,FALSE)/1000)*F103*SETTINGS!$C$6+F103*VLOOKUP(C103,STAMPANTI_DB!$A:$I,9,FALSE)+SETTINGS!$C$11,"" )</f>
        <v/>
      </c>
      <c r="I103" s="7"/>
      <c r="M103" s="23" t="str">
        <f>IFERROR((E103*VLOOKUP(D103,FILAMENTI_DB!$A:$J,8,FALSE))+((VLOOKUP(C103,STAMPANTI_DB!$A:$C,3,FALSE)/1000)*F103*SETTINGS!$C$6)+(F103*VLOOKUP(C103,STAMPANTI_DB!$A:$I,9,FALSE)),"")</f>
        <v/>
      </c>
    </row>
    <row r="104" spans="1:13" ht="16" customHeight="1" x14ac:dyDescent="0.2">
      <c r="A104" s="17"/>
      <c r="B104" s="7"/>
      <c r="C104" s="7"/>
      <c r="D104" s="7"/>
      <c r="E104" s="6"/>
      <c r="F104" s="8"/>
      <c r="G104" s="7"/>
      <c r="H104" s="10" t="str">
        <f>IFERROR(E104*VLOOKUP(D104,FILAMENTI_DB!$A:$J,8,FALSE)+(VLOOKUP(C104,STAMPANTI_DB!$A:$C,3,FALSE)/1000)*F104*SETTINGS!$C$6+F104*VLOOKUP(C104,STAMPANTI_DB!$A:$I,9,FALSE)+SETTINGS!$C$11,"" )</f>
        <v/>
      </c>
      <c r="I104" s="7"/>
      <c r="M104" s="23" t="str">
        <f>IFERROR((E104*VLOOKUP(D104,FILAMENTI_DB!$A:$J,8,FALSE))+((VLOOKUP(C104,STAMPANTI_DB!$A:$C,3,FALSE)/1000)*F104*SETTINGS!$C$6)+(F104*VLOOKUP(C104,STAMPANTI_DB!$A:$I,9,FALSE)),"")</f>
        <v/>
      </c>
    </row>
    <row r="105" spans="1:13" ht="16" customHeight="1" x14ac:dyDescent="0.2">
      <c r="A105" s="17"/>
      <c r="B105" s="7"/>
      <c r="C105" s="7"/>
      <c r="D105" s="7"/>
      <c r="E105" s="6"/>
      <c r="F105" s="8"/>
      <c r="G105" s="7"/>
      <c r="H105" s="10" t="str">
        <f>IFERROR(E105*VLOOKUP(D105,FILAMENTI_DB!$A:$J,8,FALSE)+(VLOOKUP(C105,STAMPANTI_DB!$A:$C,3,FALSE)/1000)*F105*SETTINGS!$C$6+F105*VLOOKUP(C105,STAMPANTI_DB!$A:$I,9,FALSE)+SETTINGS!$C$11,"" )</f>
        <v/>
      </c>
      <c r="I105" s="7"/>
      <c r="M105" s="23" t="str">
        <f>IFERROR((E105*VLOOKUP(D105,FILAMENTI_DB!$A:$J,8,FALSE))+((VLOOKUP(C105,STAMPANTI_DB!$A:$C,3,FALSE)/1000)*F105*SETTINGS!$C$6)+(F105*VLOOKUP(C105,STAMPANTI_DB!$A:$I,9,FALSE)),"")</f>
        <v/>
      </c>
    </row>
    <row r="106" spans="1:13" ht="16" customHeight="1" x14ac:dyDescent="0.2">
      <c r="A106" s="17"/>
      <c r="B106" s="7"/>
      <c r="C106" s="7"/>
      <c r="D106" s="7"/>
      <c r="E106" s="6"/>
      <c r="F106" s="8"/>
      <c r="G106" s="7"/>
      <c r="H106" s="10" t="str">
        <f>IFERROR(E106*VLOOKUP(D106,FILAMENTI_DB!$A:$J,8,FALSE)+(VLOOKUP(C106,STAMPANTI_DB!$A:$C,3,FALSE)/1000)*F106*SETTINGS!$C$6+F106*VLOOKUP(C106,STAMPANTI_DB!$A:$I,9,FALSE)+SETTINGS!$C$11,"" )</f>
        <v/>
      </c>
      <c r="I106" s="7"/>
      <c r="M106" s="23" t="str">
        <f>IFERROR((E106*VLOOKUP(D106,FILAMENTI_DB!$A:$J,8,FALSE))+((VLOOKUP(C106,STAMPANTI_DB!$A:$C,3,FALSE)/1000)*F106*SETTINGS!$C$6)+(F106*VLOOKUP(C106,STAMPANTI_DB!$A:$I,9,FALSE)),"")</f>
        <v/>
      </c>
    </row>
    <row r="107" spans="1:13" ht="16" customHeight="1" x14ac:dyDescent="0.2">
      <c r="A107" s="17"/>
      <c r="B107" s="7"/>
      <c r="C107" s="7"/>
      <c r="D107" s="7"/>
      <c r="E107" s="6"/>
      <c r="F107" s="8"/>
      <c r="G107" s="7"/>
      <c r="H107" s="10" t="str">
        <f>IFERROR(E107*VLOOKUP(D107,FILAMENTI_DB!$A:$J,8,FALSE)+(VLOOKUP(C107,STAMPANTI_DB!$A:$C,3,FALSE)/1000)*F107*SETTINGS!$C$6+F107*VLOOKUP(C107,STAMPANTI_DB!$A:$I,9,FALSE)+SETTINGS!$C$11,"" )</f>
        <v/>
      </c>
      <c r="I107" s="7"/>
      <c r="M107" s="23" t="str">
        <f>IFERROR((E107*VLOOKUP(D107,FILAMENTI_DB!$A:$J,8,FALSE))+((VLOOKUP(C107,STAMPANTI_DB!$A:$C,3,FALSE)/1000)*F107*SETTINGS!$C$6)+(F107*VLOOKUP(C107,STAMPANTI_DB!$A:$I,9,FALSE)),"")</f>
        <v/>
      </c>
    </row>
    <row r="108" spans="1:13" ht="16" customHeight="1" x14ac:dyDescent="0.2">
      <c r="A108" s="17"/>
      <c r="B108" s="7"/>
      <c r="C108" s="7"/>
      <c r="D108" s="7"/>
      <c r="E108" s="6"/>
      <c r="F108" s="8"/>
      <c r="G108" s="7"/>
      <c r="H108" s="10" t="str">
        <f>IFERROR(E108*VLOOKUP(D108,FILAMENTI_DB!$A:$J,8,FALSE)+(VLOOKUP(C108,STAMPANTI_DB!$A:$C,3,FALSE)/1000)*F108*SETTINGS!$C$6+F108*VLOOKUP(C108,STAMPANTI_DB!$A:$I,9,FALSE)+SETTINGS!$C$11,"" )</f>
        <v/>
      </c>
      <c r="I108" s="7"/>
      <c r="M108" s="23" t="str">
        <f>IFERROR((E108*VLOOKUP(D108,FILAMENTI_DB!$A:$J,8,FALSE))+((VLOOKUP(C108,STAMPANTI_DB!$A:$C,3,FALSE)/1000)*F108*SETTINGS!$C$6)+(F108*VLOOKUP(C108,STAMPANTI_DB!$A:$I,9,FALSE)),"")</f>
        <v/>
      </c>
    </row>
    <row r="109" spans="1:13" ht="16" customHeight="1" x14ac:dyDescent="0.2">
      <c r="A109" s="17"/>
      <c r="B109" s="7"/>
      <c r="C109" s="7"/>
      <c r="D109" s="7"/>
      <c r="E109" s="6"/>
      <c r="F109" s="8"/>
      <c r="G109" s="7"/>
      <c r="H109" s="10" t="str">
        <f>IFERROR(E109*VLOOKUP(D109,FILAMENTI_DB!$A:$J,8,FALSE)+(VLOOKUP(C109,STAMPANTI_DB!$A:$C,3,FALSE)/1000)*F109*SETTINGS!$C$6+F109*VLOOKUP(C109,STAMPANTI_DB!$A:$I,9,FALSE)+SETTINGS!$C$11,"" )</f>
        <v/>
      </c>
      <c r="I109" s="7"/>
      <c r="M109" s="23" t="str">
        <f>IFERROR((E109*VLOOKUP(D109,FILAMENTI_DB!$A:$J,8,FALSE))+((VLOOKUP(C109,STAMPANTI_DB!$A:$C,3,FALSE)/1000)*F109*SETTINGS!$C$6)+(F109*VLOOKUP(C109,STAMPANTI_DB!$A:$I,9,FALSE)),"")</f>
        <v/>
      </c>
    </row>
    <row r="110" spans="1:13" ht="16" customHeight="1" x14ac:dyDescent="0.2">
      <c r="A110" s="17"/>
      <c r="B110" s="7"/>
      <c r="C110" s="7"/>
      <c r="D110" s="7"/>
      <c r="E110" s="6"/>
      <c r="F110" s="8"/>
      <c r="G110" s="7"/>
      <c r="H110" s="10" t="str">
        <f>IFERROR(E110*VLOOKUP(D110,FILAMENTI_DB!$A:$J,8,FALSE)+(VLOOKUP(C110,STAMPANTI_DB!$A:$C,3,FALSE)/1000)*F110*SETTINGS!$C$6+F110*VLOOKUP(C110,STAMPANTI_DB!$A:$I,9,FALSE)+SETTINGS!$C$11,"" )</f>
        <v/>
      </c>
      <c r="I110" s="7"/>
      <c r="M110" s="23" t="str">
        <f>IFERROR((E110*VLOOKUP(D110,FILAMENTI_DB!$A:$J,8,FALSE))+((VLOOKUP(C110,STAMPANTI_DB!$A:$C,3,FALSE)/1000)*F110*SETTINGS!$C$6)+(F110*VLOOKUP(C110,STAMPANTI_DB!$A:$I,9,FALSE)),"")</f>
        <v/>
      </c>
    </row>
    <row r="111" spans="1:13" ht="16" customHeight="1" x14ac:dyDescent="0.2">
      <c r="A111" s="17"/>
      <c r="B111" s="7"/>
      <c r="C111" s="7"/>
      <c r="D111" s="7"/>
      <c r="E111" s="6"/>
      <c r="F111" s="8"/>
      <c r="G111" s="7"/>
      <c r="H111" s="10" t="str">
        <f>IFERROR(E111*VLOOKUP(D111,FILAMENTI_DB!$A:$J,8,FALSE)+(VLOOKUP(C111,STAMPANTI_DB!$A:$C,3,FALSE)/1000)*F111*SETTINGS!$C$6+F111*VLOOKUP(C111,STAMPANTI_DB!$A:$I,9,FALSE)+SETTINGS!$C$11,"" )</f>
        <v/>
      </c>
      <c r="I111" s="7"/>
      <c r="M111" s="23" t="str">
        <f>IFERROR((E111*VLOOKUP(D111,FILAMENTI_DB!$A:$J,8,FALSE))+((VLOOKUP(C111,STAMPANTI_DB!$A:$C,3,FALSE)/1000)*F111*SETTINGS!$C$6)+(F111*VLOOKUP(C111,STAMPANTI_DB!$A:$I,9,FALSE)),"")</f>
        <v/>
      </c>
    </row>
    <row r="112" spans="1:13" ht="16" customHeight="1" x14ac:dyDescent="0.2">
      <c r="A112" s="17"/>
      <c r="B112" s="7"/>
      <c r="C112" s="7"/>
      <c r="D112" s="7"/>
      <c r="E112" s="6"/>
      <c r="F112" s="8"/>
      <c r="G112" s="7"/>
      <c r="H112" s="10" t="str">
        <f>IFERROR(E112*VLOOKUP(D112,FILAMENTI_DB!$A:$J,8,FALSE)+(VLOOKUP(C112,STAMPANTI_DB!$A:$C,3,FALSE)/1000)*F112*SETTINGS!$C$6+F112*VLOOKUP(C112,STAMPANTI_DB!$A:$I,9,FALSE)+SETTINGS!$C$11,"" )</f>
        <v/>
      </c>
      <c r="I112" s="7"/>
      <c r="M112" s="23" t="str">
        <f>IFERROR((E112*VLOOKUP(D112,FILAMENTI_DB!$A:$J,8,FALSE))+((VLOOKUP(C112,STAMPANTI_DB!$A:$C,3,FALSE)/1000)*F112*SETTINGS!$C$6)+(F112*VLOOKUP(C112,STAMPANTI_DB!$A:$I,9,FALSE)),"")</f>
        <v/>
      </c>
    </row>
    <row r="113" spans="1:13" ht="16" customHeight="1" x14ac:dyDescent="0.2">
      <c r="A113" s="17"/>
      <c r="B113" s="7"/>
      <c r="C113" s="7"/>
      <c r="D113" s="7"/>
      <c r="E113" s="6"/>
      <c r="F113" s="8"/>
      <c r="G113" s="7"/>
      <c r="H113" s="10" t="str">
        <f>IFERROR(E113*VLOOKUP(D113,FILAMENTI_DB!$A:$J,8,FALSE)+(VLOOKUP(C113,STAMPANTI_DB!$A:$C,3,FALSE)/1000)*F113*SETTINGS!$C$6+F113*VLOOKUP(C113,STAMPANTI_DB!$A:$I,9,FALSE)+SETTINGS!$C$11,"" )</f>
        <v/>
      </c>
      <c r="I113" s="7"/>
      <c r="M113" s="23" t="str">
        <f>IFERROR((E113*VLOOKUP(D113,FILAMENTI_DB!$A:$J,8,FALSE))+((VLOOKUP(C113,STAMPANTI_DB!$A:$C,3,FALSE)/1000)*F113*SETTINGS!$C$6)+(F113*VLOOKUP(C113,STAMPANTI_DB!$A:$I,9,FALSE)),"")</f>
        <v/>
      </c>
    </row>
    <row r="114" spans="1:13" ht="16" customHeight="1" x14ac:dyDescent="0.2">
      <c r="A114" s="17"/>
      <c r="B114" s="7"/>
      <c r="C114" s="7"/>
      <c r="D114" s="7"/>
      <c r="E114" s="6"/>
      <c r="F114" s="8"/>
      <c r="G114" s="7"/>
      <c r="H114" s="10" t="str">
        <f>IFERROR(E114*VLOOKUP(D114,FILAMENTI_DB!$A:$J,8,FALSE)+(VLOOKUP(C114,STAMPANTI_DB!$A:$C,3,FALSE)/1000)*F114*SETTINGS!$C$6+F114*VLOOKUP(C114,STAMPANTI_DB!$A:$I,9,FALSE)+SETTINGS!$C$11,"" )</f>
        <v/>
      </c>
      <c r="I114" s="7"/>
      <c r="M114" s="23" t="str">
        <f>IFERROR((E114*VLOOKUP(D114,FILAMENTI_DB!$A:$J,8,FALSE))+((VLOOKUP(C114,STAMPANTI_DB!$A:$C,3,FALSE)/1000)*F114*SETTINGS!$C$6)+(F114*VLOOKUP(C114,STAMPANTI_DB!$A:$I,9,FALSE)),"")</f>
        <v/>
      </c>
    </row>
    <row r="115" spans="1:13" ht="16" customHeight="1" x14ac:dyDescent="0.2">
      <c r="A115" s="17"/>
      <c r="B115" s="7"/>
      <c r="C115" s="7"/>
      <c r="D115" s="7"/>
      <c r="E115" s="6"/>
      <c r="F115" s="8"/>
      <c r="G115" s="7"/>
      <c r="H115" s="10" t="str">
        <f>IFERROR(E115*VLOOKUP(D115,FILAMENTI_DB!$A:$J,8,FALSE)+(VLOOKUP(C115,STAMPANTI_DB!$A:$C,3,FALSE)/1000)*F115*SETTINGS!$C$6+F115*VLOOKUP(C115,STAMPANTI_DB!$A:$I,9,FALSE)+SETTINGS!$C$11,"" )</f>
        <v/>
      </c>
      <c r="I115" s="7"/>
      <c r="M115" s="23" t="str">
        <f>IFERROR((E115*VLOOKUP(D115,FILAMENTI_DB!$A:$J,8,FALSE))+((VLOOKUP(C115,STAMPANTI_DB!$A:$C,3,FALSE)/1000)*F115*SETTINGS!$C$6)+(F115*VLOOKUP(C115,STAMPANTI_DB!$A:$I,9,FALSE)),"")</f>
        <v/>
      </c>
    </row>
    <row r="116" spans="1:13" ht="16" customHeight="1" x14ac:dyDescent="0.2">
      <c r="A116" s="17"/>
      <c r="B116" s="7"/>
      <c r="C116" s="7"/>
      <c r="D116" s="7"/>
      <c r="E116" s="6"/>
      <c r="F116" s="8"/>
      <c r="G116" s="7"/>
      <c r="H116" s="10" t="str">
        <f>IFERROR(E116*VLOOKUP(D116,FILAMENTI_DB!$A:$J,8,FALSE)+(VLOOKUP(C116,STAMPANTI_DB!$A:$C,3,FALSE)/1000)*F116*SETTINGS!$C$6+F116*VLOOKUP(C116,STAMPANTI_DB!$A:$I,9,FALSE)+SETTINGS!$C$11,"" )</f>
        <v/>
      </c>
      <c r="I116" s="7"/>
      <c r="M116" s="23" t="str">
        <f>IFERROR((E116*VLOOKUP(D116,FILAMENTI_DB!$A:$J,8,FALSE))+((VLOOKUP(C116,STAMPANTI_DB!$A:$C,3,FALSE)/1000)*F116*SETTINGS!$C$6)+(F116*VLOOKUP(C116,STAMPANTI_DB!$A:$I,9,FALSE)),"")</f>
        <v/>
      </c>
    </row>
    <row r="117" spans="1:13" ht="16" customHeight="1" x14ac:dyDescent="0.2">
      <c r="A117" s="17"/>
      <c r="B117" s="7"/>
      <c r="C117" s="7"/>
      <c r="D117" s="7"/>
      <c r="E117" s="6"/>
      <c r="F117" s="8"/>
      <c r="G117" s="7"/>
      <c r="H117" s="10" t="str">
        <f>IFERROR(E117*VLOOKUP(D117,FILAMENTI_DB!$A:$J,8,FALSE)+(VLOOKUP(C117,STAMPANTI_DB!$A:$C,3,FALSE)/1000)*F117*SETTINGS!$C$6+F117*VLOOKUP(C117,STAMPANTI_DB!$A:$I,9,FALSE)+SETTINGS!$C$11,"" )</f>
        <v/>
      </c>
      <c r="I117" s="7"/>
      <c r="M117" s="23" t="str">
        <f>IFERROR((E117*VLOOKUP(D117,FILAMENTI_DB!$A:$J,8,FALSE))+((VLOOKUP(C117,STAMPANTI_DB!$A:$C,3,FALSE)/1000)*F117*SETTINGS!$C$6)+(F117*VLOOKUP(C117,STAMPANTI_DB!$A:$I,9,FALSE)),"")</f>
        <v/>
      </c>
    </row>
    <row r="118" spans="1:13" ht="16" customHeight="1" x14ac:dyDescent="0.2">
      <c r="A118" s="17"/>
      <c r="B118" s="7"/>
      <c r="C118" s="7"/>
      <c r="D118" s="7"/>
      <c r="E118" s="6"/>
      <c r="F118" s="8"/>
      <c r="G118" s="7"/>
      <c r="H118" s="10" t="str">
        <f>IFERROR(E118*VLOOKUP(D118,FILAMENTI_DB!$A:$J,8,FALSE)+(VLOOKUP(C118,STAMPANTI_DB!$A:$C,3,FALSE)/1000)*F118*SETTINGS!$C$6+F118*VLOOKUP(C118,STAMPANTI_DB!$A:$I,9,FALSE)+SETTINGS!$C$11,"" )</f>
        <v/>
      </c>
      <c r="I118" s="7"/>
      <c r="M118" s="23" t="str">
        <f>IFERROR((E118*VLOOKUP(D118,FILAMENTI_DB!$A:$J,8,FALSE))+((VLOOKUP(C118,STAMPANTI_DB!$A:$C,3,FALSE)/1000)*F118*SETTINGS!$C$6)+(F118*VLOOKUP(C118,STAMPANTI_DB!$A:$I,9,FALSE)),"")</f>
        <v/>
      </c>
    </row>
    <row r="119" spans="1:13" ht="16" customHeight="1" x14ac:dyDescent="0.2">
      <c r="A119" s="17"/>
      <c r="B119" s="7"/>
      <c r="C119" s="7"/>
      <c r="D119" s="7"/>
      <c r="E119" s="6"/>
      <c r="F119" s="8"/>
      <c r="G119" s="7"/>
      <c r="H119" s="10" t="str">
        <f>IFERROR(E119*VLOOKUP(D119,FILAMENTI_DB!$A:$J,8,FALSE)+(VLOOKUP(C119,STAMPANTI_DB!$A:$C,3,FALSE)/1000)*F119*SETTINGS!$C$6+F119*VLOOKUP(C119,STAMPANTI_DB!$A:$I,9,FALSE)+SETTINGS!$C$11,"" )</f>
        <v/>
      </c>
      <c r="I119" s="7"/>
      <c r="M119" s="23" t="str">
        <f>IFERROR((E119*VLOOKUP(D119,FILAMENTI_DB!$A:$J,8,FALSE))+((VLOOKUP(C119,STAMPANTI_DB!$A:$C,3,FALSE)/1000)*F119*SETTINGS!$C$6)+(F119*VLOOKUP(C119,STAMPANTI_DB!$A:$I,9,FALSE)),"")</f>
        <v/>
      </c>
    </row>
    <row r="120" spans="1:13" ht="16" customHeight="1" x14ac:dyDescent="0.2">
      <c r="A120" s="17"/>
      <c r="B120" s="7"/>
      <c r="C120" s="7"/>
      <c r="D120" s="7"/>
      <c r="E120" s="6"/>
      <c r="F120" s="8"/>
      <c r="G120" s="7"/>
      <c r="H120" s="10" t="str">
        <f>IFERROR(E120*VLOOKUP(D120,FILAMENTI_DB!$A:$J,8,FALSE)+(VLOOKUP(C120,STAMPANTI_DB!$A:$C,3,FALSE)/1000)*F120*SETTINGS!$C$6+F120*VLOOKUP(C120,STAMPANTI_DB!$A:$I,9,FALSE)+SETTINGS!$C$11,"" )</f>
        <v/>
      </c>
      <c r="I120" s="7"/>
      <c r="M120" s="23" t="str">
        <f>IFERROR((E120*VLOOKUP(D120,FILAMENTI_DB!$A:$J,8,FALSE))+((VLOOKUP(C120,STAMPANTI_DB!$A:$C,3,FALSE)/1000)*F120*SETTINGS!$C$6)+(F120*VLOOKUP(C120,STAMPANTI_DB!$A:$I,9,FALSE)),"")</f>
        <v/>
      </c>
    </row>
    <row r="121" spans="1:13" ht="16" customHeight="1" x14ac:dyDescent="0.2">
      <c r="A121" s="17"/>
      <c r="B121" s="7"/>
      <c r="C121" s="7"/>
      <c r="D121" s="7"/>
      <c r="E121" s="6"/>
      <c r="F121" s="8"/>
      <c r="G121" s="7"/>
      <c r="H121" s="10" t="str">
        <f>IFERROR(E121*VLOOKUP(D121,FILAMENTI_DB!$A:$J,8,FALSE)+(VLOOKUP(C121,STAMPANTI_DB!$A:$C,3,FALSE)/1000)*F121*SETTINGS!$C$6+F121*VLOOKUP(C121,STAMPANTI_DB!$A:$I,9,FALSE)+SETTINGS!$C$11,"" )</f>
        <v/>
      </c>
      <c r="I121" s="7"/>
      <c r="M121" s="23" t="str">
        <f>IFERROR((E121*VLOOKUP(D121,FILAMENTI_DB!$A:$J,8,FALSE))+((VLOOKUP(C121,STAMPANTI_DB!$A:$C,3,FALSE)/1000)*F121*SETTINGS!$C$6)+(F121*VLOOKUP(C121,STAMPANTI_DB!$A:$I,9,FALSE)),"")</f>
        <v/>
      </c>
    </row>
    <row r="122" spans="1:13" ht="16" customHeight="1" x14ac:dyDescent="0.2">
      <c r="A122" s="17"/>
      <c r="B122" s="7"/>
      <c r="C122" s="7"/>
      <c r="D122" s="7"/>
      <c r="E122" s="6"/>
      <c r="F122" s="8"/>
      <c r="G122" s="7"/>
      <c r="H122" s="10" t="str">
        <f>IFERROR(E122*VLOOKUP(D122,FILAMENTI_DB!$A:$J,8,FALSE)+(VLOOKUP(C122,STAMPANTI_DB!$A:$C,3,FALSE)/1000)*F122*SETTINGS!$C$6+F122*VLOOKUP(C122,STAMPANTI_DB!$A:$I,9,FALSE)+SETTINGS!$C$11,"" )</f>
        <v/>
      </c>
      <c r="I122" s="7"/>
      <c r="M122" s="23" t="str">
        <f>IFERROR((E122*VLOOKUP(D122,FILAMENTI_DB!$A:$J,8,FALSE))+((VLOOKUP(C122,STAMPANTI_DB!$A:$C,3,FALSE)/1000)*F122*SETTINGS!$C$6)+(F122*VLOOKUP(C122,STAMPANTI_DB!$A:$I,9,FALSE)),"")</f>
        <v/>
      </c>
    </row>
    <row r="123" spans="1:13" ht="16" customHeight="1" x14ac:dyDescent="0.2">
      <c r="A123" s="17"/>
      <c r="B123" s="7"/>
      <c r="C123" s="7"/>
      <c r="D123" s="7"/>
      <c r="E123" s="6"/>
      <c r="F123" s="8"/>
      <c r="G123" s="7"/>
      <c r="H123" s="10" t="str">
        <f>IFERROR(E123*VLOOKUP(D123,FILAMENTI_DB!$A:$J,8,FALSE)+(VLOOKUP(C123,STAMPANTI_DB!$A:$C,3,FALSE)/1000)*F123*SETTINGS!$C$6+F123*VLOOKUP(C123,STAMPANTI_DB!$A:$I,9,FALSE)+SETTINGS!$C$11,"" )</f>
        <v/>
      </c>
      <c r="I123" s="7"/>
      <c r="M123" s="23" t="str">
        <f>IFERROR((E123*VLOOKUP(D123,FILAMENTI_DB!$A:$J,8,FALSE))+((VLOOKUP(C123,STAMPANTI_DB!$A:$C,3,FALSE)/1000)*F123*SETTINGS!$C$6)+(F123*VLOOKUP(C123,STAMPANTI_DB!$A:$I,9,FALSE)),"")</f>
        <v/>
      </c>
    </row>
    <row r="124" spans="1:13" ht="16" customHeight="1" x14ac:dyDescent="0.2">
      <c r="A124" s="17"/>
      <c r="B124" s="7"/>
      <c r="C124" s="7"/>
      <c r="D124" s="7"/>
      <c r="E124" s="6"/>
      <c r="F124" s="8"/>
      <c r="G124" s="7"/>
      <c r="H124" s="10" t="str">
        <f>IFERROR(E124*VLOOKUP(D124,FILAMENTI_DB!$A:$J,8,FALSE)+(VLOOKUP(C124,STAMPANTI_DB!$A:$C,3,FALSE)/1000)*F124*SETTINGS!$C$6+F124*VLOOKUP(C124,STAMPANTI_DB!$A:$I,9,FALSE)+SETTINGS!$C$11,"" )</f>
        <v/>
      </c>
      <c r="I124" s="7"/>
      <c r="M124" s="23" t="str">
        <f>IFERROR((E124*VLOOKUP(D124,FILAMENTI_DB!$A:$J,8,FALSE))+((VLOOKUP(C124,STAMPANTI_DB!$A:$C,3,FALSE)/1000)*F124*SETTINGS!$C$6)+(F124*VLOOKUP(C124,STAMPANTI_DB!$A:$I,9,FALSE)),"")</f>
        <v/>
      </c>
    </row>
    <row r="125" spans="1:13" ht="16" customHeight="1" x14ac:dyDescent="0.2">
      <c r="A125" s="17"/>
      <c r="B125" s="7"/>
      <c r="C125" s="7"/>
      <c r="D125" s="7"/>
      <c r="E125" s="6"/>
      <c r="F125" s="8"/>
      <c r="G125" s="7"/>
      <c r="H125" s="10" t="str">
        <f>IFERROR(E125*VLOOKUP(D125,FILAMENTI_DB!$A:$J,8,FALSE)+(VLOOKUP(C125,STAMPANTI_DB!$A:$C,3,FALSE)/1000)*F125*SETTINGS!$C$6+F125*VLOOKUP(C125,STAMPANTI_DB!$A:$I,9,FALSE)+SETTINGS!$C$11,"" )</f>
        <v/>
      </c>
      <c r="I125" s="7"/>
      <c r="M125" s="23" t="str">
        <f>IFERROR((E125*VLOOKUP(D125,FILAMENTI_DB!$A:$J,8,FALSE))+((VLOOKUP(C125,STAMPANTI_DB!$A:$C,3,FALSE)/1000)*F125*SETTINGS!$C$6)+(F125*VLOOKUP(C125,STAMPANTI_DB!$A:$I,9,FALSE)),"")</f>
        <v/>
      </c>
    </row>
    <row r="126" spans="1:13" ht="16" customHeight="1" x14ac:dyDescent="0.2">
      <c r="A126" s="17"/>
      <c r="B126" s="7"/>
      <c r="C126" s="7"/>
      <c r="D126" s="7"/>
      <c r="E126" s="6"/>
      <c r="F126" s="8"/>
      <c r="G126" s="7"/>
      <c r="H126" s="10" t="str">
        <f>IFERROR(E126*VLOOKUP(D126,FILAMENTI_DB!$A:$J,8,FALSE)+(VLOOKUP(C126,STAMPANTI_DB!$A:$C,3,FALSE)/1000)*F126*SETTINGS!$C$6+F126*VLOOKUP(C126,STAMPANTI_DB!$A:$I,9,FALSE)+SETTINGS!$C$11,"" )</f>
        <v/>
      </c>
      <c r="I126" s="7"/>
      <c r="M126" s="23" t="str">
        <f>IFERROR((E126*VLOOKUP(D126,FILAMENTI_DB!$A:$J,8,FALSE))+((VLOOKUP(C126,STAMPANTI_DB!$A:$C,3,FALSE)/1000)*F126*SETTINGS!$C$6)+(F126*VLOOKUP(C126,STAMPANTI_DB!$A:$I,9,FALSE)),"")</f>
        <v/>
      </c>
    </row>
    <row r="127" spans="1:13" ht="16" customHeight="1" x14ac:dyDescent="0.2">
      <c r="A127" s="17"/>
      <c r="B127" s="7"/>
      <c r="C127" s="7"/>
      <c r="D127" s="7"/>
      <c r="E127" s="6"/>
      <c r="F127" s="8"/>
      <c r="G127" s="7"/>
      <c r="H127" s="10" t="str">
        <f>IFERROR(E127*VLOOKUP(D127,FILAMENTI_DB!$A:$J,8,FALSE)+(VLOOKUP(C127,STAMPANTI_DB!$A:$C,3,FALSE)/1000)*F127*SETTINGS!$C$6+F127*VLOOKUP(C127,STAMPANTI_DB!$A:$I,9,FALSE)+SETTINGS!$C$11,"" )</f>
        <v/>
      </c>
      <c r="I127" s="7"/>
      <c r="M127" s="23" t="str">
        <f>IFERROR((E127*VLOOKUP(D127,FILAMENTI_DB!$A:$J,8,FALSE))+((VLOOKUP(C127,STAMPANTI_DB!$A:$C,3,FALSE)/1000)*F127*SETTINGS!$C$6)+(F127*VLOOKUP(C127,STAMPANTI_DB!$A:$I,9,FALSE)),"")</f>
        <v/>
      </c>
    </row>
    <row r="128" spans="1:13" ht="16" customHeight="1" x14ac:dyDescent="0.2">
      <c r="A128" s="17"/>
      <c r="B128" s="7"/>
      <c r="C128" s="7"/>
      <c r="D128" s="7"/>
      <c r="E128" s="6"/>
      <c r="F128" s="8"/>
      <c r="G128" s="7"/>
      <c r="H128" s="10" t="str">
        <f>IFERROR(E128*VLOOKUP(D128,FILAMENTI_DB!$A:$J,8,FALSE)+(VLOOKUP(C128,STAMPANTI_DB!$A:$C,3,FALSE)/1000)*F128*SETTINGS!$C$6+F128*VLOOKUP(C128,STAMPANTI_DB!$A:$I,9,FALSE)+SETTINGS!$C$11,"" )</f>
        <v/>
      </c>
      <c r="I128" s="7"/>
      <c r="M128" s="23" t="str">
        <f>IFERROR((E128*VLOOKUP(D128,FILAMENTI_DB!$A:$J,8,FALSE))+((VLOOKUP(C128,STAMPANTI_DB!$A:$C,3,FALSE)/1000)*F128*SETTINGS!$C$6)+(F128*VLOOKUP(C128,STAMPANTI_DB!$A:$I,9,FALSE)),"")</f>
        <v/>
      </c>
    </row>
    <row r="129" spans="1:13" ht="16" customHeight="1" x14ac:dyDescent="0.2">
      <c r="A129" s="17"/>
      <c r="B129" s="7"/>
      <c r="C129" s="7"/>
      <c r="D129" s="7"/>
      <c r="E129" s="6"/>
      <c r="F129" s="8"/>
      <c r="G129" s="7"/>
      <c r="H129" s="10" t="str">
        <f>IFERROR(E129*VLOOKUP(D129,FILAMENTI_DB!$A:$J,8,FALSE)+(VLOOKUP(C129,STAMPANTI_DB!$A:$C,3,FALSE)/1000)*F129*SETTINGS!$C$6+F129*VLOOKUP(C129,STAMPANTI_DB!$A:$I,9,FALSE)+SETTINGS!$C$11,"" )</f>
        <v/>
      </c>
      <c r="I129" s="7"/>
      <c r="M129" s="23" t="str">
        <f>IFERROR((E129*VLOOKUP(D129,FILAMENTI_DB!$A:$J,8,FALSE))+((VLOOKUP(C129,STAMPANTI_DB!$A:$C,3,FALSE)/1000)*F129*SETTINGS!$C$6)+(F129*VLOOKUP(C129,STAMPANTI_DB!$A:$I,9,FALSE)),"")</f>
        <v/>
      </c>
    </row>
    <row r="130" spans="1:13" ht="16" customHeight="1" x14ac:dyDescent="0.2">
      <c r="A130" s="17"/>
      <c r="B130" s="7"/>
      <c r="C130" s="7"/>
      <c r="D130" s="7"/>
      <c r="E130" s="6"/>
      <c r="F130" s="8"/>
      <c r="G130" s="7"/>
      <c r="H130" s="10" t="str">
        <f>IFERROR(E130*VLOOKUP(D130,FILAMENTI_DB!$A:$J,8,FALSE)+(VLOOKUP(C130,STAMPANTI_DB!$A:$C,3,FALSE)/1000)*F130*SETTINGS!$C$6+F130*VLOOKUP(C130,STAMPANTI_DB!$A:$I,9,FALSE)+SETTINGS!$C$11,"" )</f>
        <v/>
      </c>
      <c r="I130" s="7"/>
      <c r="M130" s="23" t="str">
        <f>IFERROR((E130*VLOOKUP(D130,FILAMENTI_DB!$A:$J,8,FALSE))+((VLOOKUP(C130,STAMPANTI_DB!$A:$C,3,FALSE)/1000)*F130*SETTINGS!$C$6)+(F130*VLOOKUP(C130,STAMPANTI_DB!$A:$I,9,FALSE)),"")</f>
        <v/>
      </c>
    </row>
    <row r="131" spans="1:13" ht="16" customHeight="1" x14ac:dyDescent="0.2">
      <c r="A131" s="17"/>
      <c r="B131" s="7"/>
      <c r="C131" s="7"/>
      <c r="D131" s="7"/>
      <c r="E131" s="6"/>
      <c r="F131" s="8"/>
      <c r="G131" s="7"/>
      <c r="H131" s="10" t="str">
        <f>IFERROR(E131*VLOOKUP(D131,FILAMENTI_DB!$A:$J,8,FALSE)+(VLOOKUP(C131,STAMPANTI_DB!$A:$C,3,FALSE)/1000)*F131*SETTINGS!$C$6+F131*VLOOKUP(C131,STAMPANTI_DB!$A:$I,9,FALSE)+SETTINGS!$C$11,"" )</f>
        <v/>
      </c>
      <c r="I131" s="7"/>
      <c r="M131" s="23" t="str">
        <f>IFERROR((E131*VLOOKUP(D131,FILAMENTI_DB!$A:$J,8,FALSE))+((VLOOKUP(C131,STAMPANTI_DB!$A:$C,3,FALSE)/1000)*F131*SETTINGS!$C$6)+(F131*VLOOKUP(C131,STAMPANTI_DB!$A:$I,9,FALSE)),"")</f>
        <v/>
      </c>
    </row>
    <row r="132" spans="1:13" ht="16" customHeight="1" x14ac:dyDescent="0.2">
      <c r="A132" s="17"/>
      <c r="B132" s="7"/>
      <c r="C132" s="7"/>
      <c r="D132" s="7"/>
      <c r="E132" s="6"/>
      <c r="F132" s="8"/>
      <c r="G132" s="7"/>
      <c r="H132" s="10" t="str">
        <f>IFERROR(E132*VLOOKUP(D132,FILAMENTI_DB!$A:$J,8,FALSE)+(VLOOKUP(C132,STAMPANTI_DB!$A:$C,3,FALSE)/1000)*F132*SETTINGS!$C$6+F132*VLOOKUP(C132,STAMPANTI_DB!$A:$I,9,FALSE)+SETTINGS!$C$11,"" )</f>
        <v/>
      </c>
      <c r="I132" s="7"/>
      <c r="M132" s="23" t="str">
        <f>IFERROR((E132*VLOOKUP(D132,FILAMENTI_DB!$A:$J,8,FALSE))+((VLOOKUP(C132,STAMPANTI_DB!$A:$C,3,FALSE)/1000)*F132*SETTINGS!$C$6)+(F132*VLOOKUP(C132,STAMPANTI_DB!$A:$I,9,FALSE)),"")</f>
        <v/>
      </c>
    </row>
    <row r="133" spans="1:13" ht="16" customHeight="1" x14ac:dyDescent="0.2">
      <c r="A133" s="17"/>
      <c r="B133" s="7"/>
      <c r="C133" s="7"/>
      <c r="D133" s="7"/>
      <c r="E133" s="6"/>
      <c r="F133" s="8"/>
      <c r="G133" s="7"/>
      <c r="H133" s="10" t="str">
        <f>IFERROR(E133*VLOOKUP(D133,FILAMENTI_DB!$A:$J,8,FALSE)+(VLOOKUP(C133,STAMPANTI_DB!$A:$C,3,FALSE)/1000)*F133*SETTINGS!$C$6+F133*VLOOKUP(C133,STAMPANTI_DB!$A:$I,9,FALSE)+SETTINGS!$C$11,"" )</f>
        <v/>
      </c>
      <c r="I133" s="7"/>
      <c r="M133" s="23" t="str">
        <f>IFERROR((E133*VLOOKUP(D133,FILAMENTI_DB!$A:$J,8,FALSE))+((VLOOKUP(C133,STAMPANTI_DB!$A:$C,3,FALSE)/1000)*F133*SETTINGS!$C$6)+(F133*VLOOKUP(C133,STAMPANTI_DB!$A:$I,9,FALSE)),"")</f>
        <v/>
      </c>
    </row>
    <row r="134" spans="1:13" ht="16" customHeight="1" x14ac:dyDescent="0.2">
      <c r="A134" s="17"/>
      <c r="B134" s="7"/>
      <c r="C134" s="7"/>
      <c r="D134" s="7"/>
      <c r="E134" s="6"/>
      <c r="F134" s="8"/>
      <c r="G134" s="7"/>
      <c r="H134" s="10" t="str">
        <f>IFERROR(E134*VLOOKUP(D134,FILAMENTI_DB!$A:$J,8,FALSE)+(VLOOKUP(C134,STAMPANTI_DB!$A:$C,3,FALSE)/1000)*F134*SETTINGS!$C$6+F134*VLOOKUP(C134,STAMPANTI_DB!$A:$I,9,FALSE)+SETTINGS!$C$11,"" )</f>
        <v/>
      </c>
      <c r="I134" s="7"/>
      <c r="M134" s="23" t="str">
        <f>IFERROR((E134*VLOOKUP(D134,FILAMENTI_DB!$A:$J,8,FALSE))+((VLOOKUP(C134,STAMPANTI_DB!$A:$C,3,FALSE)/1000)*F134*SETTINGS!$C$6)+(F134*VLOOKUP(C134,STAMPANTI_DB!$A:$I,9,FALSE)),"")</f>
        <v/>
      </c>
    </row>
    <row r="135" spans="1:13" ht="16" customHeight="1" x14ac:dyDescent="0.2">
      <c r="A135" s="17"/>
      <c r="B135" s="7"/>
      <c r="C135" s="7"/>
      <c r="D135" s="7"/>
      <c r="E135" s="6"/>
      <c r="F135" s="8"/>
      <c r="G135" s="7"/>
      <c r="H135" s="10" t="str">
        <f>IFERROR(E135*VLOOKUP(D135,FILAMENTI_DB!$A:$J,8,FALSE)+(VLOOKUP(C135,STAMPANTI_DB!$A:$C,3,FALSE)/1000)*F135*SETTINGS!$C$6+F135*VLOOKUP(C135,STAMPANTI_DB!$A:$I,9,FALSE)+SETTINGS!$C$11,"" )</f>
        <v/>
      </c>
      <c r="I135" s="7"/>
      <c r="M135" s="23" t="str">
        <f>IFERROR((E135*VLOOKUP(D135,FILAMENTI_DB!$A:$J,8,FALSE))+((VLOOKUP(C135,STAMPANTI_DB!$A:$C,3,FALSE)/1000)*F135*SETTINGS!$C$6)+(F135*VLOOKUP(C135,STAMPANTI_DB!$A:$I,9,FALSE)),"")</f>
        <v/>
      </c>
    </row>
    <row r="136" spans="1:13" ht="16" customHeight="1" x14ac:dyDescent="0.2">
      <c r="A136" s="17"/>
      <c r="B136" s="7"/>
      <c r="C136" s="7"/>
      <c r="D136" s="7"/>
      <c r="E136" s="6"/>
      <c r="F136" s="8"/>
      <c r="G136" s="7"/>
      <c r="H136" s="10" t="str">
        <f>IFERROR(E136*VLOOKUP(D136,FILAMENTI_DB!$A:$J,8,FALSE)+(VLOOKUP(C136,STAMPANTI_DB!$A:$C,3,FALSE)/1000)*F136*SETTINGS!$C$6+F136*VLOOKUP(C136,STAMPANTI_DB!$A:$I,9,FALSE)+SETTINGS!$C$11,"" )</f>
        <v/>
      </c>
      <c r="I136" s="7"/>
      <c r="M136" s="23" t="str">
        <f>IFERROR((E136*VLOOKUP(D136,FILAMENTI_DB!$A:$J,8,FALSE))+((VLOOKUP(C136,STAMPANTI_DB!$A:$C,3,FALSE)/1000)*F136*SETTINGS!$C$6)+(F136*VLOOKUP(C136,STAMPANTI_DB!$A:$I,9,FALSE)),"")</f>
        <v/>
      </c>
    </row>
    <row r="137" spans="1:13" ht="16" customHeight="1" x14ac:dyDescent="0.2">
      <c r="A137" s="17"/>
      <c r="B137" s="7"/>
      <c r="C137" s="7"/>
      <c r="D137" s="7"/>
      <c r="E137" s="6"/>
      <c r="F137" s="8"/>
      <c r="G137" s="7"/>
      <c r="H137" s="10" t="str">
        <f>IFERROR(E137*VLOOKUP(D137,FILAMENTI_DB!$A:$J,8,FALSE)+(VLOOKUP(C137,STAMPANTI_DB!$A:$C,3,FALSE)/1000)*F137*SETTINGS!$C$6+F137*VLOOKUP(C137,STAMPANTI_DB!$A:$I,9,FALSE)+SETTINGS!$C$11,"" )</f>
        <v/>
      </c>
      <c r="I137" s="7"/>
      <c r="M137" s="23" t="str">
        <f>IFERROR((E137*VLOOKUP(D137,FILAMENTI_DB!$A:$J,8,FALSE))+((VLOOKUP(C137,STAMPANTI_DB!$A:$C,3,FALSE)/1000)*F137*SETTINGS!$C$6)+(F137*VLOOKUP(C137,STAMPANTI_DB!$A:$I,9,FALSE)),"")</f>
        <v/>
      </c>
    </row>
    <row r="138" spans="1:13" ht="16" customHeight="1" x14ac:dyDescent="0.2">
      <c r="A138" s="17"/>
      <c r="B138" s="7"/>
      <c r="C138" s="7"/>
      <c r="D138" s="7"/>
      <c r="E138" s="6"/>
      <c r="F138" s="8"/>
      <c r="G138" s="7"/>
      <c r="H138" s="10" t="str">
        <f>IFERROR(E138*VLOOKUP(D138,FILAMENTI_DB!$A:$J,8,FALSE)+(VLOOKUP(C138,STAMPANTI_DB!$A:$C,3,FALSE)/1000)*F138*SETTINGS!$C$6+F138*VLOOKUP(C138,STAMPANTI_DB!$A:$I,9,FALSE)+SETTINGS!$C$11,"" )</f>
        <v/>
      </c>
      <c r="I138" s="7"/>
      <c r="M138" s="23" t="str">
        <f>IFERROR((E138*VLOOKUP(D138,FILAMENTI_DB!$A:$J,8,FALSE))+((VLOOKUP(C138,STAMPANTI_DB!$A:$C,3,FALSE)/1000)*F138*SETTINGS!$C$6)+(F138*VLOOKUP(C138,STAMPANTI_DB!$A:$I,9,FALSE)),"")</f>
        <v/>
      </c>
    </row>
    <row r="139" spans="1:13" ht="16" customHeight="1" x14ac:dyDescent="0.2">
      <c r="A139" s="17"/>
      <c r="B139" s="7"/>
      <c r="C139" s="7"/>
      <c r="D139" s="7"/>
      <c r="E139" s="6"/>
      <c r="F139" s="8"/>
      <c r="G139" s="7"/>
      <c r="H139" s="10" t="str">
        <f>IFERROR(E139*VLOOKUP(D139,FILAMENTI_DB!$A:$J,8,FALSE)+(VLOOKUP(C139,STAMPANTI_DB!$A:$C,3,FALSE)/1000)*F139*SETTINGS!$C$6+F139*VLOOKUP(C139,STAMPANTI_DB!$A:$I,9,FALSE)+SETTINGS!$C$11,"" )</f>
        <v/>
      </c>
      <c r="I139" s="7"/>
      <c r="M139" s="23" t="str">
        <f>IFERROR((E139*VLOOKUP(D139,FILAMENTI_DB!$A:$J,8,FALSE))+((VLOOKUP(C139,STAMPANTI_DB!$A:$C,3,FALSE)/1000)*F139*SETTINGS!$C$6)+(F139*VLOOKUP(C139,STAMPANTI_DB!$A:$I,9,FALSE)),"")</f>
        <v/>
      </c>
    </row>
    <row r="140" spans="1:13" ht="16" customHeight="1" x14ac:dyDescent="0.2">
      <c r="A140" s="17"/>
      <c r="B140" s="7"/>
      <c r="C140" s="7"/>
      <c r="D140" s="7"/>
      <c r="E140" s="6"/>
      <c r="F140" s="8"/>
      <c r="G140" s="7"/>
      <c r="H140" s="10" t="str">
        <f>IFERROR(E140*VLOOKUP(D140,FILAMENTI_DB!$A:$J,8,FALSE)+(VLOOKUP(C140,STAMPANTI_DB!$A:$C,3,FALSE)/1000)*F140*SETTINGS!$C$6+F140*VLOOKUP(C140,STAMPANTI_DB!$A:$I,9,FALSE)+SETTINGS!$C$11,"" )</f>
        <v/>
      </c>
      <c r="I140" s="7"/>
      <c r="M140" s="23" t="str">
        <f>IFERROR((E140*VLOOKUP(D140,FILAMENTI_DB!$A:$J,8,FALSE))+((VLOOKUP(C140,STAMPANTI_DB!$A:$C,3,FALSE)/1000)*F140*SETTINGS!$C$6)+(F140*VLOOKUP(C140,STAMPANTI_DB!$A:$I,9,FALSE)),"")</f>
        <v/>
      </c>
    </row>
    <row r="141" spans="1:13" ht="16" customHeight="1" x14ac:dyDescent="0.2">
      <c r="A141" s="17"/>
      <c r="B141" s="7"/>
      <c r="C141" s="7"/>
      <c r="D141" s="7"/>
      <c r="E141" s="6"/>
      <c r="F141" s="8"/>
      <c r="G141" s="7"/>
      <c r="H141" s="10" t="str">
        <f>IFERROR(E141*VLOOKUP(D141,FILAMENTI_DB!$A:$J,8,FALSE)+(VLOOKUP(C141,STAMPANTI_DB!$A:$C,3,FALSE)/1000)*F141*SETTINGS!$C$6+F141*VLOOKUP(C141,STAMPANTI_DB!$A:$I,9,FALSE)+SETTINGS!$C$11,"" )</f>
        <v/>
      </c>
      <c r="I141" s="7"/>
      <c r="M141" s="23" t="str">
        <f>IFERROR((E141*VLOOKUP(D141,FILAMENTI_DB!$A:$J,8,FALSE))+((VLOOKUP(C141,STAMPANTI_DB!$A:$C,3,FALSE)/1000)*F141*SETTINGS!$C$6)+(F141*VLOOKUP(C141,STAMPANTI_DB!$A:$I,9,FALSE)),"")</f>
        <v/>
      </c>
    </row>
    <row r="142" spans="1:13" ht="16" customHeight="1" x14ac:dyDescent="0.2">
      <c r="A142" s="17"/>
      <c r="B142" s="7"/>
      <c r="C142" s="7"/>
      <c r="D142" s="7"/>
      <c r="E142" s="6"/>
      <c r="F142" s="8"/>
      <c r="G142" s="7"/>
      <c r="H142" s="10" t="str">
        <f>IFERROR(E142*VLOOKUP(D142,FILAMENTI_DB!$A:$J,8,FALSE)+(VLOOKUP(C142,STAMPANTI_DB!$A:$C,3,FALSE)/1000)*F142*SETTINGS!$C$6+F142*VLOOKUP(C142,STAMPANTI_DB!$A:$I,9,FALSE)+SETTINGS!$C$11,"" )</f>
        <v/>
      </c>
      <c r="I142" s="7"/>
      <c r="M142" s="23" t="str">
        <f>IFERROR((E142*VLOOKUP(D142,FILAMENTI_DB!$A:$J,8,FALSE))+((VLOOKUP(C142,STAMPANTI_DB!$A:$C,3,FALSE)/1000)*F142*SETTINGS!$C$6)+(F142*VLOOKUP(C142,STAMPANTI_DB!$A:$I,9,FALSE)),"")</f>
        <v/>
      </c>
    </row>
    <row r="143" spans="1:13" ht="16" customHeight="1" x14ac:dyDescent="0.2">
      <c r="A143" s="17"/>
      <c r="B143" s="7"/>
      <c r="C143" s="7"/>
      <c r="D143" s="7"/>
      <c r="E143" s="6"/>
      <c r="F143" s="8"/>
      <c r="G143" s="7"/>
      <c r="H143" s="10" t="str">
        <f>IFERROR(E143*VLOOKUP(D143,FILAMENTI_DB!$A:$J,8,FALSE)+(VLOOKUP(C143,STAMPANTI_DB!$A:$C,3,FALSE)/1000)*F143*SETTINGS!$C$6+F143*VLOOKUP(C143,STAMPANTI_DB!$A:$I,9,FALSE)+SETTINGS!$C$11,"" )</f>
        <v/>
      </c>
      <c r="I143" s="7"/>
      <c r="M143" s="23" t="str">
        <f>IFERROR((E143*VLOOKUP(D143,FILAMENTI_DB!$A:$J,8,FALSE))+((VLOOKUP(C143,STAMPANTI_DB!$A:$C,3,FALSE)/1000)*F143*SETTINGS!$C$6)+(F143*VLOOKUP(C143,STAMPANTI_DB!$A:$I,9,FALSE)),"")</f>
        <v/>
      </c>
    </row>
    <row r="144" spans="1:13" ht="16" customHeight="1" x14ac:dyDescent="0.2">
      <c r="A144" s="17"/>
      <c r="B144" s="7"/>
      <c r="C144" s="7"/>
      <c r="D144" s="7"/>
      <c r="E144" s="6"/>
      <c r="F144" s="8"/>
      <c r="G144" s="7"/>
      <c r="H144" s="10" t="str">
        <f>IFERROR(E144*VLOOKUP(D144,FILAMENTI_DB!$A:$J,8,FALSE)+(VLOOKUP(C144,STAMPANTI_DB!$A:$C,3,FALSE)/1000)*F144*SETTINGS!$C$6+F144*VLOOKUP(C144,STAMPANTI_DB!$A:$I,9,FALSE)+SETTINGS!$C$11,"" )</f>
        <v/>
      </c>
      <c r="I144" s="7"/>
      <c r="M144" s="23" t="str">
        <f>IFERROR((E144*VLOOKUP(D144,FILAMENTI_DB!$A:$J,8,FALSE))+((VLOOKUP(C144,STAMPANTI_DB!$A:$C,3,FALSE)/1000)*F144*SETTINGS!$C$6)+(F144*VLOOKUP(C144,STAMPANTI_DB!$A:$I,9,FALSE)),"")</f>
        <v/>
      </c>
    </row>
    <row r="145" spans="1:13" ht="16" customHeight="1" x14ac:dyDescent="0.2">
      <c r="A145" s="17"/>
      <c r="B145" s="7"/>
      <c r="C145" s="7"/>
      <c r="D145" s="7"/>
      <c r="E145" s="6"/>
      <c r="F145" s="8"/>
      <c r="G145" s="7"/>
      <c r="H145" s="10" t="str">
        <f>IFERROR(E145*VLOOKUP(D145,FILAMENTI_DB!$A:$J,8,FALSE)+(VLOOKUP(C145,STAMPANTI_DB!$A:$C,3,FALSE)/1000)*F145*SETTINGS!$C$6+F145*VLOOKUP(C145,STAMPANTI_DB!$A:$I,9,FALSE)+SETTINGS!$C$11,"" )</f>
        <v/>
      </c>
      <c r="I145" s="7"/>
      <c r="M145" s="23" t="str">
        <f>IFERROR((E145*VLOOKUP(D145,FILAMENTI_DB!$A:$J,8,FALSE))+((VLOOKUP(C145,STAMPANTI_DB!$A:$C,3,FALSE)/1000)*F145*SETTINGS!$C$6)+(F145*VLOOKUP(C145,STAMPANTI_DB!$A:$I,9,FALSE)),"")</f>
        <v/>
      </c>
    </row>
    <row r="146" spans="1:13" ht="16" customHeight="1" x14ac:dyDescent="0.2">
      <c r="A146" s="17"/>
      <c r="B146" s="7"/>
      <c r="C146" s="7"/>
      <c r="D146" s="7"/>
      <c r="E146" s="6"/>
      <c r="F146" s="8"/>
      <c r="G146" s="7"/>
      <c r="H146" s="10" t="str">
        <f>IFERROR(E146*VLOOKUP(D146,FILAMENTI_DB!$A:$J,8,FALSE)+(VLOOKUP(C146,STAMPANTI_DB!$A:$C,3,FALSE)/1000)*F146*SETTINGS!$C$6+F146*VLOOKUP(C146,STAMPANTI_DB!$A:$I,9,FALSE)+SETTINGS!$C$11,"" )</f>
        <v/>
      </c>
      <c r="I146" s="7"/>
      <c r="M146" s="23" t="str">
        <f>IFERROR((E146*VLOOKUP(D146,FILAMENTI_DB!$A:$J,8,FALSE))+((VLOOKUP(C146,STAMPANTI_DB!$A:$C,3,FALSE)/1000)*F146*SETTINGS!$C$6)+(F146*VLOOKUP(C146,STAMPANTI_DB!$A:$I,9,FALSE)),"")</f>
        <v/>
      </c>
    </row>
    <row r="147" spans="1:13" ht="16" customHeight="1" x14ac:dyDescent="0.2">
      <c r="A147" s="17"/>
      <c r="B147" s="7"/>
      <c r="C147" s="7"/>
      <c r="D147" s="7"/>
      <c r="E147" s="6"/>
      <c r="F147" s="8"/>
      <c r="G147" s="7"/>
      <c r="H147" s="10" t="str">
        <f>IFERROR(E147*VLOOKUP(D147,FILAMENTI_DB!$A:$J,8,FALSE)+(VLOOKUP(C147,STAMPANTI_DB!$A:$C,3,FALSE)/1000)*F147*SETTINGS!$C$6+F147*VLOOKUP(C147,STAMPANTI_DB!$A:$I,9,FALSE)+SETTINGS!$C$11,"" )</f>
        <v/>
      </c>
      <c r="I147" s="7"/>
      <c r="M147" s="23" t="str">
        <f>IFERROR((E147*VLOOKUP(D147,FILAMENTI_DB!$A:$J,8,FALSE))+((VLOOKUP(C147,STAMPANTI_DB!$A:$C,3,FALSE)/1000)*F147*SETTINGS!$C$6)+(F147*VLOOKUP(C147,STAMPANTI_DB!$A:$I,9,FALSE)),"")</f>
        <v/>
      </c>
    </row>
    <row r="148" spans="1:13" ht="16" customHeight="1" x14ac:dyDescent="0.2">
      <c r="A148" s="17"/>
      <c r="B148" s="7"/>
      <c r="C148" s="7"/>
      <c r="D148" s="7"/>
      <c r="E148" s="6"/>
      <c r="F148" s="8"/>
      <c r="G148" s="7"/>
      <c r="H148" s="10" t="str">
        <f>IFERROR(E148*VLOOKUP(D148,FILAMENTI_DB!$A:$J,8,FALSE)+(VLOOKUP(C148,STAMPANTI_DB!$A:$C,3,FALSE)/1000)*F148*SETTINGS!$C$6+F148*VLOOKUP(C148,STAMPANTI_DB!$A:$I,9,FALSE)+SETTINGS!$C$11,"" )</f>
        <v/>
      </c>
      <c r="I148" s="7"/>
      <c r="M148" s="23" t="str">
        <f>IFERROR((E148*VLOOKUP(D148,FILAMENTI_DB!$A:$J,8,FALSE))+((VLOOKUP(C148,STAMPANTI_DB!$A:$C,3,FALSE)/1000)*F148*SETTINGS!$C$6)+(F148*VLOOKUP(C148,STAMPANTI_DB!$A:$I,9,FALSE)),"")</f>
        <v/>
      </c>
    </row>
    <row r="149" spans="1:13" ht="16" customHeight="1" x14ac:dyDescent="0.2">
      <c r="A149" s="17"/>
      <c r="B149" s="7"/>
      <c r="C149" s="7"/>
      <c r="D149" s="7"/>
      <c r="E149" s="6"/>
      <c r="F149" s="8"/>
      <c r="G149" s="7"/>
      <c r="H149" s="10" t="str">
        <f>IFERROR(E149*VLOOKUP(D149,FILAMENTI_DB!$A:$J,8,FALSE)+(VLOOKUP(C149,STAMPANTI_DB!$A:$C,3,FALSE)/1000)*F149*SETTINGS!$C$6+F149*VLOOKUP(C149,STAMPANTI_DB!$A:$I,9,FALSE)+SETTINGS!$C$11,"" )</f>
        <v/>
      </c>
      <c r="I149" s="7"/>
      <c r="M149" s="23" t="str">
        <f>IFERROR((E149*VLOOKUP(D149,FILAMENTI_DB!$A:$J,8,FALSE))+((VLOOKUP(C149,STAMPANTI_DB!$A:$C,3,FALSE)/1000)*F149*SETTINGS!$C$6)+(F149*VLOOKUP(C149,STAMPANTI_DB!$A:$I,9,FALSE)),"")</f>
        <v/>
      </c>
    </row>
    <row r="150" spans="1:13" ht="16" customHeight="1" x14ac:dyDescent="0.2">
      <c r="A150" s="17"/>
      <c r="B150" s="7"/>
      <c r="C150" s="7"/>
      <c r="D150" s="7"/>
      <c r="E150" s="6"/>
      <c r="F150" s="8"/>
      <c r="G150" s="7"/>
      <c r="H150" s="10" t="str">
        <f>IFERROR(E150*VLOOKUP(D150,FILAMENTI_DB!$A:$J,8,FALSE)+(VLOOKUP(C150,STAMPANTI_DB!$A:$C,3,FALSE)/1000)*F150*SETTINGS!$C$6+F150*VLOOKUP(C150,STAMPANTI_DB!$A:$I,9,FALSE)+SETTINGS!$C$11,"" )</f>
        <v/>
      </c>
      <c r="I150" s="7"/>
      <c r="M150" s="23" t="str">
        <f>IFERROR((E150*VLOOKUP(D150,FILAMENTI_DB!$A:$J,8,FALSE))+((VLOOKUP(C150,STAMPANTI_DB!$A:$C,3,FALSE)/1000)*F150*SETTINGS!$C$6)+(F150*VLOOKUP(C150,STAMPANTI_DB!$A:$I,9,FALSE)),"")</f>
        <v/>
      </c>
    </row>
    <row r="151" spans="1:13" ht="16" customHeight="1" x14ac:dyDescent="0.2">
      <c r="A151" s="17"/>
      <c r="B151" s="7"/>
      <c r="C151" s="7"/>
      <c r="D151" s="7"/>
      <c r="E151" s="6"/>
      <c r="F151" s="8"/>
      <c r="G151" s="7"/>
      <c r="H151" s="10" t="str">
        <f>IFERROR(E151*VLOOKUP(D151,FILAMENTI_DB!$A:$J,8,FALSE)+(VLOOKUP(C151,STAMPANTI_DB!$A:$C,3,FALSE)/1000)*F151*SETTINGS!$C$6+F151*VLOOKUP(C151,STAMPANTI_DB!$A:$I,9,FALSE)+SETTINGS!$C$11,"" )</f>
        <v/>
      </c>
      <c r="I151" s="7"/>
      <c r="M151" s="23" t="str">
        <f>IFERROR((E151*VLOOKUP(D151,FILAMENTI_DB!$A:$J,8,FALSE))+((VLOOKUP(C151,STAMPANTI_DB!$A:$C,3,FALSE)/1000)*F151*SETTINGS!$C$6)+(F151*VLOOKUP(C151,STAMPANTI_DB!$A:$I,9,FALSE)),"")</f>
        <v/>
      </c>
    </row>
    <row r="152" spans="1:13" ht="16" customHeight="1" x14ac:dyDescent="0.2">
      <c r="A152" s="17"/>
      <c r="B152" s="7"/>
      <c r="C152" s="7"/>
      <c r="D152" s="7"/>
      <c r="E152" s="6"/>
      <c r="F152" s="8"/>
      <c r="G152" s="7"/>
      <c r="H152" s="10" t="str">
        <f>IFERROR(E152*VLOOKUP(D152,FILAMENTI_DB!$A:$J,8,FALSE)+(VLOOKUP(C152,STAMPANTI_DB!$A:$C,3,FALSE)/1000)*F152*SETTINGS!$C$6+F152*VLOOKUP(C152,STAMPANTI_DB!$A:$I,9,FALSE)+SETTINGS!$C$11,"" )</f>
        <v/>
      </c>
      <c r="I152" s="7"/>
      <c r="M152" s="23" t="str">
        <f>IFERROR((E152*VLOOKUP(D152,FILAMENTI_DB!$A:$J,8,FALSE))+((VLOOKUP(C152,STAMPANTI_DB!$A:$C,3,FALSE)/1000)*F152*SETTINGS!$C$6)+(F152*VLOOKUP(C152,STAMPANTI_DB!$A:$I,9,FALSE)),"")</f>
        <v/>
      </c>
    </row>
    <row r="153" spans="1:13" ht="16" customHeight="1" x14ac:dyDescent="0.2">
      <c r="A153" s="17"/>
      <c r="B153" s="7"/>
      <c r="C153" s="7"/>
      <c r="D153" s="7"/>
      <c r="E153" s="6"/>
      <c r="F153" s="8"/>
      <c r="G153" s="7"/>
      <c r="H153" s="10" t="str">
        <f>IFERROR(E153*VLOOKUP(D153,FILAMENTI_DB!$A:$J,8,FALSE)+(VLOOKUP(C153,STAMPANTI_DB!$A:$C,3,FALSE)/1000)*F153*SETTINGS!$C$6+F153*VLOOKUP(C153,STAMPANTI_DB!$A:$I,9,FALSE)+SETTINGS!$C$11,"" )</f>
        <v/>
      </c>
      <c r="I153" s="7"/>
      <c r="M153" s="23" t="str">
        <f>IFERROR((E153*VLOOKUP(D153,FILAMENTI_DB!$A:$J,8,FALSE))+((VLOOKUP(C153,STAMPANTI_DB!$A:$C,3,FALSE)/1000)*F153*SETTINGS!$C$6)+(F153*VLOOKUP(C153,STAMPANTI_DB!$A:$I,9,FALSE)),"")</f>
        <v/>
      </c>
    </row>
    <row r="154" spans="1:13" ht="16" customHeight="1" x14ac:dyDescent="0.2">
      <c r="A154" s="17"/>
      <c r="B154" s="7"/>
      <c r="C154" s="7"/>
      <c r="D154" s="7"/>
      <c r="E154" s="6"/>
      <c r="F154" s="8"/>
      <c r="G154" s="7"/>
      <c r="H154" s="10" t="str">
        <f>IFERROR(E154*VLOOKUP(D154,FILAMENTI_DB!$A:$J,8,FALSE)+(VLOOKUP(C154,STAMPANTI_DB!$A:$C,3,FALSE)/1000)*F154*SETTINGS!$C$6+F154*VLOOKUP(C154,STAMPANTI_DB!$A:$I,9,FALSE)+SETTINGS!$C$11,"" )</f>
        <v/>
      </c>
      <c r="I154" s="7"/>
      <c r="M154" s="23" t="str">
        <f>IFERROR((E154*VLOOKUP(D154,FILAMENTI_DB!$A:$J,8,FALSE))+((VLOOKUP(C154,STAMPANTI_DB!$A:$C,3,FALSE)/1000)*F154*SETTINGS!$C$6)+(F154*VLOOKUP(C154,STAMPANTI_DB!$A:$I,9,FALSE)),"")</f>
        <v/>
      </c>
    </row>
    <row r="155" spans="1:13" ht="16" customHeight="1" x14ac:dyDescent="0.2">
      <c r="A155" s="17"/>
      <c r="B155" s="7"/>
      <c r="C155" s="7"/>
      <c r="D155" s="7"/>
      <c r="E155" s="6"/>
      <c r="F155" s="8"/>
      <c r="G155" s="7"/>
      <c r="H155" s="10" t="str">
        <f>IFERROR(E155*VLOOKUP(D155,FILAMENTI_DB!$A:$J,8,FALSE)+(VLOOKUP(C155,STAMPANTI_DB!$A:$C,3,FALSE)/1000)*F155*SETTINGS!$C$6+F155*VLOOKUP(C155,STAMPANTI_DB!$A:$I,9,FALSE)+SETTINGS!$C$11,"" )</f>
        <v/>
      </c>
      <c r="I155" s="7"/>
      <c r="M155" s="23" t="str">
        <f>IFERROR((E155*VLOOKUP(D155,FILAMENTI_DB!$A:$J,8,FALSE))+((VLOOKUP(C155,STAMPANTI_DB!$A:$C,3,FALSE)/1000)*F155*SETTINGS!$C$6)+(F155*VLOOKUP(C155,STAMPANTI_DB!$A:$I,9,FALSE)),"")</f>
        <v/>
      </c>
    </row>
    <row r="156" spans="1:13" ht="16" customHeight="1" x14ac:dyDescent="0.2">
      <c r="A156" s="17"/>
      <c r="B156" s="7"/>
      <c r="C156" s="7"/>
      <c r="D156" s="7"/>
      <c r="E156" s="6"/>
      <c r="F156" s="8"/>
      <c r="G156" s="7"/>
      <c r="H156" s="10" t="str">
        <f>IFERROR(E156*VLOOKUP(D156,FILAMENTI_DB!$A:$J,8,FALSE)+(VLOOKUP(C156,STAMPANTI_DB!$A:$C,3,FALSE)/1000)*F156*SETTINGS!$C$6+F156*VLOOKUP(C156,STAMPANTI_DB!$A:$I,9,FALSE)+SETTINGS!$C$11,"" )</f>
        <v/>
      </c>
      <c r="I156" s="7"/>
      <c r="M156" s="23" t="str">
        <f>IFERROR((E156*VLOOKUP(D156,FILAMENTI_DB!$A:$J,8,FALSE))+((VLOOKUP(C156,STAMPANTI_DB!$A:$C,3,FALSE)/1000)*F156*SETTINGS!$C$6)+(F156*VLOOKUP(C156,STAMPANTI_DB!$A:$I,9,FALSE)),"")</f>
        <v/>
      </c>
    </row>
    <row r="157" spans="1:13" ht="16" customHeight="1" x14ac:dyDescent="0.2">
      <c r="A157" s="17"/>
      <c r="B157" s="7"/>
      <c r="C157" s="7"/>
      <c r="D157" s="7"/>
      <c r="E157" s="6"/>
      <c r="F157" s="8"/>
      <c r="G157" s="7"/>
      <c r="H157" s="10" t="str">
        <f>IFERROR(E157*VLOOKUP(D157,FILAMENTI_DB!$A:$J,8,FALSE)+(VLOOKUP(C157,STAMPANTI_DB!$A:$C,3,FALSE)/1000)*F157*SETTINGS!$C$6+F157*VLOOKUP(C157,STAMPANTI_DB!$A:$I,9,FALSE)+SETTINGS!$C$11,"" )</f>
        <v/>
      </c>
      <c r="I157" s="7"/>
      <c r="M157" s="23" t="str">
        <f>IFERROR((E157*VLOOKUP(D157,FILAMENTI_DB!$A:$J,8,FALSE))+((VLOOKUP(C157,STAMPANTI_DB!$A:$C,3,FALSE)/1000)*F157*SETTINGS!$C$6)+(F157*VLOOKUP(C157,STAMPANTI_DB!$A:$I,9,FALSE)),"")</f>
        <v/>
      </c>
    </row>
    <row r="158" spans="1:13" ht="16" customHeight="1" x14ac:dyDescent="0.2">
      <c r="A158" s="17"/>
      <c r="B158" s="7"/>
      <c r="C158" s="7"/>
      <c r="D158" s="7"/>
      <c r="E158" s="6"/>
      <c r="F158" s="8"/>
      <c r="G158" s="7"/>
      <c r="H158" s="10" t="str">
        <f>IFERROR(E158*VLOOKUP(D158,FILAMENTI_DB!$A:$J,8,FALSE)+(VLOOKUP(C158,STAMPANTI_DB!$A:$C,3,FALSE)/1000)*F158*SETTINGS!$C$6+F158*VLOOKUP(C158,STAMPANTI_DB!$A:$I,9,FALSE)+SETTINGS!$C$11,"" )</f>
        <v/>
      </c>
      <c r="I158" s="7"/>
      <c r="M158" s="23" t="str">
        <f>IFERROR((E158*VLOOKUP(D158,FILAMENTI_DB!$A:$J,8,FALSE))+((VLOOKUP(C158,STAMPANTI_DB!$A:$C,3,FALSE)/1000)*F158*SETTINGS!$C$6)+(F158*VLOOKUP(C158,STAMPANTI_DB!$A:$I,9,FALSE)),"")</f>
        <v/>
      </c>
    </row>
    <row r="159" spans="1:13" ht="16" customHeight="1" x14ac:dyDescent="0.2">
      <c r="A159" s="17"/>
      <c r="B159" s="7"/>
      <c r="C159" s="7"/>
      <c r="D159" s="7"/>
      <c r="E159" s="6"/>
      <c r="F159" s="8"/>
      <c r="G159" s="7"/>
      <c r="H159" s="10" t="str">
        <f>IFERROR(E159*VLOOKUP(D159,FILAMENTI_DB!$A:$J,8,FALSE)+(VLOOKUP(C159,STAMPANTI_DB!$A:$C,3,FALSE)/1000)*F159*SETTINGS!$C$6+F159*VLOOKUP(C159,STAMPANTI_DB!$A:$I,9,FALSE)+SETTINGS!$C$11,"" )</f>
        <v/>
      </c>
      <c r="I159" s="7"/>
      <c r="M159" s="23" t="str">
        <f>IFERROR((E159*VLOOKUP(D159,FILAMENTI_DB!$A:$J,8,FALSE))+((VLOOKUP(C159,STAMPANTI_DB!$A:$C,3,FALSE)/1000)*F159*SETTINGS!$C$6)+(F159*VLOOKUP(C159,STAMPANTI_DB!$A:$I,9,FALSE)),"")</f>
        <v/>
      </c>
    </row>
    <row r="160" spans="1:13" ht="16" customHeight="1" x14ac:dyDescent="0.2">
      <c r="A160" s="17"/>
      <c r="B160" s="7"/>
      <c r="C160" s="7"/>
      <c r="D160" s="7"/>
      <c r="E160" s="6"/>
      <c r="F160" s="8"/>
      <c r="G160" s="7"/>
      <c r="H160" s="10" t="str">
        <f>IFERROR(E160*VLOOKUP(D160,FILAMENTI_DB!$A:$J,8,FALSE)+(VLOOKUP(C160,STAMPANTI_DB!$A:$C,3,FALSE)/1000)*F160*SETTINGS!$C$6+F160*VLOOKUP(C160,STAMPANTI_DB!$A:$I,9,FALSE)+SETTINGS!$C$11,"" )</f>
        <v/>
      </c>
      <c r="I160" s="7"/>
      <c r="M160" s="23" t="str">
        <f>IFERROR((E160*VLOOKUP(D160,FILAMENTI_DB!$A:$J,8,FALSE))+((VLOOKUP(C160,STAMPANTI_DB!$A:$C,3,FALSE)/1000)*F160*SETTINGS!$C$6)+(F160*VLOOKUP(C160,STAMPANTI_DB!$A:$I,9,FALSE)),"")</f>
        <v/>
      </c>
    </row>
    <row r="161" spans="1:13" ht="16" customHeight="1" x14ac:dyDescent="0.2">
      <c r="A161" s="17"/>
      <c r="B161" s="7"/>
      <c r="C161" s="7"/>
      <c r="D161" s="7"/>
      <c r="E161" s="6"/>
      <c r="F161" s="8"/>
      <c r="G161" s="7"/>
      <c r="H161" s="10" t="str">
        <f>IFERROR(E161*VLOOKUP(D161,FILAMENTI_DB!$A:$J,8,FALSE)+(VLOOKUP(C161,STAMPANTI_DB!$A:$C,3,FALSE)/1000)*F161*SETTINGS!$C$6+F161*VLOOKUP(C161,STAMPANTI_DB!$A:$I,9,FALSE)+SETTINGS!$C$11,"" )</f>
        <v/>
      </c>
      <c r="I161" s="7"/>
      <c r="M161" s="23" t="str">
        <f>IFERROR((E161*VLOOKUP(D161,FILAMENTI_DB!$A:$J,8,FALSE))+((VLOOKUP(C161,STAMPANTI_DB!$A:$C,3,FALSE)/1000)*F161*SETTINGS!$C$6)+(F161*VLOOKUP(C161,STAMPANTI_DB!$A:$I,9,FALSE)),"")</f>
        <v/>
      </c>
    </row>
    <row r="162" spans="1:13" ht="16" customHeight="1" x14ac:dyDescent="0.2">
      <c r="A162" s="17"/>
      <c r="B162" s="7"/>
      <c r="C162" s="7"/>
      <c r="D162" s="7"/>
      <c r="E162" s="6"/>
      <c r="F162" s="8"/>
      <c r="G162" s="7"/>
      <c r="H162" s="10" t="str">
        <f>IFERROR(E162*VLOOKUP(D162,FILAMENTI_DB!$A:$J,8,FALSE)+(VLOOKUP(C162,STAMPANTI_DB!$A:$C,3,FALSE)/1000)*F162*SETTINGS!$C$6+F162*VLOOKUP(C162,STAMPANTI_DB!$A:$I,9,FALSE)+SETTINGS!$C$11,"" )</f>
        <v/>
      </c>
      <c r="I162" s="7"/>
      <c r="M162" s="23" t="str">
        <f>IFERROR((E162*VLOOKUP(D162,FILAMENTI_DB!$A:$J,8,FALSE))+((VLOOKUP(C162,STAMPANTI_DB!$A:$C,3,FALSE)/1000)*F162*SETTINGS!$C$6)+(F162*VLOOKUP(C162,STAMPANTI_DB!$A:$I,9,FALSE)),"")</f>
        <v/>
      </c>
    </row>
    <row r="163" spans="1:13" ht="16" customHeight="1" x14ac:dyDescent="0.2">
      <c r="A163" s="17"/>
      <c r="B163" s="7"/>
      <c r="C163" s="7"/>
      <c r="D163" s="7"/>
      <c r="E163" s="6"/>
      <c r="F163" s="8"/>
      <c r="G163" s="7"/>
      <c r="H163" s="10" t="str">
        <f>IFERROR(E163*VLOOKUP(D163,FILAMENTI_DB!$A:$J,8,FALSE)+(VLOOKUP(C163,STAMPANTI_DB!$A:$C,3,FALSE)/1000)*F163*SETTINGS!$C$6+F163*VLOOKUP(C163,STAMPANTI_DB!$A:$I,9,FALSE)+SETTINGS!$C$11,"" )</f>
        <v/>
      </c>
      <c r="I163" s="7"/>
      <c r="M163" s="23" t="str">
        <f>IFERROR((E163*VLOOKUP(D163,FILAMENTI_DB!$A:$J,8,FALSE))+((VLOOKUP(C163,STAMPANTI_DB!$A:$C,3,FALSE)/1000)*F163*SETTINGS!$C$6)+(F163*VLOOKUP(C163,STAMPANTI_DB!$A:$I,9,FALSE)),"")</f>
        <v/>
      </c>
    </row>
    <row r="164" spans="1:13" ht="16" customHeight="1" x14ac:dyDescent="0.2">
      <c r="A164" s="17"/>
      <c r="B164" s="7"/>
      <c r="C164" s="7"/>
      <c r="D164" s="7"/>
      <c r="E164" s="6"/>
      <c r="F164" s="8"/>
      <c r="G164" s="7"/>
      <c r="H164" s="10" t="str">
        <f>IFERROR(E164*VLOOKUP(D164,FILAMENTI_DB!$A:$J,8,FALSE)+(VLOOKUP(C164,STAMPANTI_DB!$A:$C,3,FALSE)/1000)*F164*SETTINGS!$C$6+F164*VLOOKUP(C164,STAMPANTI_DB!$A:$I,9,FALSE)+SETTINGS!$C$11,"" )</f>
        <v/>
      </c>
      <c r="I164" s="7"/>
      <c r="M164" s="23" t="str">
        <f>IFERROR((E164*VLOOKUP(D164,FILAMENTI_DB!$A:$J,8,FALSE))+((VLOOKUP(C164,STAMPANTI_DB!$A:$C,3,FALSE)/1000)*F164*SETTINGS!$C$6)+(F164*VLOOKUP(C164,STAMPANTI_DB!$A:$I,9,FALSE)),"")</f>
        <v/>
      </c>
    </row>
    <row r="165" spans="1:13" ht="16" customHeight="1" x14ac:dyDescent="0.2">
      <c r="A165" s="17"/>
      <c r="B165" s="7"/>
      <c r="C165" s="7"/>
      <c r="D165" s="7"/>
      <c r="E165" s="6"/>
      <c r="F165" s="8"/>
      <c r="G165" s="7"/>
      <c r="H165" s="10" t="str">
        <f>IFERROR(E165*VLOOKUP(D165,FILAMENTI_DB!$A:$J,8,FALSE)+(VLOOKUP(C165,STAMPANTI_DB!$A:$C,3,FALSE)/1000)*F165*SETTINGS!$C$6+F165*VLOOKUP(C165,STAMPANTI_DB!$A:$I,9,FALSE)+SETTINGS!$C$11,"" )</f>
        <v/>
      </c>
      <c r="I165" s="7"/>
      <c r="M165" s="23" t="str">
        <f>IFERROR((E165*VLOOKUP(D165,FILAMENTI_DB!$A:$J,8,FALSE))+((VLOOKUP(C165,STAMPANTI_DB!$A:$C,3,FALSE)/1000)*F165*SETTINGS!$C$6)+(F165*VLOOKUP(C165,STAMPANTI_DB!$A:$I,9,FALSE)),"")</f>
        <v/>
      </c>
    </row>
    <row r="166" spans="1:13" ht="16" customHeight="1" x14ac:dyDescent="0.2">
      <c r="A166" s="17"/>
      <c r="B166" s="7"/>
      <c r="C166" s="7"/>
      <c r="D166" s="7"/>
      <c r="E166" s="6"/>
      <c r="F166" s="8"/>
      <c r="G166" s="7"/>
      <c r="H166" s="10" t="str">
        <f>IFERROR(E166*VLOOKUP(D166,FILAMENTI_DB!$A:$J,8,FALSE)+(VLOOKUP(C166,STAMPANTI_DB!$A:$C,3,FALSE)/1000)*F166*SETTINGS!$C$6+F166*VLOOKUP(C166,STAMPANTI_DB!$A:$I,9,FALSE)+SETTINGS!$C$11,"" )</f>
        <v/>
      </c>
      <c r="I166" s="7"/>
      <c r="M166" s="23" t="str">
        <f>IFERROR((E166*VLOOKUP(D166,FILAMENTI_DB!$A:$J,8,FALSE))+((VLOOKUP(C166,STAMPANTI_DB!$A:$C,3,FALSE)/1000)*F166*SETTINGS!$C$6)+(F166*VLOOKUP(C166,STAMPANTI_DB!$A:$I,9,FALSE)),"")</f>
        <v/>
      </c>
    </row>
    <row r="167" spans="1:13" ht="16" customHeight="1" x14ac:dyDescent="0.2">
      <c r="A167" s="17"/>
      <c r="B167" s="7"/>
      <c r="C167" s="7"/>
      <c r="D167" s="7"/>
      <c r="E167" s="6"/>
      <c r="F167" s="8"/>
      <c r="G167" s="7"/>
      <c r="H167" s="10" t="str">
        <f>IFERROR(E167*VLOOKUP(D167,FILAMENTI_DB!$A:$J,8,FALSE)+(VLOOKUP(C167,STAMPANTI_DB!$A:$C,3,FALSE)/1000)*F167*SETTINGS!$C$6+F167*VLOOKUP(C167,STAMPANTI_DB!$A:$I,9,FALSE)+SETTINGS!$C$11,"" )</f>
        <v/>
      </c>
      <c r="I167" s="7"/>
      <c r="M167" s="23" t="str">
        <f>IFERROR((E167*VLOOKUP(D167,FILAMENTI_DB!$A:$J,8,FALSE))+((VLOOKUP(C167,STAMPANTI_DB!$A:$C,3,FALSE)/1000)*F167*SETTINGS!$C$6)+(F167*VLOOKUP(C167,STAMPANTI_DB!$A:$I,9,FALSE)),"")</f>
        <v/>
      </c>
    </row>
    <row r="168" spans="1:13" ht="16" customHeight="1" x14ac:dyDescent="0.2">
      <c r="A168" s="17"/>
      <c r="B168" s="7"/>
      <c r="C168" s="7"/>
      <c r="D168" s="7"/>
      <c r="E168" s="6"/>
      <c r="F168" s="8"/>
      <c r="G168" s="7"/>
      <c r="H168" s="10" t="str">
        <f>IFERROR(E168*VLOOKUP(D168,FILAMENTI_DB!$A:$J,8,FALSE)+(VLOOKUP(C168,STAMPANTI_DB!$A:$C,3,FALSE)/1000)*F168*SETTINGS!$C$6+F168*VLOOKUP(C168,STAMPANTI_DB!$A:$I,9,FALSE)+SETTINGS!$C$11,"" )</f>
        <v/>
      </c>
      <c r="I168" s="7"/>
      <c r="M168" s="23" t="str">
        <f>IFERROR((E168*VLOOKUP(D168,FILAMENTI_DB!$A:$J,8,FALSE))+((VLOOKUP(C168,STAMPANTI_DB!$A:$C,3,FALSE)/1000)*F168*SETTINGS!$C$6)+(F168*VLOOKUP(C168,STAMPANTI_DB!$A:$I,9,FALSE)),"")</f>
        <v/>
      </c>
    </row>
    <row r="169" spans="1:13" ht="16" customHeight="1" x14ac:dyDescent="0.2">
      <c r="A169" s="17"/>
      <c r="B169" s="7"/>
      <c r="C169" s="7"/>
      <c r="D169" s="7"/>
      <c r="E169" s="6"/>
      <c r="F169" s="8"/>
      <c r="G169" s="7"/>
      <c r="H169" s="10" t="str">
        <f>IFERROR(E169*VLOOKUP(D169,FILAMENTI_DB!$A:$J,8,FALSE)+(VLOOKUP(C169,STAMPANTI_DB!$A:$C,3,FALSE)/1000)*F169*SETTINGS!$C$6+F169*VLOOKUP(C169,STAMPANTI_DB!$A:$I,9,FALSE)+SETTINGS!$C$11,"" )</f>
        <v/>
      </c>
      <c r="I169" s="7"/>
      <c r="M169" s="23" t="str">
        <f>IFERROR((E169*VLOOKUP(D169,FILAMENTI_DB!$A:$J,8,FALSE))+((VLOOKUP(C169,STAMPANTI_DB!$A:$C,3,FALSE)/1000)*F169*SETTINGS!$C$6)+(F169*VLOOKUP(C169,STAMPANTI_DB!$A:$I,9,FALSE)),"")</f>
        <v/>
      </c>
    </row>
    <row r="170" spans="1:13" ht="16" customHeight="1" x14ac:dyDescent="0.2">
      <c r="A170" s="17"/>
      <c r="B170" s="7"/>
      <c r="C170" s="7"/>
      <c r="D170" s="7"/>
      <c r="E170" s="6"/>
      <c r="F170" s="8"/>
      <c r="G170" s="7"/>
      <c r="H170" s="10" t="str">
        <f>IFERROR(E170*VLOOKUP(D170,FILAMENTI_DB!$A:$J,8,FALSE)+(VLOOKUP(C170,STAMPANTI_DB!$A:$C,3,FALSE)/1000)*F170*SETTINGS!$C$6+F170*VLOOKUP(C170,STAMPANTI_DB!$A:$I,9,FALSE)+SETTINGS!$C$11,"" )</f>
        <v/>
      </c>
      <c r="I170" s="7"/>
      <c r="M170" s="23" t="str">
        <f>IFERROR((E170*VLOOKUP(D170,FILAMENTI_DB!$A:$J,8,FALSE))+((VLOOKUP(C170,STAMPANTI_DB!$A:$C,3,FALSE)/1000)*F170*SETTINGS!$C$6)+(F170*VLOOKUP(C170,STAMPANTI_DB!$A:$I,9,FALSE)),"")</f>
        <v/>
      </c>
    </row>
    <row r="171" spans="1:13" ht="16" customHeight="1" x14ac:dyDescent="0.2">
      <c r="A171" s="17"/>
      <c r="B171" s="7"/>
      <c r="C171" s="7"/>
      <c r="D171" s="7"/>
      <c r="E171" s="6"/>
      <c r="F171" s="8"/>
      <c r="G171" s="7"/>
      <c r="H171" s="10" t="str">
        <f>IFERROR(E171*VLOOKUP(D171,FILAMENTI_DB!$A:$J,8,FALSE)+(VLOOKUP(C171,STAMPANTI_DB!$A:$C,3,FALSE)/1000)*F171*SETTINGS!$C$6+F171*VLOOKUP(C171,STAMPANTI_DB!$A:$I,9,FALSE)+SETTINGS!$C$11,"" )</f>
        <v/>
      </c>
      <c r="I171" s="7"/>
      <c r="M171" s="23" t="str">
        <f>IFERROR((E171*VLOOKUP(D171,FILAMENTI_DB!$A:$J,8,FALSE))+((VLOOKUP(C171,STAMPANTI_DB!$A:$C,3,FALSE)/1000)*F171*SETTINGS!$C$6)+(F171*VLOOKUP(C171,STAMPANTI_DB!$A:$I,9,FALSE)),"")</f>
        <v/>
      </c>
    </row>
    <row r="172" spans="1:13" ht="16" customHeight="1" x14ac:dyDescent="0.2">
      <c r="A172" s="17"/>
      <c r="B172" s="7"/>
      <c r="C172" s="7"/>
      <c r="D172" s="7"/>
      <c r="E172" s="6"/>
      <c r="F172" s="8"/>
      <c r="G172" s="7"/>
      <c r="H172" s="10" t="str">
        <f>IFERROR(E172*VLOOKUP(D172,FILAMENTI_DB!$A:$J,8,FALSE)+(VLOOKUP(C172,STAMPANTI_DB!$A:$C,3,FALSE)/1000)*F172*SETTINGS!$C$6+F172*VLOOKUP(C172,STAMPANTI_DB!$A:$I,9,FALSE)+SETTINGS!$C$11,"" )</f>
        <v/>
      </c>
      <c r="I172" s="7"/>
      <c r="M172" s="23" t="str">
        <f>IFERROR((E172*VLOOKUP(D172,FILAMENTI_DB!$A:$J,8,FALSE))+((VLOOKUP(C172,STAMPANTI_DB!$A:$C,3,FALSE)/1000)*F172*SETTINGS!$C$6)+(F172*VLOOKUP(C172,STAMPANTI_DB!$A:$I,9,FALSE)),"")</f>
        <v/>
      </c>
    </row>
    <row r="173" spans="1:13" ht="16" customHeight="1" x14ac:dyDescent="0.2">
      <c r="A173" s="17"/>
      <c r="B173" s="7"/>
      <c r="C173" s="7"/>
      <c r="D173" s="7"/>
      <c r="E173" s="6"/>
      <c r="F173" s="8"/>
      <c r="G173" s="7"/>
      <c r="H173" s="10" t="str">
        <f>IFERROR(E173*VLOOKUP(D173,FILAMENTI_DB!$A:$J,8,FALSE)+(VLOOKUP(C173,STAMPANTI_DB!$A:$C,3,FALSE)/1000)*F173*SETTINGS!$C$6+F173*VLOOKUP(C173,STAMPANTI_DB!$A:$I,9,FALSE)+SETTINGS!$C$11,"" )</f>
        <v/>
      </c>
      <c r="I173" s="7"/>
      <c r="M173" s="23" t="str">
        <f>IFERROR((E173*VLOOKUP(D173,FILAMENTI_DB!$A:$J,8,FALSE))+((VLOOKUP(C173,STAMPANTI_DB!$A:$C,3,FALSE)/1000)*F173*SETTINGS!$C$6)+(F173*VLOOKUP(C173,STAMPANTI_DB!$A:$I,9,FALSE)),"")</f>
        <v/>
      </c>
    </row>
    <row r="174" spans="1:13" ht="16" customHeight="1" x14ac:dyDescent="0.2">
      <c r="A174" s="17"/>
      <c r="B174" s="7"/>
      <c r="C174" s="7"/>
      <c r="D174" s="7"/>
      <c r="E174" s="6"/>
      <c r="F174" s="8"/>
      <c r="G174" s="7"/>
      <c r="H174" s="10" t="str">
        <f>IFERROR(E174*VLOOKUP(D174,FILAMENTI_DB!$A:$J,8,FALSE)+(VLOOKUP(C174,STAMPANTI_DB!$A:$C,3,FALSE)/1000)*F174*SETTINGS!$C$6+F174*VLOOKUP(C174,STAMPANTI_DB!$A:$I,9,FALSE)+SETTINGS!$C$11,"" )</f>
        <v/>
      </c>
      <c r="I174" s="7"/>
      <c r="M174" s="23" t="str">
        <f>IFERROR((E174*VLOOKUP(D174,FILAMENTI_DB!$A:$J,8,FALSE))+((VLOOKUP(C174,STAMPANTI_DB!$A:$C,3,FALSE)/1000)*F174*SETTINGS!$C$6)+(F174*VLOOKUP(C174,STAMPANTI_DB!$A:$I,9,FALSE)),"")</f>
        <v/>
      </c>
    </row>
    <row r="175" spans="1:13" ht="16" customHeight="1" x14ac:dyDescent="0.2">
      <c r="A175" s="17"/>
      <c r="B175" s="7"/>
      <c r="C175" s="7"/>
      <c r="D175" s="7"/>
      <c r="E175" s="6"/>
      <c r="F175" s="8"/>
      <c r="G175" s="7"/>
      <c r="H175" s="10" t="str">
        <f>IFERROR(E175*VLOOKUP(D175,FILAMENTI_DB!$A:$J,8,FALSE)+(VLOOKUP(C175,STAMPANTI_DB!$A:$C,3,FALSE)/1000)*F175*SETTINGS!$C$6+F175*VLOOKUP(C175,STAMPANTI_DB!$A:$I,9,FALSE)+SETTINGS!$C$11,"" )</f>
        <v/>
      </c>
      <c r="I175" s="7"/>
      <c r="M175" s="23" t="str">
        <f>IFERROR((E175*VLOOKUP(D175,FILAMENTI_DB!$A:$J,8,FALSE))+((VLOOKUP(C175,STAMPANTI_DB!$A:$C,3,FALSE)/1000)*F175*SETTINGS!$C$6)+(F175*VLOOKUP(C175,STAMPANTI_DB!$A:$I,9,FALSE)),"")</f>
        <v/>
      </c>
    </row>
    <row r="176" spans="1:13" ht="16" customHeight="1" x14ac:dyDescent="0.2">
      <c r="A176" s="17"/>
      <c r="B176" s="7"/>
      <c r="C176" s="7"/>
      <c r="D176" s="7"/>
      <c r="E176" s="6"/>
      <c r="F176" s="8"/>
      <c r="G176" s="7"/>
      <c r="H176" s="10" t="str">
        <f>IFERROR(E176*VLOOKUP(D176,FILAMENTI_DB!$A:$J,8,FALSE)+(VLOOKUP(C176,STAMPANTI_DB!$A:$C,3,FALSE)/1000)*F176*SETTINGS!$C$6+F176*VLOOKUP(C176,STAMPANTI_DB!$A:$I,9,FALSE)+SETTINGS!$C$11,"" )</f>
        <v/>
      </c>
      <c r="I176" s="7"/>
      <c r="M176" s="23" t="str">
        <f>IFERROR((E176*VLOOKUP(D176,FILAMENTI_DB!$A:$J,8,FALSE))+((VLOOKUP(C176,STAMPANTI_DB!$A:$C,3,FALSE)/1000)*F176*SETTINGS!$C$6)+(F176*VLOOKUP(C176,STAMPANTI_DB!$A:$I,9,FALSE)),"")</f>
        <v/>
      </c>
    </row>
    <row r="177" spans="1:13" ht="16" customHeight="1" x14ac:dyDescent="0.2">
      <c r="A177" s="17"/>
      <c r="B177" s="7"/>
      <c r="C177" s="7"/>
      <c r="D177" s="7"/>
      <c r="E177" s="6"/>
      <c r="F177" s="8"/>
      <c r="G177" s="7"/>
      <c r="H177" s="10" t="str">
        <f>IFERROR(E177*VLOOKUP(D177,FILAMENTI_DB!$A:$J,8,FALSE)+(VLOOKUP(C177,STAMPANTI_DB!$A:$C,3,FALSE)/1000)*F177*SETTINGS!$C$6+F177*VLOOKUP(C177,STAMPANTI_DB!$A:$I,9,FALSE)+SETTINGS!$C$11,"" )</f>
        <v/>
      </c>
      <c r="I177" s="7"/>
      <c r="M177" s="23" t="str">
        <f>IFERROR((E177*VLOOKUP(D177,FILAMENTI_DB!$A:$J,8,FALSE))+((VLOOKUP(C177,STAMPANTI_DB!$A:$C,3,FALSE)/1000)*F177*SETTINGS!$C$6)+(F177*VLOOKUP(C177,STAMPANTI_DB!$A:$I,9,FALSE)),"")</f>
        <v/>
      </c>
    </row>
    <row r="178" spans="1:13" ht="16" customHeight="1" x14ac:dyDescent="0.2">
      <c r="A178" s="17"/>
      <c r="B178" s="7"/>
      <c r="C178" s="7"/>
      <c r="D178" s="7"/>
      <c r="E178" s="6"/>
      <c r="F178" s="8"/>
      <c r="G178" s="7"/>
      <c r="H178" s="10" t="str">
        <f>IFERROR(E178*VLOOKUP(D178,FILAMENTI_DB!$A:$J,8,FALSE)+(VLOOKUP(C178,STAMPANTI_DB!$A:$C,3,FALSE)/1000)*F178*SETTINGS!$C$6+F178*VLOOKUP(C178,STAMPANTI_DB!$A:$I,9,FALSE)+SETTINGS!$C$11,"" )</f>
        <v/>
      </c>
      <c r="I178" s="7"/>
      <c r="M178" s="23" t="str">
        <f>IFERROR((E178*VLOOKUP(D178,FILAMENTI_DB!$A:$J,8,FALSE))+((VLOOKUP(C178,STAMPANTI_DB!$A:$C,3,FALSE)/1000)*F178*SETTINGS!$C$6)+(F178*VLOOKUP(C178,STAMPANTI_DB!$A:$I,9,FALSE)),"")</f>
        <v/>
      </c>
    </row>
    <row r="179" spans="1:13" ht="16" customHeight="1" x14ac:dyDescent="0.2">
      <c r="A179" s="17"/>
      <c r="B179" s="7"/>
      <c r="C179" s="7"/>
      <c r="D179" s="7"/>
      <c r="E179" s="6"/>
      <c r="F179" s="8"/>
      <c r="G179" s="7"/>
      <c r="H179" s="10" t="str">
        <f>IFERROR(E179*VLOOKUP(D179,FILAMENTI_DB!$A:$J,8,FALSE)+(VLOOKUP(C179,STAMPANTI_DB!$A:$C,3,FALSE)/1000)*F179*SETTINGS!$C$6+F179*VLOOKUP(C179,STAMPANTI_DB!$A:$I,9,FALSE)+SETTINGS!$C$11,"" )</f>
        <v/>
      </c>
      <c r="I179" s="7"/>
      <c r="M179" s="23" t="str">
        <f>IFERROR((E179*VLOOKUP(D179,FILAMENTI_DB!$A:$J,8,FALSE))+((VLOOKUP(C179,STAMPANTI_DB!$A:$C,3,FALSE)/1000)*F179*SETTINGS!$C$6)+(F179*VLOOKUP(C179,STAMPANTI_DB!$A:$I,9,FALSE)),"")</f>
        <v/>
      </c>
    </row>
    <row r="180" spans="1:13" ht="16" customHeight="1" x14ac:dyDescent="0.2">
      <c r="A180" s="17"/>
      <c r="B180" s="7"/>
      <c r="C180" s="7"/>
      <c r="D180" s="7"/>
      <c r="E180" s="6"/>
      <c r="F180" s="8"/>
      <c r="G180" s="7"/>
      <c r="H180" s="10" t="str">
        <f>IFERROR(E180*VLOOKUP(D180,FILAMENTI_DB!$A:$J,8,FALSE)+(VLOOKUP(C180,STAMPANTI_DB!$A:$C,3,FALSE)/1000)*F180*SETTINGS!$C$6+F180*VLOOKUP(C180,STAMPANTI_DB!$A:$I,9,FALSE)+SETTINGS!$C$11,"" )</f>
        <v/>
      </c>
      <c r="I180" s="7"/>
      <c r="M180" s="23" t="str">
        <f>IFERROR((E180*VLOOKUP(D180,FILAMENTI_DB!$A:$J,8,FALSE))+((VLOOKUP(C180,STAMPANTI_DB!$A:$C,3,FALSE)/1000)*F180*SETTINGS!$C$6)+(F180*VLOOKUP(C180,STAMPANTI_DB!$A:$I,9,FALSE)),"")</f>
        <v/>
      </c>
    </row>
    <row r="181" spans="1:13" ht="16" customHeight="1" x14ac:dyDescent="0.2">
      <c r="A181" s="17"/>
      <c r="B181" s="7"/>
      <c r="C181" s="7"/>
      <c r="D181" s="7"/>
      <c r="E181" s="6"/>
      <c r="F181" s="8"/>
      <c r="G181" s="7"/>
      <c r="H181" s="10" t="str">
        <f>IFERROR(E181*VLOOKUP(D181,FILAMENTI_DB!$A:$J,8,FALSE)+(VLOOKUP(C181,STAMPANTI_DB!$A:$C,3,FALSE)/1000)*F181*SETTINGS!$C$6+F181*VLOOKUP(C181,STAMPANTI_DB!$A:$I,9,FALSE)+SETTINGS!$C$11,"" )</f>
        <v/>
      </c>
      <c r="I181" s="7"/>
      <c r="M181" s="23" t="str">
        <f>IFERROR((E181*VLOOKUP(D181,FILAMENTI_DB!$A:$J,8,FALSE))+((VLOOKUP(C181,STAMPANTI_DB!$A:$C,3,FALSE)/1000)*F181*SETTINGS!$C$6)+(F181*VLOOKUP(C181,STAMPANTI_DB!$A:$I,9,FALSE)),"")</f>
        <v/>
      </c>
    </row>
    <row r="182" spans="1:13" ht="16" customHeight="1" x14ac:dyDescent="0.2">
      <c r="A182" s="17"/>
      <c r="B182" s="7"/>
      <c r="C182" s="7"/>
      <c r="D182" s="7"/>
      <c r="E182" s="6"/>
      <c r="F182" s="8"/>
      <c r="G182" s="7"/>
      <c r="H182" s="10" t="str">
        <f>IFERROR(E182*VLOOKUP(D182,FILAMENTI_DB!$A:$J,8,FALSE)+(VLOOKUP(C182,STAMPANTI_DB!$A:$C,3,FALSE)/1000)*F182*SETTINGS!$C$6+F182*VLOOKUP(C182,STAMPANTI_DB!$A:$I,9,FALSE)+SETTINGS!$C$11,"" )</f>
        <v/>
      </c>
      <c r="I182" s="7"/>
      <c r="M182" s="23" t="str">
        <f>IFERROR((E182*VLOOKUP(D182,FILAMENTI_DB!$A:$J,8,FALSE))+((VLOOKUP(C182,STAMPANTI_DB!$A:$C,3,FALSE)/1000)*F182*SETTINGS!$C$6)+(F182*VLOOKUP(C182,STAMPANTI_DB!$A:$I,9,FALSE)),"")</f>
        <v/>
      </c>
    </row>
    <row r="183" spans="1:13" ht="16" customHeight="1" x14ac:dyDescent="0.2">
      <c r="A183" s="17"/>
      <c r="B183" s="7"/>
      <c r="C183" s="7"/>
      <c r="D183" s="7"/>
      <c r="E183" s="6"/>
      <c r="F183" s="8"/>
      <c r="G183" s="7"/>
      <c r="H183" s="10" t="str">
        <f>IFERROR(E183*VLOOKUP(D183,FILAMENTI_DB!$A:$J,8,FALSE)+(VLOOKUP(C183,STAMPANTI_DB!$A:$C,3,FALSE)/1000)*F183*SETTINGS!$C$6+F183*VLOOKUP(C183,STAMPANTI_DB!$A:$I,9,FALSE)+SETTINGS!$C$11,"" )</f>
        <v/>
      </c>
      <c r="I183" s="7"/>
      <c r="M183" s="23" t="str">
        <f>IFERROR((E183*VLOOKUP(D183,FILAMENTI_DB!$A:$J,8,FALSE))+((VLOOKUP(C183,STAMPANTI_DB!$A:$C,3,FALSE)/1000)*F183*SETTINGS!$C$6)+(F183*VLOOKUP(C183,STAMPANTI_DB!$A:$I,9,FALSE)),"")</f>
        <v/>
      </c>
    </row>
    <row r="184" spans="1:13" ht="16" customHeight="1" x14ac:dyDescent="0.2">
      <c r="A184" s="17"/>
      <c r="B184" s="7"/>
      <c r="C184" s="7"/>
      <c r="D184" s="7"/>
      <c r="E184" s="6"/>
      <c r="F184" s="8"/>
      <c r="G184" s="7"/>
      <c r="H184" s="10" t="str">
        <f>IFERROR(E184*VLOOKUP(D184,FILAMENTI_DB!$A:$J,8,FALSE)+(VLOOKUP(C184,STAMPANTI_DB!$A:$C,3,FALSE)/1000)*F184*SETTINGS!$C$6+F184*VLOOKUP(C184,STAMPANTI_DB!$A:$I,9,FALSE)+SETTINGS!$C$11,"" )</f>
        <v/>
      </c>
      <c r="I184" s="7"/>
      <c r="M184" s="23" t="str">
        <f>IFERROR((E184*VLOOKUP(D184,FILAMENTI_DB!$A:$J,8,FALSE))+((VLOOKUP(C184,STAMPANTI_DB!$A:$C,3,FALSE)/1000)*F184*SETTINGS!$C$6)+(F184*VLOOKUP(C184,STAMPANTI_DB!$A:$I,9,FALSE)),"")</f>
        <v/>
      </c>
    </row>
    <row r="185" spans="1:13" ht="16" customHeight="1" x14ac:dyDescent="0.2">
      <c r="A185" s="17"/>
      <c r="B185" s="7"/>
      <c r="C185" s="7"/>
      <c r="D185" s="7"/>
      <c r="E185" s="6"/>
      <c r="F185" s="8"/>
      <c r="G185" s="7"/>
      <c r="H185" s="10" t="str">
        <f>IFERROR(E185*VLOOKUP(D185,FILAMENTI_DB!$A:$J,8,FALSE)+(VLOOKUP(C185,STAMPANTI_DB!$A:$C,3,FALSE)/1000)*F185*SETTINGS!$C$6+F185*VLOOKUP(C185,STAMPANTI_DB!$A:$I,9,FALSE)+SETTINGS!$C$11,"" )</f>
        <v/>
      </c>
      <c r="I185" s="7"/>
      <c r="M185" s="23" t="str">
        <f>IFERROR((E185*VLOOKUP(D185,FILAMENTI_DB!$A:$J,8,FALSE))+((VLOOKUP(C185,STAMPANTI_DB!$A:$C,3,FALSE)/1000)*F185*SETTINGS!$C$6)+(F185*VLOOKUP(C185,STAMPANTI_DB!$A:$I,9,FALSE)),"")</f>
        <v/>
      </c>
    </row>
    <row r="186" spans="1:13" ht="16" customHeight="1" x14ac:dyDescent="0.2">
      <c r="A186" s="17"/>
      <c r="B186" s="7"/>
      <c r="C186" s="7"/>
      <c r="D186" s="7"/>
      <c r="E186" s="6"/>
      <c r="F186" s="8"/>
      <c r="G186" s="7"/>
      <c r="H186" s="10" t="str">
        <f>IFERROR(E186*VLOOKUP(D186,FILAMENTI_DB!$A:$J,8,FALSE)+(VLOOKUP(C186,STAMPANTI_DB!$A:$C,3,FALSE)/1000)*F186*SETTINGS!$C$6+F186*VLOOKUP(C186,STAMPANTI_DB!$A:$I,9,FALSE)+SETTINGS!$C$11,"" )</f>
        <v/>
      </c>
      <c r="I186" s="7"/>
      <c r="M186" s="23" t="str">
        <f>IFERROR((E186*VLOOKUP(D186,FILAMENTI_DB!$A:$J,8,FALSE))+((VLOOKUP(C186,STAMPANTI_DB!$A:$C,3,FALSE)/1000)*F186*SETTINGS!$C$6)+(F186*VLOOKUP(C186,STAMPANTI_DB!$A:$I,9,FALSE)),"")</f>
        <v/>
      </c>
    </row>
    <row r="187" spans="1:13" ht="16" customHeight="1" x14ac:dyDescent="0.2">
      <c r="A187" s="17"/>
      <c r="B187" s="7"/>
      <c r="C187" s="7"/>
      <c r="D187" s="7"/>
      <c r="E187" s="6"/>
      <c r="F187" s="8"/>
      <c r="G187" s="7"/>
      <c r="H187" s="10" t="str">
        <f>IFERROR(E187*VLOOKUP(D187,FILAMENTI_DB!$A:$J,8,FALSE)+(VLOOKUP(C187,STAMPANTI_DB!$A:$C,3,FALSE)/1000)*F187*SETTINGS!$C$6+F187*VLOOKUP(C187,STAMPANTI_DB!$A:$I,9,FALSE)+SETTINGS!$C$11,"" )</f>
        <v/>
      </c>
      <c r="I187" s="7"/>
      <c r="M187" s="23" t="str">
        <f>IFERROR((E187*VLOOKUP(D187,FILAMENTI_DB!$A:$J,8,FALSE))+((VLOOKUP(C187,STAMPANTI_DB!$A:$C,3,FALSE)/1000)*F187*SETTINGS!$C$6)+(F187*VLOOKUP(C187,STAMPANTI_DB!$A:$I,9,FALSE)),"")</f>
        <v/>
      </c>
    </row>
    <row r="188" spans="1:13" ht="16" customHeight="1" x14ac:dyDescent="0.2">
      <c r="A188" s="17"/>
      <c r="B188" s="7"/>
      <c r="C188" s="7"/>
      <c r="D188" s="7"/>
      <c r="E188" s="6"/>
      <c r="F188" s="8"/>
      <c r="G188" s="7"/>
      <c r="H188" s="10" t="str">
        <f>IFERROR(E188*VLOOKUP(D188,FILAMENTI_DB!$A:$J,8,FALSE)+(VLOOKUP(C188,STAMPANTI_DB!$A:$C,3,FALSE)/1000)*F188*SETTINGS!$C$6+F188*VLOOKUP(C188,STAMPANTI_DB!$A:$I,9,FALSE)+SETTINGS!$C$11,"" )</f>
        <v/>
      </c>
      <c r="I188" s="7"/>
      <c r="M188" s="23" t="str">
        <f>IFERROR((E188*VLOOKUP(D188,FILAMENTI_DB!$A:$J,8,FALSE))+((VLOOKUP(C188,STAMPANTI_DB!$A:$C,3,FALSE)/1000)*F188*SETTINGS!$C$6)+(F188*VLOOKUP(C188,STAMPANTI_DB!$A:$I,9,FALSE)),"")</f>
        <v/>
      </c>
    </row>
    <row r="189" spans="1:13" ht="16" customHeight="1" x14ac:dyDescent="0.2">
      <c r="A189" s="17"/>
      <c r="B189" s="7"/>
      <c r="C189" s="7"/>
      <c r="D189" s="7"/>
      <c r="E189" s="6"/>
      <c r="F189" s="8"/>
      <c r="G189" s="7"/>
      <c r="H189" s="10" t="str">
        <f>IFERROR(E189*VLOOKUP(D189,FILAMENTI_DB!$A:$J,8,FALSE)+(VLOOKUP(C189,STAMPANTI_DB!$A:$C,3,FALSE)/1000)*F189*SETTINGS!$C$6+F189*VLOOKUP(C189,STAMPANTI_DB!$A:$I,9,FALSE)+SETTINGS!$C$11,"" )</f>
        <v/>
      </c>
      <c r="I189" s="7"/>
      <c r="M189" s="23" t="str">
        <f>IFERROR((E189*VLOOKUP(D189,FILAMENTI_DB!$A:$J,8,FALSE))+((VLOOKUP(C189,STAMPANTI_DB!$A:$C,3,FALSE)/1000)*F189*SETTINGS!$C$6)+(F189*VLOOKUP(C189,STAMPANTI_DB!$A:$I,9,FALSE)),"")</f>
        <v/>
      </c>
    </row>
    <row r="190" spans="1:13" ht="16" customHeight="1" x14ac:dyDescent="0.2">
      <c r="A190" s="17"/>
      <c r="B190" s="7"/>
      <c r="C190" s="7"/>
      <c r="D190" s="7"/>
      <c r="E190" s="6"/>
      <c r="F190" s="8"/>
      <c r="G190" s="7"/>
      <c r="H190" s="10" t="str">
        <f>IFERROR(E190*VLOOKUP(D190,FILAMENTI_DB!$A:$J,8,FALSE)+(VLOOKUP(C190,STAMPANTI_DB!$A:$C,3,FALSE)/1000)*F190*SETTINGS!$C$6+F190*VLOOKUP(C190,STAMPANTI_DB!$A:$I,9,FALSE)+SETTINGS!$C$11,"" )</f>
        <v/>
      </c>
      <c r="I190" s="7"/>
      <c r="M190" s="23" t="str">
        <f>IFERROR((E190*VLOOKUP(D190,FILAMENTI_DB!$A:$J,8,FALSE))+((VLOOKUP(C190,STAMPANTI_DB!$A:$C,3,FALSE)/1000)*F190*SETTINGS!$C$6)+(F190*VLOOKUP(C190,STAMPANTI_DB!$A:$I,9,FALSE)),"")</f>
        <v/>
      </c>
    </row>
    <row r="191" spans="1:13" ht="16" customHeight="1" x14ac:dyDescent="0.2">
      <c r="A191" s="17"/>
      <c r="B191" s="7"/>
      <c r="C191" s="7"/>
      <c r="D191" s="7"/>
      <c r="E191" s="6"/>
      <c r="F191" s="8"/>
      <c r="G191" s="7"/>
      <c r="H191" s="10" t="str">
        <f>IFERROR(E191*VLOOKUP(D191,FILAMENTI_DB!$A:$J,8,FALSE)+(VLOOKUP(C191,STAMPANTI_DB!$A:$C,3,FALSE)/1000)*F191*SETTINGS!$C$6+F191*VLOOKUP(C191,STAMPANTI_DB!$A:$I,9,FALSE)+SETTINGS!$C$11,"" )</f>
        <v/>
      </c>
      <c r="I191" s="7"/>
      <c r="M191" s="23" t="str">
        <f>IFERROR((E191*VLOOKUP(D191,FILAMENTI_DB!$A:$J,8,FALSE))+((VLOOKUP(C191,STAMPANTI_DB!$A:$C,3,FALSE)/1000)*F191*SETTINGS!$C$6)+(F191*VLOOKUP(C191,STAMPANTI_DB!$A:$I,9,FALSE)),"")</f>
        <v/>
      </c>
    </row>
    <row r="192" spans="1:13" ht="16" customHeight="1" x14ac:dyDescent="0.2">
      <c r="A192" s="17"/>
      <c r="B192" s="7"/>
      <c r="C192" s="7"/>
      <c r="D192" s="7"/>
      <c r="E192" s="6"/>
      <c r="F192" s="8"/>
      <c r="G192" s="7"/>
      <c r="H192" s="10" t="str">
        <f>IFERROR(E192*VLOOKUP(D192,FILAMENTI_DB!$A:$J,8,FALSE)+(VLOOKUP(C192,STAMPANTI_DB!$A:$C,3,FALSE)/1000)*F192*SETTINGS!$C$6+F192*VLOOKUP(C192,STAMPANTI_DB!$A:$I,9,FALSE)+SETTINGS!$C$11,"" )</f>
        <v/>
      </c>
      <c r="I192" s="7"/>
      <c r="M192" s="23" t="str">
        <f>IFERROR((E192*VLOOKUP(D192,FILAMENTI_DB!$A:$J,8,FALSE))+((VLOOKUP(C192,STAMPANTI_DB!$A:$C,3,FALSE)/1000)*F192*SETTINGS!$C$6)+(F192*VLOOKUP(C192,STAMPANTI_DB!$A:$I,9,FALSE)),"")</f>
        <v/>
      </c>
    </row>
    <row r="193" spans="1:13" ht="16" customHeight="1" x14ac:dyDescent="0.2">
      <c r="A193" s="17"/>
      <c r="B193" s="7"/>
      <c r="C193" s="7"/>
      <c r="D193" s="7"/>
      <c r="E193" s="6"/>
      <c r="F193" s="8"/>
      <c r="G193" s="7"/>
      <c r="H193" s="10" t="str">
        <f>IFERROR(E193*VLOOKUP(D193,FILAMENTI_DB!$A:$J,8,FALSE)+(VLOOKUP(C193,STAMPANTI_DB!$A:$C,3,FALSE)/1000)*F193*SETTINGS!$C$6+F193*VLOOKUP(C193,STAMPANTI_DB!$A:$I,9,FALSE)+SETTINGS!$C$11,"" )</f>
        <v/>
      </c>
      <c r="I193" s="7"/>
      <c r="M193" s="23" t="str">
        <f>IFERROR((E193*VLOOKUP(D193,FILAMENTI_DB!$A:$J,8,FALSE))+((VLOOKUP(C193,STAMPANTI_DB!$A:$C,3,FALSE)/1000)*F193*SETTINGS!$C$6)+(F193*VLOOKUP(C193,STAMPANTI_DB!$A:$I,9,FALSE)),"")</f>
        <v/>
      </c>
    </row>
    <row r="194" spans="1:13" ht="16" customHeight="1" x14ac:dyDescent="0.2">
      <c r="A194" s="17"/>
      <c r="B194" s="7"/>
      <c r="C194" s="7"/>
      <c r="D194" s="7"/>
      <c r="E194" s="6"/>
      <c r="F194" s="8"/>
      <c r="G194" s="7"/>
      <c r="H194" s="10" t="str">
        <f>IFERROR(E194*VLOOKUP(D194,FILAMENTI_DB!$A:$J,8,FALSE)+(VLOOKUP(C194,STAMPANTI_DB!$A:$C,3,FALSE)/1000)*F194*SETTINGS!$C$6+F194*VLOOKUP(C194,STAMPANTI_DB!$A:$I,9,FALSE)+SETTINGS!$C$11,"" )</f>
        <v/>
      </c>
      <c r="I194" s="7"/>
      <c r="M194" s="23" t="str">
        <f>IFERROR((E194*VLOOKUP(D194,FILAMENTI_DB!$A:$J,8,FALSE))+((VLOOKUP(C194,STAMPANTI_DB!$A:$C,3,FALSE)/1000)*F194*SETTINGS!$C$6)+(F194*VLOOKUP(C194,STAMPANTI_DB!$A:$I,9,FALSE)),"")</f>
        <v/>
      </c>
    </row>
    <row r="195" spans="1:13" ht="16" customHeight="1" x14ac:dyDescent="0.2">
      <c r="A195" s="17"/>
      <c r="B195" s="7"/>
      <c r="C195" s="7"/>
      <c r="D195" s="7"/>
      <c r="E195" s="6"/>
      <c r="F195" s="8"/>
      <c r="G195" s="7"/>
      <c r="H195" s="10" t="str">
        <f>IFERROR(E195*VLOOKUP(D195,FILAMENTI_DB!$A:$J,8,FALSE)+(VLOOKUP(C195,STAMPANTI_DB!$A:$C,3,FALSE)/1000)*F195*SETTINGS!$C$6+F195*VLOOKUP(C195,STAMPANTI_DB!$A:$I,9,FALSE)+SETTINGS!$C$11,"" )</f>
        <v/>
      </c>
      <c r="I195" s="7"/>
      <c r="M195" s="23" t="str">
        <f>IFERROR((E195*VLOOKUP(D195,FILAMENTI_DB!$A:$J,8,FALSE))+((VLOOKUP(C195,STAMPANTI_DB!$A:$C,3,FALSE)/1000)*F195*SETTINGS!$C$6)+(F195*VLOOKUP(C195,STAMPANTI_DB!$A:$I,9,FALSE)),"")</f>
        <v/>
      </c>
    </row>
    <row r="196" spans="1:13" ht="16" customHeight="1" x14ac:dyDescent="0.2">
      <c r="A196" s="17"/>
      <c r="B196" s="7"/>
      <c r="C196" s="7"/>
      <c r="D196" s="7"/>
      <c r="E196" s="6"/>
      <c r="F196" s="8"/>
      <c r="G196" s="7"/>
      <c r="H196" s="10" t="str">
        <f>IFERROR(E196*VLOOKUP(D196,FILAMENTI_DB!$A:$J,8,FALSE)+(VLOOKUP(C196,STAMPANTI_DB!$A:$C,3,FALSE)/1000)*F196*SETTINGS!$C$6+F196*VLOOKUP(C196,STAMPANTI_DB!$A:$I,9,FALSE)+SETTINGS!$C$11,"" )</f>
        <v/>
      </c>
      <c r="I196" s="7"/>
      <c r="M196" s="23" t="str">
        <f>IFERROR((E196*VLOOKUP(D196,FILAMENTI_DB!$A:$J,8,FALSE))+((VLOOKUP(C196,STAMPANTI_DB!$A:$C,3,FALSE)/1000)*F196*SETTINGS!$C$6)+(F196*VLOOKUP(C196,STAMPANTI_DB!$A:$I,9,FALSE)),"")</f>
        <v/>
      </c>
    </row>
    <row r="197" spans="1:13" ht="16" customHeight="1" x14ac:dyDescent="0.2">
      <c r="A197" s="17"/>
      <c r="B197" s="7"/>
      <c r="C197" s="7"/>
      <c r="D197" s="7"/>
      <c r="E197" s="6"/>
      <c r="F197" s="8"/>
      <c r="G197" s="7"/>
      <c r="H197" s="10" t="str">
        <f>IFERROR(E197*VLOOKUP(D197,FILAMENTI_DB!$A:$J,8,FALSE)+(VLOOKUP(C197,STAMPANTI_DB!$A:$C,3,FALSE)/1000)*F197*SETTINGS!$C$6+F197*VLOOKUP(C197,STAMPANTI_DB!$A:$I,9,FALSE)+SETTINGS!$C$11,"" )</f>
        <v/>
      </c>
      <c r="I197" s="7"/>
      <c r="M197" s="23" t="str">
        <f>IFERROR((E197*VLOOKUP(D197,FILAMENTI_DB!$A:$J,8,FALSE))+((VLOOKUP(C197,STAMPANTI_DB!$A:$C,3,FALSE)/1000)*F197*SETTINGS!$C$6)+(F197*VLOOKUP(C197,STAMPANTI_DB!$A:$I,9,FALSE)),"")</f>
        <v/>
      </c>
    </row>
    <row r="198" spans="1:13" ht="16" customHeight="1" x14ac:dyDescent="0.2">
      <c r="A198" s="17"/>
      <c r="B198" s="7"/>
      <c r="C198" s="7"/>
      <c r="D198" s="7"/>
      <c r="E198" s="6"/>
      <c r="F198" s="8"/>
      <c r="G198" s="7"/>
      <c r="H198" s="10" t="str">
        <f>IFERROR(E198*VLOOKUP(D198,FILAMENTI_DB!$A:$J,8,FALSE)+(VLOOKUP(C198,STAMPANTI_DB!$A:$C,3,FALSE)/1000)*F198*SETTINGS!$C$6+F198*VLOOKUP(C198,STAMPANTI_DB!$A:$I,9,FALSE)+SETTINGS!$C$11,"" )</f>
        <v/>
      </c>
      <c r="I198" s="7"/>
      <c r="M198" s="23" t="str">
        <f>IFERROR((E198*VLOOKUP(D198,FILAMENTI_DB!$A:$J,8,FALSE))+((VLOOKUP(C198,STAMPANTI_DB!$A:$C,3,FALSE)/1000)*F198*SETTINGS!$C$6)+(F198*VLOOKUP(C198,STAMPANTI_DB!$A:$I,9,FALSE)),"")</f>
        <v/>
      </c>
    </row>
    <row r="199" spans="1:13" ht="16" customHeight="1" x14ac:dyDescent="0.2">
      <c r="A199" s="17"/>
      <c r="B199" s="7"/>
      <c r="C199" s="7"/>
      <c r="D199" s="7"/>
      <c r="E199" s="6"/>
      <c r="F199" s="8"/>
      <c r="G199" s="7"/>
      <c r="H199" s="10" t="str">
        <f>IFERROR(E199*VLOOKUP(D199,FILAMENTI_DB!$A:$J,8,FALSE)+(VLOOKUP(C199,STAMPANTI_DB!$A:$C,3,FALSE)/1000)*F199*SETTINGS!$C$6+F199*VLOOKUP(C199,STAMPANTI_DB!$A:$I,9,FALSE)+SETTINGS!$C$11,"" )</f>
        <v/>
      </c>
      <c r="I199" s="7"/>
      <c r="M199" s="23" t="str">
        <f>IFERROR((E199*VLOOKUP(D199,FILAMENTI_DB!$A:$J,8,FALSE))+((VLOOKUP(C199,STAMPANTI_DB!$A:$C,3,FALSE)/1000)*F199*SETTINGS!$C$6)+(F199*VLOOKUP(C199,STAMPANTI_DB!$A:$I,9,FALSE)),"")</f>
        <v/>
      </c>
    </row>
    <row r="200" spans="1:13" ht="16" customHeight="1" x14ac:dyDescent="0.2">
      <c r="A200" s="17"/>
      <c r="B200" s="7"/>
      <c r="C200" s="7"/>
      <c r="D200" s="7"/>
      <c r="E200" s="6"/>
      <c r="F200" s="8"/>
      <c r="G200" s="7"/>
      <c r="H200" s="10" t="str">
        <f>IFERROR(E200*VLOOKUP(D200,FILAMENTI_DB!$A:$J,8,FALSE)+(VLOOKUP(C200,STAMPANTI_DB!$A:$C,3,FALSE)/1000)*F200*SETTINGS!$C$6+F200*VLOOKUP(C200,STAMPANTI_DB!$A:$I,9,FALSE)+SETTINGS!$C$11,"" )</f>
        <v/>
      </c>
      <c r="I200" s="7"/>
      <c r="M200" s="23" t="str">
        <f>IFERROR((E200*VLOOKUP(D200,FILAMENTI_DB!$A:$J,8,FALSE))+((VLOOKUP(C200,STAMPANTI_DB!$A:$C,3,FALSE)/1000)*F200*SETTINGS!$C$6)+(F200*VLOOKUP(C200,STAMPANTI_DB!$A:$I,9,FALSE)),"")</f>
        <v/>
      </c>
    </row>
    <row r="201" spans="1:13" ht="16" customHeight="1" x14ac:dyDescent="0.2">
      <c r="A201" s="17"/>
      <c r="B201" s="7"/>
      <c r="C201" s="7"/>
      <c r="D201" s="7"/>
      <c r="E201" s="6"/>
      <c r="F201" s="8"/>
      <c r="G201" s="7"/>
      <c r="H201" s="10" t="str">
        <f>IFERROR(E201*VLOOKUP(D201,FILAMENTI_DB!$A:$J,8,FALSE)+(VLOOKUP(C201,STAMPANTI_DB!$A:$C,3,FALSE)/1000)*F201*SETTINGS!$C$6+F201*VLOOKUP(C201,STAMPANTI_DB!$A:$I,9,FALSE)+SETTINGS!$C$11,"" )</f>
        <v/>
      </c>
      <c r="I201" s="7"/>
      <c r="M201" s="23" t="str">
        <f>IFERROR((E201*VLOOKUP(D201,FILAMENTI_DB!$A:$J,8,FALSE))+((VLOOKUP(C201,STAMPANTI_DB!$A:$C,3,FALSE)/1000)*F201*SETTINGS!$C$6)+(F201*VLOOKUP(C201,STAMPANTI_DB!$A:$I,9,FALSE)),"")</f>
        <v/>
      </c>
    </row>
    <row r="202" spans="1:13" ht="16" customHeight="1" x14ac:dyDescent="0.2">
      <c r="A202" s="17"/>
      <c r="B202" s="7"/>
      <c r="C202" s="7"/>
      <c r="D202" s="7"/>
      <c r="E202" s="6"/>
      <c r="F202" s="8"/>
      <c r="G202" s="7"/>
      <c r="H202" s="10" t="str">
        <f>IFERROR(E202*VLOOKUP(D202,FILAMENTI_DB!$A:$J,8,FALSE)+(VLOOKUP(C202,STAMPANTI_DB!$A:$C,3,FALSE)/1000)*F202*SETTINGS!$C$6+F202*VLOOKUP(C202,STAMPANTI_DB!$A:$I,9,FALSE)+SETTINGS!$C$11,"" )</f>
        <v/>
      </c>
      <c r="I202" s="7"/>
      <c r="M202" s="23" t="str">
        <f>IFERROR((E202*VLOOKUP(D202,FILAMENTI_DB!$A:$J,8,FALSE))+((VLOOKUP(C202,STAMPANTI_DB!$A:$C,3,FALSE)/1000)*F202*SETTINGS!$C$6)+(F202*VLOOKUP(C202,STAMPANTI_DB!$A:$I,9,FALSE)),"")</f>
        <v/>
      </c>
    </row>
    <row r="203" spans="1:13" ht="16" customHeight="1" x14ac:dyDescent="0.2">
      <c r="A203" s="17"/>
      <c r="B203" s="7"/>
      <c r="C203" s="7"/>
      <c r="D203" s="7"/>
      <c r="E203" s="6"/>
      <c r="F203" s="8"/>
      <c r="G203" s="7"/>
      <c r="H203" s="10" t="str">
        <f>IFERROR(E203*VLOOKUP(D203,FILAMENTI_DB!$A:$J,8,FALSE)+(VLOOKUP(C203,STAMPANTI_DB!$A:$C,3,FALSE)/1000)*F203*SETTINGS!$C$6+F203*VLOOKUP(C203,STAMPANTI_DB!$A:$I,9,FALSE)+SETTINGS!$C$11,"" )</f>
        <v/>
      </c>
      <c r="I203" s="7"/>
      <c r="M203" s="23" t="str">
        <f>IFERROR((E203*VLOOKUP(D203,FILAMENTI_DB!$A:$J,8,FALSE))+((VLOOKUP(C203,STAMPANTI_DB!$A:$C,3,FALSE)/1000)*F203*SETTINGS!$C$6)+(F203*VLOOKUP(C203,STAMPANTI_DB!$A:$I,9,FALSE)),"")</f>
        <v/>
      </c>
    </row>
    <row r="204" spans="1:13" ht="16" customHeight="1" x14ac:dyDescent="0.2">
      <c r="A204" s="17"/>
      <c r="B204" s="7"/>
      <c r="C204" s="7"/>
      <c r="D204" s="7"/>
      <c r="E204" s="6"/>
      <c r="F204" s="8"/>
      <c r="G204" s="7"/>
      <c r="H204" s="10" t="str">
        <f>IFERROR(E204*VLOOKUP(D204,FILAMENTI_DB!$A:$J,8,FALSE)+(VLOOKUP(C204,STAMPANTI_DB!$A:$C,3,FALSE)/1000)*F204*SETTINGS!$C$6+F204*VLOOKUP(C204,STAMPANTI_DB!$A:$I,9,FALSE)+SETTINGS!$C$11,"" )</f>
        <v/>
      </c>
      <c r="I204" s="7"/>
      <c r="M204" s="23" t="str">
        <f>IFERROR((E204*VLOOKUP(D204,FILAMENTI_DB!$A:$J,8,FALSE))+((VLOOKUP(C204,STAMPANTI_DB!$A:$C,3,FALSE)/1000)*F204*SETTINGS!$C$6)+(F204*VLOOKUP(C204,STAMPANTI_DB!$A:$I,9,FALSE)),"")</f>
        <v/>
      </c>
    </row>
    <row r="205" spans="1:13" x14ac:dyDescent="0.2">
      <c r="H205" t="str">
        <f>IFERROR(E205*VLOOKUP(D205,FILAMENTI_DB!$A:$J,8,FALSE)+(VLOOKUP(C205,STAMPANTI_DB!$A:$C,3,FALSE)/1000)*F205*SETTINGS!$C$6+F205*VLOOKUP(C205,STAMPANTI_DB!$A:$I,9,FALSE)+SETTINGS!$C$11,"" )</f>
        <v/>
      </c>
      <c r="M205" s="23" t="str">
        <f>IFERROR((E205*VLOOKUP(D205,FILAMENTI_DB!$A:$J,8,FALSE))+((VLOOKUP(C205,STAMPANTI_DB!$A:$C,3,FALSE)/1000)*F205*SETTINGS!$C$6)+(F205*VLOOKUP(C205,STAMPANTI_DB!$A:$I,9,FALSE)),"")</f>
        <v/>
      </c>
    </row>
    <row r="206" spans="1:13" x14ac:dyDescent="0.2">
      <c r="H206" t="str">
        <f>IFERROR(E206*VLOOKUP(D206,FILAMENTI_DB!$A:$J,8,FALSE)+(VLOOKUP(C206,STAMPANTI_DB!$A:$C,3,FALSE)/1000)*F206*SETTINGS!$C$6+F206*VLOOKUP(C206,STAMPANTI_DB!$A:$I,9,FALSE)+SETTINGS!$C$11,"" )</f>
        <v/>
      </c>
      <c r="M206" s="23" t="str">
        <f>IFERROR((E206*VLOOKUP(D206,FILAMENTI_DB!$A:$J,8,FALSE))+((VLOOKUP(C206,STAMPANTI_DB!$A:$C,3,FALSE)/1000)*F206*SETTINGS!$C$6)+(F206*VLOOKUP(C206,STAMPANTI_DB!$A:$I,9,FALSE)),"")</f>
        <v/>
      </c>
    </row>
    <row r="207" spans="1:13" x14ac:dyDescent="0.2">
      <c r="H207" t="str">
        <f>IFERROR(E207*VLOOKUP(D207,FILAMENTI_DB!$A:$J,8,FALSE)+(VLOOKUP(C207,STAMPANTI_DB!$A:$C,3,FALSE)/1000)*F207*SETTINGS!$C$6+F207*VLOOKUP(C207,STAMPANTI_DB!$A:$I,9,FALSE)+SETTINGS!$C$11,"" )</f>
        <v/>
      </c>
      <c r="M207" s="23" t="str">
        <f>IFERROR((E207*VLOOKUP(D207,FILAMENTI_DB!$A:$J,8,FALSE))+((VLOOKUP(C207,STAMPANTI_DB!$A:$C,3,FALSE)/1000)*F207*SETTINGS!$C$6)+(F207*VLOOKUP(C207,STAMPANTI_DB!$A:$I,9,FALSE)),"")</f>
        <v/>
      </c>
    </row>
    <row r="208" spans="1:13" x14ac:dyDescent="0.2">
      <c r="H208" t="str">
        <f>IFERROR(E208*VLOOKUP(D208,FILAMENTI_DB!$A:$J,8,FALSE)+(VLOOKUP(C208,STAMPANTI_DB!$A:$C,3,FALSE)/1000)*F208*SETTINGS!$C$6+F208*VLOOKUP(C208,STAMPANTI_DB!$A:$I,9,FALSE)+SETTINGS!$C$11,"" )</f>
        <v/>
      </c>
      <c r="M208" s="23" t="str">
        <f>IFERROR((E208*VLOOKUP(D208,FILAMENTI_DB!$A:$J,8,FALSE))+((VLOOKUP(C208,STAMPANTI_DB!$A:$C,3,FALSE)/1000)*F208*SETTINGS!$C$6)+(F208*VLOOKUP(C208,STAMPANTI_DB!$A:$I,9,FALSE)),"")</f>
        <v/>
      </c>
    </row>
    <row r="209" spans="8:13" x14ac:dyDescent="0.2">
      <c r="H209" t="str">
        <f>IFERROR(E209*VLOOKUP(D209,FILAMENTI_DB!$A:$J,8,FALSE)+(VLOOKUP(C209,STAMPANTI_DB!$A:$C,3,FALSE)/1000)*F209*SETTINGS!$C$6+F209*VLOOKUP(C209,STAMPANTI_DB!$A:$I,9,FALSE)+SETTINGS!$C$11,"" )</f>
        <v/>
      </c>
      <c r="M209" s="23" t="str">
        <f>IFERROR((E209*VLOOKUP(D209,FILAMENTI_DB!$A:$J,8,FALSE))+((VLOOKUP(C209,STAMPANTI_DB!$A:$C,3,FALSE)/1000)*F209*SETTINGS!$C$6)+(F209*VLOOKUP(C209,STAMPANTI_DB!$A:$I,9,FALSE)),"")</f>
        <v/>
      </c>
    </row>
    <row r="210" spans="8:13" x14ac:dyDescent="0.2">
      <c r="H210" t="str">
        <f>IFERROR(E210*VLOOKUP(D210,FILAMENTI_DB!$A:$J,8,FALSE)+(VLOOKUP(C210,STAMPANTI_DB!$A:$C,3,FALSE)/1000)*F210*SETTINGS!$C$6+F210*VLOOKUP(C210,STAMPANTI_DB!$A:$I,9,FALSE)+SETTINGS!$C$11,"" )</f>
        <v/>
      </c>
      <c r="M210" s="23" t="str">
        <f>IFERROR((E210*VLOOKUP(D210,FILAMENTI_DB!$A:$J,8,FALSE))+((VLOOKUP(C210,STAMPANTI_DB!$A:$C,3,FALSE)/1000)*F210*SETTINGS!$C$6)+(F210*VLOOKUP(C210,STAMPANTI_DB!$A:$I,9,FALSE)),"")</f>
        <v/>
      </c>
    </row>
    <row r="211" spans="8:13" x14ac:dyDescent="0.2">
      <c r="H211" t="str">
        <f>IFERROR(E211*VLOOKUP(D211,FILAMENTI_DB!$A:$J,8,FALSE)+(VLOOKUP(C211,STAMPANTI_DB!$A:$C,3,FALSE)/1000)*F211*SETTINGS!$C$6+F211*VLOOKUP(C211,STAMPANTI_DB!$A:$I,9,FALSE)+SETTINGS!$C$11,"" )</f>
        <v/>
      </c>
      <c r="M211" s="23" t="str">
        <f>IFERROR((E211*VLOOKUP(D211,FILAMENTI_DB!$A:$J,8,FALSE))+((VLOOKUP(C211,STAMPANTI_DB!$A:$C,3,FALSE)/1000)*F211*SETTINGS!$C$6)+(F211*VLOOKUP(C211,STAMPANTI_DB!$A:$I,9,FALSE)),"")</f>
        <v/>
      </c>
    </row>
    <row r="212" spans="8:13" x14ac:dyDescent="0.2">
      <c r="H212" t="str">
        <f>IFERROR(E212*VLOOKUP(D212,FILAMENTI_DB!$A:$J,8,FALSE)+(VLOOKUP(C212,STAMPANTI_DB!$A:$C,3,FALSE)/1000)*F212*SETTINGS!$C$6+F212*VLOOKUP(C212,STAMPANTI_DB!$A:$I,9,FALSE)+SETTINGS!$C$11,"" )</f>
        <v/>
      </c>
      <c r="M212" s="23" t="str">
        <f>IFERROR((E212*VLOOKUP(D212,FILAMENTI_DB!$A:$J,8,FALSE))+((VLOOKUP(C212,STAMPANTI_DB!$A:$C,3,FALSE)/1000)*F212*SETTINGS!$C$6)+(F212*VLOOKUP(C212,STAMPANTI_DB!$A:$I,9,FALSE)),"")</f>
        <v/>
      </c>
    </row>
    <row r="213" spans="8:13" x14ac:dyDescent="0.2">
      <c r="H213" t="str">
        <f>IFERROR(E213*VLOOKUP(D213,FILAMENTI_DB!$A:$J,8,FALSE)+(VLOOKUP(C213,STAMPANTI_DB!$A:$C,3,FALSE)/1000)*F213*SETTINGS!$C$6+F213*VLOOKUP(C213,STAMPANTI_DB!$A:$I,9,FALSE)+SETTINGS!$C$11,"" )</f>
        <v/>
      </c>
      <c r="M213" s="23" t="str">
        <f>IFERROR((E213*VLOOKUP(D213,FILAMENTI_DB!$A:$J,8,FALSE))+((VLOOKUP(C213,STAMPANTI_DB!$A:$C,3,FALSE)/1000)*F213*SETTINGS!$C$6)+(F213*VLOOKUP(C213,STAMPANTI_DB!$A:$I,9,FALSE)),"")</f>
        <v/>
      </c>
    </row>
    <row r="214" spans="8:13" x14ac:dyDescent="0.2">
      <c r="H214" t="str">
        <f>IFERROR(E214*VLOOKUP(D214,FILAMENTI_DB!$A:$J,8,FALSE)+(VLOOKUP(C214,STAMPANTI_DB!$A:$C,3,FALSE)/1000)*F214*SETTINGS!$C$6+F214*VLOOKUP(C214,STAMPANTI_DB!$A:$I,9,FALSE)+SETTINGS!$C$11,"" )</f>
        <v/>
      </c>
      <c r="M214" s="23" t="str">
        <f>IFERROR((E214*VLOOKUP(D214,FILAMENTI_DB!$A:$J,8,FALSE))+((VLOOKUP(C214,STAMPANTI_DB!$A:$C,3,FALSE)/1000)*F214*SETTINGS!$C$6)+(F214*VLOOKUP(C214,STAMPANTI_DB!$A:$I,9,FALSE)),"")</f>
        <v/>
      </c>
    </row>
    <row r="215" spans="8:13" x14ac:dyDescent="0.2">
      <c r="H215" t="str">
        <f>IFERROR(E215*VLOOKUP(D215,FILAMENTI_DB!$A:$J,8,FALSE)+(VLOOKUP(C215,STAMPANTI_DB!$A:$C,3,FALSE)/1000)*F215*SETTINGS!$C$6+F215*VLOOKUP(C215,STAMPANTI_DB!$A:$I,9,FALSE)+SETTINGS!$C$11,"" )</f>
        <v/>
      </c>
      <c r="M215" s="23" t="str">
        <f>IFERROR((E215*VLOOKUP(D215,FILAMENTI_DB!$A:$J,8,FALSE))+((VLOOKUP(C215,STAMPANTI_DB!$A:$C,3,FALSE)/1000)*F215*SETTINGS!$C$6)+(F215*VLOOKUP(C215,STAMPANTI_DB!$A:$I,9,FALSE)),"")</f>
        <v/>
      </c>
    </row>
    <row r="216" spans="8:13" x14ac:dyDescent="0.2">
      <c r="H216" t="str">
        <f>IFERROR(E216*VLOOKUP(D216,FILAMENTI_DB!$A:$J,8,FALSE)+(VLOOKUP(C216,STAMPANTI_DB!$A:$C,3,FALSE)/1000)*F216*SETTINGS!$C$6+F216*VLOOKUP(C216,STAMPANTI_DB!$A:$I,9,FALSE)+SETTINGS!$C$11,"" )</f>
        <v/>
      </c>
      <c r="M216" s="23" t="str">
        <f>IFERROR((E216*VLOOKUP(D216,FILAMENTI_DB!$A:$J,8,FALSE))+((VLOOKUP(C216,STAMPANTI_DB!$A:$C,3,FALSE)/1000)*F216*SETTINGS!$C$6)+(F216*VLOOKUP(C216,STAMPANTI_DB!$A:$I,9,FALSE)),"")</f>
        <v/>
      </c>
    </row>
    <row r="217" spans="8:13" x14ac:dyDescent="0.2">
      <c r="H217" t="str">
        <f>IFERROR(E217*VLOOKUP(D217,FILAMENTI_DB!$A:$J,8,FALSE)+(VLOOKUP(C217,STAMPANTI_DB!$A:$C,3,FALSE)/1000)*F217*SETTINGS!$C$6+F217*VLOOKUP(C217,STAMPANTI_DB!$A:$I,9,FALSE)+SETTINGS!$C$11,"" )</f>
        <v/>
      </c>
      <c r="M217" s="23" t="str">
        <f>IFERROR((E217*VLOOKUP(D217,FILAMENTI_DB!$A:$J,8,FALSE))+((VLOOKUP(C217,STAMPANTI_DB!$A:$C,3,FALSE)/1000)*F217*SETTINGS!$C$6)+(F217*VLOOKUP(C217,STAMPANTI_DB!$A:$I,9,FALSE)),"")</f>
        <v/>
      </c>
    </row>
    <row r="218" spans="8:13" x14ac:dyDescent="0.2">
      <c r="H218" t="str">
        <f>IFERROR(E218*VLOOKUP(D218,FILAMENTI_DB!$A:$J,8,FALSE)+(VLOOKUP(C218,STAMPANTI_DB!$A:$C,3,FALSE)/1000)*F218*SETTINGS!$C$6+F218*VLOOKUP(C218,STAMPANTI_DB!$A:$I,9,FALSE)+SETTINGS!$C$11,"" )</f>
        <v/>
      </c>
      <c r="M218" s="23" t="str">
        <f>IFERROR((E218*VLOOKUP(D218,FILAMENTI_DB!$A:$J,8,FALSE))+((VLOOKUP(C218,STAMPANTI_DB!$A:$C,3,FALSE)/1000)*F218*SETTINGS!$C$6)+(F218*VLOOKUP(C218,STAMPANTI_DB!$A:$I,9,FALSE)),"")</f>
        <v/>
      </c>
    </row>
    <row r="219" spans="8:13" x14ac:dyDescent="0.2">
      <c r="H219" t="str">
        <f>IFERROR(E219*VLOOKUP(D219,FILAMENTI_DB!$A:$J,8,FALSE)+(VLOOKUP(C219,STAMPANTI_DB!$A:$C,3,FALSE)/1000)*F219*SETTINGS!$C$6+F219*VLOOKUP(C219,STAMPANTI_DB!$A:$I,9,FALSE)+SETTINGS!$C$11,"" )</f>
        <v/>
      </c>
      <c r="M219" s="23" t="str">
        <f>IFERROR((E219*VLOOKUP(D219,FILAMENTI_DB!$A:$J,8,FALSE))+((VLOOKUP(C219,STAMPANTI_DB!$A:$C,3,FALSE)/1000)*F219*SETTINGS!$C$6)+(F219*VLOOKUP(C219,STAMPANTI_DB!$A:$I,9,FALSE)),"")</f>
        <v/>
      </c>
    </row>
    <row r="220" spans="8:13" x14ac:dyDescent="0.2">
      <c r="H220" t="str">
        <f>IFERROR(E220*VLOOKUP(D220,FILAMENTI_DB!$A:$J,8,FALSE)+(VLOOKUP(C220,STAMPANTI_DB!$A:$C,3,FALSE)/1000)*F220*SETTINGS!$C$6+F220*VLOOKUP(C220,STAMPANTI_DB!$A:$I,9,FALSE)+SETTINGS!$C$11,"" )</f>
        <v/>
      </c>
      <c r="M220" s="23" t="str">
        <f>IFERROR((E220*VLOOKUP(D220,FILAMENTI_DB!$A:$J,8,FALSE))+((VLOOKUP(C220,STAMPANTI_DB!$A:$C,3,FALSE)/1000)*F220*SETTINGS!$C$6)+(F220*VLOOKUP(C220,STAMPANTI_DB!$A:$I,9,FALSE)),"")</f>
        <v/>
      </c>
    </row>
    <row r="221" spans="8:13" x14ac:dyDescent="0.2">
      <c r="H221" t="str">
        <f>IFERROR(E221*VLOOKUP(D221,FILAMENTI_DB!$A:$J,8,FALSE)+(VLOOKUP(C221,STAMPANTI_DB!$A:$C,3,FALSE)/1000)*F221*SETTINGS!$C$6+F221*VLOOKUP(C221,STAMPANTI_DB!$A:$I,9,FALSE)+SETTINGS!$C$11,"" )</f>
        <v/>
      </c>
      <c r="M221" s="23" t="str">
        <f>IFERROR((E221*VLOOKUP(D221,FILAMENTI_DB!$A:$J,8,FALSE))+((VLOOKUP(C221,STAMPANTI_DB!$A:$C,3,FALSE)/1000)*F221*SETTINGS!$C$6)+(F221*VLOOKUP(C221,STAMPANTI_DB!$A:$I,9,FALSE)),"")</f>
        <v/>
      </c>
    </row>
    <row r="222" spans="8:13" x14ac:dyDescent="0.2">
      <c r="H222" t="str">
        <f>IFERROR(E222*VLOOKUP(D222,FILAMENTI_DB!$A:$J,8,FALSE)+(VLOOKUP(C222,STAMPANTI_DB!$A:$C,3,FALSE)/1000)*F222*SETTINGS!$C$6+F222*VLOOKUP(C222,STAMPANTI_DB!$A:$I,9,FALSE)+SETTINGS!$C$11,"" )</f>
        <v/>
      </c>
      <c r="M222" s="23" t="str">
        <f>IFERROR((E222*VLOOKUP(D222,FILAMENTI_DB!$A:$J,8,FALSE))+((VLOOKUP(C222,STAMPANTI_DB!$A:$C,3,FALSE)/1000)*F222*SETTINGS!$C$6)+(F222*VLOOKUP(C222,STAMPANTI_DB!$A:$I,9,FALSE)),"")</f>
        <v/>
      </c>
    </row>
    <row r="223" spans="8:13" x14ac:dyDescent="0.2">
      <c r="H223" t="str">
        <f>IFERROR(E223*VLOOKUP(D223,FILAMENTI_DB!$A:$J,8,FALSE)+(VLOOKUP(C223,STAMPANTI_DB!$A:$C,3,FALSE)/1000)*F223*SETTINGS!$C$6+F223*VLOOKUP(C223,STAMPANTI_DB!$A:$I,9,FALSE)+SETTINGS!$C$11,"" )</f>
        <v/>
      </c>
      <c r="M223" s="23" t="str">
        <f>IFERROR((E223*VLOOKUP(D223,FILAMENTI_DB!$A:$J,8,FALSE))+((VLOOKUP(C223,STAMPANTI_DB!$A:$C,3,FALSE)/1000)*F223*SETTINGS!$C$6)+(F223*VLOOKUP(C223,STAMPANTI_DB!$A:$I,9,FALSE)),"")</f>
        <v/>
      </c>
    </row>
    <row r="224" spans="8:13" x14ac:dyDescent="0.2">
      <c r="H224" t="str">
        <f>IFERROR(E224*VLOOKUP(D224,FILAMENTI_DB!$A:$J,8,FALSE)+(VLOOKUP(C224,STAMPANTI_DB!$A:$C,3,FALSE)/1000)*F224*SETTINGS!$C$6+F224*VLOOKUP(C224,STAMPANTI_DB!$A:$I,9,FALSE)+SETTINGS!$C$11,"" )</f>
        <v/>
      </c>
      <c r="M224" s="23" t="str">
        <f>IFERROR((E224*VLOOKUP(D224,FILAMENTI_DB!$A:$J,8,FALSE))+((VLOOKUP(C224,STAMPANTI_DB!$A:$C,3,FALSE)/1000)*F224*SETTINGS!$C$6)+(F224*VLOOKUP(C224,STAMPANTI_DB!$A:$I,9,FALSE)),"")</f>
        <v/>
      </c>
    </row>
    <row r="225" spans="8:13" x14ac:dyDescent="0.2">
      <c r="H225" t="str">
        <f>IFERROR(E225*VLOOKUP(D225,FILAMENTI_DB!$A:$J,8,FALSE)+(VLOOKUP(C225,STAMPANTI_DB!$A:$C,3,FALSE)/1000)*F225*SETTINGS!$C$6+F225*VLOOKUP(C225,STAMPANTI_DB!$A:$I,9,FALSE)+SETTINGS!$C$11,"" )</f>
        <v/>
      </c>
      <c r="M225" s="23" t="str">
        <f>IFERROR((E225*VLOOKUP(D225,FILAMENTI_DB!$A:$J,8,FALSE))+((VLOOKUP(C225,STAMPANTI_DB!$A:$C,3,FALSE)/1000)*F225*SETTINGS!$C$6)+(F225*VLOOKUP(C225,STAMPANTI_DB!$A:$I,9,FALSE)),"")</f>
        <v/>
      </c>
    </row>
    <row r="226" spans="8:13" x14ac:dyDescent="0.2">
      <c r="H226" t="str">
        <f>IFERROR(E226*VLOOKUP(D226,FILAMENTI_DB!$A:$J,8,FALSE)+(VLOOKUP(C226,STAMPANTI_DB!$A:$C,3,FALSE)/1000)*F226*SETTINGS!$C$6+F226*VLOOKUP(C226,STAMPANTI_DB!$A:$I,9,FALSE)+SETTINGS!$C$11,"" )</f>
        <v/>
      </c>
      <c r="M226" s="23" t="str">
        <f>IFERROR((E226*VLOOKUP(D226,FILAMENTI_DB!$A:$J,8,FALSE))+((VLOOKUP(C226,STAMPANTI_DB!$A:$C,3,FALSE)/1000)*F226*SETTINGS!$C$6)+(F226*VLOOKUP(C226,STAMPANTI_DB!$A:$I,9,FALSE)),"")</f>
        <v/>
      </c>
    </row>
    <row r="227" spans="8:13" x14ac:dyDescent="0.2">
      <c r="H227" t="str">
        <f>IFERROR(E227*VLOOKUP(D227,FILAMENTI_DB!$A:$J,8,FALSE)+(VLOOKUP(C227,STAMPANTI_DB!$A:$C,3,FALSE)/1000)*F227*SETTINGS!$C$6+F227*VLOOKUP(C227,STAMPANTI_DB!$A:$I,9,FALSE)+SETTINGS!$C$11,"" )</f>
        <v/>
      </c>
      <c r="M227" s="23" t="str">
        <f>IFERROR((E227*VLOOKUP(D227,FILAMENTI_DB!$A:$J,8,FALSE))+((VLOOKUP(C227,STAMPANTI_DB!$A:$C,3,FALSE)/1000)*F227*SETTINGS!$C$6)+(F227*VLOOKUP(C227,STAMPANTI_DB!$A:$I,9,FALSE)),"")</f>
        <v/>
      </c>
    </row>
    <row r="228" spans="8:13" x14ac:dyDescent="0.2">
      <c r="H228" t="str">
        <f>IFERROR(E228*VLOOKUP(D228,FILAMENTI_DB!$A:$J,8,FALSE)+(VLOOKUP(C228,STAMPANTI_DB!$A:$C,3,FALSE)/1000)*F228*SETTINGS!$C$6+F228*VLOOKUP(C228,STAMPANTI_DB!$A:$I,9,FALSE)+SETTINGS!$C$11,"" )</f>
        <v/>
      </c>
      <c r="M228" s="23" t="str">
        <f>IFERROR((E228*VLOOKUP(D228,FILAMENTI_DB!$A:$J,8,FALSE))+((VLOOKUP(C228,STAMPANTI_DB!$A:$C,3,FALSE)/1000)*F228*SETTINGS!$C$6)+(F228*VLOOKUP(C228,STAMPANTI_DB!$A:$I,9,FALSE)),"")</f>
        <v/>
      </c>
    </row>
    <row r="229" spans="8:13" x14ac:dyDescent="0.2">
      <c r="H229" t="str">
        <f>IFERROR(E229*VLOOKUP(D229,FILAMENTI_DB!$A:$J,8,FALSE)+(VLOOKUP(C229,STAMPANTI_DB!$A:$C,3,FALSE)/1000)*F229*SETTINGS!$C$6+F229*VLOOKUP(C229,STAMPANTI_DB!$A:$I,9,FALSE)+SETTINGS!$C$11,"" )</f>
        <v/>
      </c>
      <c r="M229" s="23" t="str">
        <f>IFERROR((E229*VLOOKUP(D229,FILAMENTI_DB!$A:$J,8,FALSE))+((VLOOKUP(C229,STAMPANTI_DB!$A:$C,3,FALSE)/1000)*F229*SETTINGS!$C$6)+(F229*VLOOKUP(C229,STAMPANTI_DB!$A:$I,9,FALSE)),"")</f>
        <v/>
      </c>
    </row>
    <row r="230" spans="8:13" x14ac:dyDescent="0.2">
      <c r="H230" t="str">
        <f>IFERROR(E230*VLOOKUP(D230,FILAMENTI_DB!$A:$J,8,FALSE)+(VLOOKUP(C230,STAMPANTI_DB!$A:$C,3,FALSE)/1000)*F230*SETTINGS!$C$6+F230*VLOOKUP(C230,STAMPANTI_DB!$A:$I,9,FALSE)+SETTINGS!$C$11,"" )</f>
        <v/>
      </c>
      <c r="M230" s="23" t="str">
        <f>IFERROR((E230*VLOOKUP(D230,FILAMENTI_DB!$A:$J,8,FALSE))+((VLOOKUP(C230,STAMPANTI_DB!$A:$C,3,FALSE)/1000)*F230*SETTINGS!$C$6)+(F230*VLOOKUP(C230,STAMPANTI_DB!$A:$I,9,FALSE)),"")</f>
        <v/>
      </c>
    </row>
    <row r="231" spans="8:13" x14ac:dyDescent="0.2">
      <c r="H231" t="str">
        <f>IFERROR(E231*VLOOKUP(D231,FILAMENTI_DB!$A:$J,8,FALSE)+(VLOOKUP(C231,STAMPANTI_DB!$A:$C,3,FALSE)/1000)*F231*SETTINGS!$C$6+F231*VLOOKUP(C231,STAMPANTI_DB!$A:$I,9,FALSE)+SETTINGS!$C$11,"" )</f>
        <v/>
      </c>
      <c r="M231" s="23" t="str">
        <f>IFERROR((E231*VLOOKUP(D231,FILAMENTI_DB!$A:$J,8,FALSE))+((VLOOKUP(C231,STAMPANTI_DB!$A:$C,3,FALSE)/1000)*F231*SETTINGS!$C$6)+(F231*VLOOKUP(C231,STAMPANTI_DB!$A:$I,9,FALSE)),"")</f>
        <v/>
      </c>
    </row>
    <row r="232" spans="8:13" x14ac:dyDescent="0.2">
      <c r="H232" t="str">
        <f>IFERROR(E232*VLOOKUP(D232,FILAMENTI_DB!$A:$J,8,FALSE)+(VLOOKUP(C232,STAMPANTI_DB!$A:$C,3,FALSE)/1000)*F232*SETTINGS!$C$6+F232*VLOOKUP(C232,STAMPANTI_DB!$A:$I,9,FALSE)+SETTINGS!$C$11,"" )</f>
        <v/>
      </c>
      <c r="M232" s="23" t="str">
        <f>IFERROR((E232*VLOOKUP(D232,FILAMENTI_DB!$A:$J,8,FALSE))+((VLOOKUP(C232,STAMPANTI_DB!$A:$C,3,FALSE)/1000)*F232*SETTINGS!$C$6)+(F232*VLOOKUP(C232,STAMPANTI_DB!$A:$I,9,FALSE)),"")</f>
        <v/>
      </c>
    </row>
    <row r="233" spans="8:13" x14ac:dyDescent="0.2">
      <c r="H233" t="str">
        <f>IFERROR(E233*VLOOKUP(D233,FILAMENTI_DB!$A:$J,8,FALSE)+(VLOOKUP(C233,STAMPANTI_DB!$A:$C,3,FALSE)/1000)*F233*SETTINGS!$C$6+F233*VLOOKUP(C233,STAMPANTI_DB!$A:$I,9,FALSE)+SETTINGS!$C$11,"" )</f>
        <v/>
      </c>
      <c r="M233" s="23" t="str">
        <f>IFERROR((E233*VLOOKUP(D233,FILAMENTI_DB!$A:$J,8,FALSE))+((VLOOKUP(C233,STAMPANTI_DB!$A:$C,3,FALSE)/1000)*F233*SETTINGS!$C$6)+(F233*VLOOKUP(C233,STAMPANTI_DB!$A:$I,9,FALSE)),"")</f>
        <v/>
      </c>
    </row>
    <row r="234" spans="8:13" x14ac:dyDescent="0.2">
      <c r="H234" t="str">
        <f>IFERROR(E234*VLOOKUP(D234,FILAMENTI_DB!$A:$J,8,FALSE)+(VLOOKUP(C234,STAMPANTI_DB!$A:$C,3,FALSE)/1000)*F234*SETTINGS!$C$6+F234*VLOOKUP(C234,STAMPANTI_DB!$A:$I,9,FALSE)+SETTINGS!$C$11,"" )</f>
        <v/>
      </c>
      <c r="M234" s="23" t="str">
        <f>IFERROR((E234*VLOOKUP(D234,FILAMENTI_DB!$A:$J,8,FALSE))+((VLOOKUP(C234,STAMPANTI_DB!$A:$C,3,FALSE)/1000)*F234*SETTINGS!$C$6)+(F234*VLOOKUP(C234,STAMPANTI_DB!$A:$I,9,FALSE)),"")</f>
        <v/>
      </c>
    </row>
    <row r="235" spans="8:13" x14ac:dyDescent="0.2">
      <c r="H235" t="str">
        <f>IFERROR(E235*VLOOKUP(D235,FILAMENTI_DB!$A:$J,8,FALSE)+(VLOOKUP(C235,STAMPANTI_DB!$A:$C,3,FALSE)/1000)*F235*SETTINGS!$C$6+F235*VLOOKUP(C235,STAMPANTI_DB!$A:$I,9,FALSE)+SETTINGS!$C$11,"" )</f>
        <v/>
      </c>
      <c r="M235" s="23" t="str">
        <f>IFERROR((E235*VLOOKUP(D235,FILAMENTI_DB!$A:$J,8,FALSE))+((VLOOKUP(C235,STAMPANTI_DB!$A:$C,3,FALSE)/1000)*F235*SETTINGS!$C$6)+(F235*VLOOKUP(C235,STAMPANTI_DB!$A:$I,9,FALSE)),"")</f>
        <v/>
      </c>
    </row>
    <row r="236" spans="8:13" x14ac:dyDescent="0.2">
      <c r="H236" t="str">
        <f>IFERROR(E236*VLOOKUP(D236,FILAMENTI_DB!$A:$J,8,FALSE)+(VLOOKUP(C236,STAMPANTI_DB!$A:$C,3,FALSE)/1000)*F236*SETTINGS!$C$6+F236*VLOOKUP(C236,STAMPANTI_DB!$A:$I,9,FALSE)+SETTINGS!$C$11,"" )</f>
        <v/>
      </c>
      <c r="M236" s="23" t="str">
        <f>IFERROR((E236*VLOOKUP(D236,FILAMENTI_DB!$A:$J,8,FALSE))+((VLOOKUP(C236,STAMPANTI_DB!$A:$C,3,FALSE)/1000)*F236*SETTINGS!$C$6)+(F236*VLOOKUP(C236,STAMPANTI_DB!$A:$I,9,FALSE)),"")</f>
        <v/>
      </c>
    </row>
    <row r="237" spans="8:13" x14ac:dyDescent="0.2">
      <c r="H237" t="str">
        <f>IFERROR(E237*VLOOKUP(D237,FILAMENTI_DB!$A:$J,8,FALSE)+(VLOOKUP(C237,STAMPANTI_DB!$A:$C,3,FALSE)/1000)*F237*SETTINGS!$C$6+F237*VLOOKUP(C237,STAMPANTI_DB!$A:$I,9,FALSE)+SETTINGS!$C$11,"" )</f>
        <v/>
      </c>
      <c r="M237" s="23" t="str">
        <f>IFERROR((E237*VLOOKUP(D237,FILAMENTI_DB!$A:$J,8,FALSE))+((VLOOKUP(C237,STAMPANTI_DB!$A:$C,3,FALSE)/1000)*F237*SETTINGS!$C$6)+(F237*VLOOKUP(C237,STAMPANTI_DB!$A:$I,9,FALSE)),"")</f>
        <v/>
      </c>
    </row>
    <row r="238" spans="8:13" x14ac:dyDescent="0.2">
      <c r="H238" t="str">
        <f>IFERROR(E238*VLOOKUP(D238,FILAMENTI_DB!$A:$J,8,FALSE)+(VLOOKUP(C238,STAMPANTI_DB!$A:$C,3,FALSE)/1000)*F238*SETTINGS!$C$6+F238*VLOOKUP(C238,STAMPANTI_DB!$A:$I,9,FALSE)+SETTINGS!$C$11,"" )</f>
        <v/>
      </c>
      <c r="M238" s="23" t="str">
        <f>IFERROR((E238*VLOOKUP(D238,FILAMENTI_DB!$A:$J,8,FALSE))+((VLOOKUP(C238,STAMPANTI_DB!$A:$C,3,FALSE)/1000)*F238*SETTINGS!$C$6)+(F238*VLOOKUP(C238,STAMPANTI_DB!$A:$I,9,FALSE)),"")</f>
        <v/>
      </c>
    </row>
    <row r="239" spans="8:13" x14ac:dyDescent="0.2">
      <c r="H239" t="str">
        <f>IFERROR(E239*VLOOKUP(D239,FILAMENTI_DB!$A:$J,8,FALSE)+(VLOOKUP(C239,STAMPANTI_DB!$A:$C,3,FALSE)/1000)*F239*SETTINGS!$C$6+F239*VLOOKUP(C239,STAMPANTI_DB!$A:$I,9,FALSE)+SETTINGS!$C$11,"" )</f>
        <v/>
      </c>
      <c r="M239" s="23" t="str">
        <f>IFERROR((E239*VLOOKUP(D239,FILAMENTI_DB!$A:$J,8,FALSE))+((VLOOKUP(C239,STAMPANTI_DB!$A:$C,3,FALSE)/1000)*F239*SETTINGS!$C$6)+(F239*VLOOKUP(C239,STAMPANTI_DB!$A:$I,9,FALSE)),"")</f>
        <v/>
      </c>
    </row>
    <row r="240" spans="8:13" x14ac:dyDescent="0.2">
      <c r="H240" t="str">
        <f>IFERROR(E240*VLOOKUP(D240,FILAMENTI_DB!$A:$J,8,FALSE)+(VLOOKUP(C240,STAMPANTI_DB!$A:$C,3,FALSE)/1000)*F240*SETTINGS!$C$6+F240*VLOOKUP(C240,STAMPANTI_DB!$A:$I,9,FALSE)+SETTINGS!$C$11,"" )</f>
        <v/>
      </c>
      <c r="M240" s="23" t="str">
        <f>IFERROR((E240*VLOOKUP(D240,FILAMENTI_DB!$A:$J,8,FALSE))+((VLOOKUP(C240,STAMPANTI_DB!$A:$C,3,FALSE)/1000)*F240*SETTINGS!$C$6)+(F240*VLOOKUP(C240,STAMPANTI_DB!$A:$I,9,FALSE)),"")</f>
        <v/>
      </c>
    </row>
    <row r="241" spans="8:13" x14ac:dyDescent="0.2">
      <c r="H241" t="str">
        <f>IFERROR(E241*VLOOKUP(D241,FILAMENTI_DB!$A:$J,8,FALSE)+(VLOOKUP(C241,STAMPANTI_DB!$A:$C,3,FALSE)/1000)*F241*SETTINGS!$C$6+F241*VLOOKUP(C241,STAMPANTI_DB!$A:$I,9,FALSE)+SETTINGS!$C$11,"" )</f>
        <v/>
      </c>
      <c r="M241" s="23" t="str">
        <f>IFERROR((E241*VLOOKUP(D241,FILAMENTI_DB!$A:$J,8,FALSE))+((VLOOKUP(C241,STAMPANTI_DB!$A:$C,3,FALSE)/1000)*F241*SETTINGS!$C$6)+(F241*VLOOKUP(C241,STAMPANTI_DB!$A:$I,9,FALSE)),"")</f>
        <v/>
      </c>
    </row>
    <row r="242" spans="8:13" x14ac:dyDescent="0.2">
      <c r="H242" t="str">
        <f>IFERROR(E242*VLOOKUP(D242,FILAMENTI_DB!$A:$J,8,FALSE)+(VLOOKUP(C242,STAMPANTI_DB!$A:$C,3,FALSE)/1000)*F242*SETTINGS!$C$6+F242*VLOOKUP(C242,STAMPANTI_DB!$A:$I,9,FALSE)+SETTINGS!$C$11,"" )</f>
        <v/>
      </c>
      <c r="M242" s="23" t="str">
        <f>IFERROR((E242*VLOOKUP(D242,FILAMENTI_DB!$A:$J,8,FALSE))+((VLOOKUP(C242,STAMPANTI_DB!$A:$C,3,FALSE)/1000)*F242*SETTINGS!$C$6)+(F242*VLOOKUP(C242,STAMPANTI_DB!$A:$I,9,FALSE)),"")</f>
        <v/>
      </c>
    </row>
    <row r="243" spans="8:13" x14ac:dyDescent="0.2">
      <c r="H243" t="str">
        <f>IFERROR(E243*VLOOKUP(D243,FILAMENTI_DB!$A:$J,8,FALSE)+(VLOOKUP(C243,STAMPANTI_DB!$A:$C,3,FALSE)/1000)*F243*SETTINGS!$C$6+F243*VLOOKUP(C243,STAMPANTI_DB!$A:$I,9,FALSE)+SETTINGS!$C$11,"" )</f>
        <v/>
      </c>
      <c r="M243" s="23" t="str">
        <f>IFERROR((E243*VLOOKUP(D243,FILAMENTI_DB!$A:$J,8,FALSE))+((VLOOKUP(C243,STAMPANTI_DB!$A:$C,3,FALSE)/1000)*F243*SETTINGS!$C$6)+(F243*VLOOKUP(C243,STAMPANTI_DB!$A:$I,9,FALSE)),"")</f>
        <v/>
      </c>
    </row>
    <row r="244" spans="8:13" x14ac:dyDescent="0.2">
      <c r="H244" t="str">
        <f>IFERROR(E244*VLOOKUP(D244,FILAMENTI_DB!$A:$J,8,FALSE)+(VLOOKUP(C244,STAMPANTI_DB!$A:$C,3,FALSE)/1000)*F244*SETTINGS!$C$6+F244*VLOOKUP(C244,STAMPANTI_DB!$A:$I,9,FALSE)+SETTINGS!$C$11,"" )</f>
        <v/>
      </c>
      <c r="M244" s="23" t="str">
        <f>IFERROR((E244*VLOOKUP(D244,FILAMENTI_DB!$A:$J,8,FALSE))+((VLOOKUP(C244,STAMPANTI_DB!$A:$C,3,FALSE)/1000)*F244*SETTINGS!$C$6)+(F244*VLOOKUP(C244,STAMPANTI_DB!$A:$I,9,FALSE)),"")</f>
        <v/>
      </c>
    </row>
    <row r="245" spans="8:13" x14ac:dyDescent="0.2">
      <c r="H245" t="str">
        <f>IFERROR(E245*VLOOKUP(D245,FILAMENTI_DB!$A:$J,8,FALSE)+(VLOOKUP(C245,STAMPANTI_DB!$A:$C,3,FALSE)/1000)*F245*SETTINGS!$C$6+F245*VLOOKUP(C245,STAMPANTI_DB!$A:$I,9,FALSE)+SETTINGS!$C$11,"" )</f>
        <v/>
      </c>
      <c r="M245" s="23" t="str">
        <f>IFERROR((E245*VLOOKUP(D245,FILAMENTI_DB!$A:$J,8,FALSE))+((VLOOKUP(C245,STAMPANTI_DB!$A:$C,3,FALSE)/1000)*F245*SETTINGS!$C$6)+(F245*VLOOKUP(C245,STAMPANTI_DB!$A:$I,9,FALSE)),"")</f>
        <v/>
      </c>
    </row>
    <row r="246" spans="8:13" x14ac:dyDescent="0.2">
      <c r="H246" t="str">
        <f>IFERROR(E246*VLOOKUP(D246,FILAMENTI_DB!$A:$J,8,FALSE)+(VLOOKUP(C246,STAMPANTI_DB!$A:$C,3,FALSE)/1000)*F246*SETTINGS!$C$6+F246*VLOOKUP(C246,STAMPANTI_DB!$A:$I,9,FALSE)+SETTINGS!$C$11,"" )</f>
        <v/>
      </c>
      <c r="M246" s="23" t="str">
        <f>IFERROR((E246*VLOOKUP(D246,FILAMENTI_DB!$A:$J,8,FALSE))+((VLOOKUP(C246,STAMPANTI_DB!$A:$C,3,FALSE)/1000)*F246*SETTINGS!$C$6)+(F246*VLOOKUP(C246,STAMPANTI_DB!$A:$I,9,FALSE)),"")</f>
        <v/>
      </c>
    </row>
    <row r="247" spans="8:13" x14ac:dyDescent="0.2">
      <c r="H247" t="str">
        <f>IFERROR(E247*VLOOKUP(D247,FILAMENTI_DB!$A:$J,8,FALSE)+(VLOOKUP(C247,STAMPANTI_DB!$A:$C,3,FALSE)/1000)*F247*SETTINGS!$C$6+F247*VLOOKUP(C247,STAMPANTI_DB!$A:$I,9,FALSE)+SETTINGS!$C$11,"" )</f>
        <v/>
      </c>
      <c r="M247" s="23" t="str">
        <f>IFERROR((E247*VLOOKUP(D247,FILAMENTI_DB!$A:$J,8,FALSE))+((VLOOKUP(C247,STAMPANTI_DB!$A:$C,3,FALSE)/1000)*F247*SETTINGS!$C$6)+(F247*VLOOKUP(C247,STAMPANTI_DB!$A:$I,9,FALSE)),"")</f>
        <v/>
      </c>
    </row>
    <row r="248" spans="8:13" x14ac:dyDescent="0.2">
      <c r="H248" t="str">
        <f>IFERROR(E248*VLOOKUP(D248,FILAMENTI_DB!$A:$J,8,FALSE)+(VLOOKUP(C248,STAMPANTI_DB!$A:$C,3,FALSE)/1000)*F248*SETTINGS!$C$6+F248*VLOOKUP(C248,STAMPANTI_DB!$A:$I,9,FALSE)+SETTINGS!$C$11,"" )</f>
        <v/>
      </c>
      <c r="M248" s="23" t="str">
        <f>IFERROR((E248*VLOOKUP(D248,FILAMENTI_DB!$A:$J,8,FALSE))+((VLOOKUP(C248,STAMPANTI_DB!$A:$C,3,FALSE)/1000)*F248*SETTINGS!$C$6)+(F248*VLOOKUP(C248,STAMPANTI_DB!$A:$I,9,FALSE)),"")</f>
        <v/>
      </c>
    </row>
    <row r="249" spans="8:13" x14ac:dyDescent="0.2">
      <c r="H249" t="str">
        <f>IFERROR(E249*VLOOKUP(D249,FILAMENTI_DB!$A:$J,8,FALSE)+(VLOOKUP(C249,STAMPANTI_DB!$A:$C,3,FALSE)/1000)*F249*SETTINGS!$C$6+F249*VLOOKUP(C249,STAMPANTI_DB!$A:$I,9,FALSE)+SETTINGS!$C$11,"" )</f>
        <v/>
      </c>
      <c r="M249" s="23" t="str">
        <f>IFERROR((E249*VLOOKUP(D249,FILAMENTI_DB!$A:$J,8,FALSE))+((VLOOKUP(C249,STAMPANTI_DB!$A:$C,3,FALSE)/1000)*F249*SETTINGS!$C$6)+(F249*VLOOKUP(C249,STAMPANTI_DB!$A:$I,9,FALSE)),"")</f>
        <v/>
      </c>
    </row>
    <row r="250" spans="8:13" x14ac:dyDescent="0.2">
      <c r="H250" t="str">
        <f>IFERROR(E250*VLOOKUP(D250,FILAMENTI_DB!$A:$J,8,FALSE)+(VLOOKUP(C250,STAMPANTI_DB!$A:$C,3,FALSE)/1000)*F250*SETTINGS!$C$6+F250*VLOOKUP(C250,STAMPANTI_DB!$A:$I,9,FALSE)+SETTINGS!$C$11,"" )</f>
        <v/>
      </c>
      <c r="M250" s="23" t="str">
        <f>IFERROR((E250*VLOOKUP(D250,FILAMENTI_DB!$A:$J,8,FALSE))+((VLOOKUP(C250,STAMPANTI_DB!$A:$C,3,FALSE)/1000)*F250*SETTINGS!$C$6)+(F250*VLOOKUP(C250,STAMPANTI_DB!$A:$I,9,FALSE)),"")</f>
        <v/>
      </c>
    </row>
    <row r="251" spans="8:13" x14ac:dyDescent="0.2">
      <c r="H251" t="str">
        <f>IFERROR(E251*VLOOKUP(D251,FILAMENTI_DB!$A:$J,8,FALSE)+(VLOOKUP(C251,STAMPANTI_DB!$A:$C,3,FALSE)/1000)*F251*SETTINGS!$C$6+F251*VLOOKUP(C251,STAMPANTI_DB!$A:$I,9,FALSE)+SETTINGS!$C$11,"" )</f>
        <v/>
      </c>
      <c r="M251" s="23" t="str">
        <f>IFERROR((E251*VLOOKUP(D251,FILAMENTI_DB!$A:$J,8,FALSE))+((VLOOKUP(C251,STAMPANTI_DB!$A:$C,3,FALSE)/1000)*F251*SETTINGS!$C$6)+(F251*VLOOKUP(C251,STAMPANTI_DB!$A:$I,9,FALSE)),"")</f>
        <v/>
      </c>
    </row>
    <row r="252" spans="8:13" x14ac:dyDescent="0.2">
      <c r="H252" t="str">
        <f>IFERROR(E252*VLOOKUP(D252,FILAMENTI_DB!$A:$J,8,FALSE)+(VLOOKUP(C252,STAMPANTI_DB!$A:$C,3,FALSE)/1000)*F252*SETTINGS!$C$6+F252*VLOOKUP(C252,STAMPANTI_DB!$A:$I,9,FALSE)+SETTINGS!$C$11,"" )</f>
        <v/>
      </c>
      <c r="M252" s="23" t="str">
        <f>IFERROR((E252*VLOOKUP(D252,FILAMENTI_DB!$A:$J,8,FALSE))+((VLOOKUP(C252,STAMPANTI_DB!$A:$C,3,FALSE)/1000)*F252*SETTINGS!$C$6)+(F252*VLOOKUP(C252,STAMPANTI_DB!$A:$I,9,FALSE)),"")</f>
        <v/>
      </c>
    </row>
    <row r="253" spans="8:13" x14ac:dyDescent="0.2">
      <c r="H253" t="str">
        <f>IFERROR(E253*VLOOKUP(D253,FILAMENTI_DB!$A:$J,8,FALSE)+(VLOOKUP(C253,STAMPANTI_DB!$A:$C,3,FALSE)/1000)*F253*SETTINGS!$C$6+F253*VLOOKUP(C253,STAMPANTI_DB!$A:$I,9,FALSE)+SETTINGS!$C$11,"" )</f>
        <v/>
      </c>
      <c r="M253" s="23" t="str">
        <f>IFERROR((E253*VLOOKUP(D253,FILAMENTI_DB!$A:$J,8,FALSE))+((VLOOKUP(C253,STAMPANTI_DB!$A:$C,3,FALSE)/1000)*F253*SETTINGS!$C$6)+(F253*VLOOKUP(C253,STAMPANTI_DB!$A:$I,9,FALSE)),"")</f>
        <v/>
      </c>
    </row>
    <row r="254" spans="8:13" x14ac:dyDescent="0.2">
      <c r="H254" t="str">
        <f>IFERROR(E254*VLOOKUP(D254,FILAMENTI_DB!$A:$J,8,FALSE)+(VLOOKUP(C254,STAMPANTI_DB!$A:$C,3,FALSE)/1000)*F254*SETTINGS!$C$6+F254*VLOOKUP(C254,STAMPANTI_DB!$A:$I,9,FALSE)+SETTINGS!$C$11,"" )</f>
        <v/>
      </c>
      <c r="M254" s="23" t="str">
        <f>IFERROR((E254*VLOOKUP(D254,FILAMENTI_DB!$A:$J,8,FALSE))+((VLOOKUP(C254,STAMPANTI_DB!$A:$C,3,FALSE)/1000)*F254*SETTINGS!$C$6)+(F254*VLOOKUP(C254,STAMPANTI_DB!$A:$I,9,FALSE)),"")</f>
        <v/>
      </c>
    </row>
    <row r="255" spans="8:13" x14ac:dyDescent="0.2">
      <c r="H255" t="str">
        <f>IFERROR(E255*VLOOKUP(D255,FILAMENTI_DB!$A:$J,8,FALSE)+(VLOOKUP(C255,STAMPANTI_DB!$A:$C,3,FALSE)/1000)*F255*SETTINGS!$C$6+F255*VLOOKUP(C255,STAMPANTI_DB!$A:$I,9,FALSE)+SETTINGS!$C$11,"" )</f>
        <v/>
      </c>
      <c r="M255" s="23" t="str">
        <f>IFERROR((E255*VLOOKUP(D255,FILAMENTI_DB!$A:$J,8,FALSE))+((VLOOKUP(C255,STAMPANTI_DB!$A:$C,3,FALSE)/1000)*F255*SETTINGS!$C$6)+(F255*VLOOKUP(C255,STAMPANTI_DB!$A:$I,9,FALSE)),"")</f>
        <v/>
      </c>
    </row>
    <row r="256" spans="8:13" x14ac:dyDescent="0.2">
      <c r="H256" t="str">
        <f>IFERROR(E256*VLOOKUP(D256,FILAMENTI_DB!$A:$J,8,FALSE)+(VLOOKUP(C256,STAMPANTI_DB!$A:$C,3,FALSE)/1000)*F256*SETTINGS!$C$6+F256*VLOOKUP(C256,STAMPANTI_DB!$A:$I,9,FALSE)+SETTINGS!$C$11,"" )</f>
        <v/>
      </c>
      <c r="M256" s="23" t="str">
        <f>IFERROR((E256*VLOOKUP(D256,FILAMENTI_DB!$A:$J,8,FALSE))+((VLOOKUP(C256,STAMPANTI_DB!$A:$C,3,FALSE)/1000)*F256*SETTINGS!$C$6)+(F256*VLOOKUP(C256,STAMPANTI_DB!$A:$I,9,FALSE)),"")</f>
        <v/>
      </c>
    </row>
    <row r="257" spans="8:13" x14ac:dyDescent="0.2">
      <c r="H257" t="str">
        <f>IFERROR(E257*VLOOKUP(D257,FILAMENTI_DB!$A:$J,8,FALSE)+(VLOOKUP(C257,STAMPANTI_DB!$A:$C,3,FALSE)/1000)*F257*SETTINGS!$C$6+F257*VLOOKUP(C257,STAMPANTI_DB!$A:$I,9,FALSE)+SETTINGS!$C$11,"" )</f>
        <v/>
      </c>
      <c r="M257" s="23" t="str">
        <f>IFERROR((E257*VLOOKUP(D257,FILAMENTI_DB!$A:$J,8,FALSE))+((VLOOKUP(C257,STAMPANTI_DB!$A:$C,3,FALSE)/1000)*F257*SETTINGS!$C$6)+(F257*VLOOKUP(C257,STAMPANTI_DB!$A:$I,9,FALSE)),"")</f>
        <v/>
      </c>
    </row>
    <row r="258" spans="8:13" x14ac:dyDescent="0.2">
      <c r="H258" t="str">
        <f>IFERROR(E258*VLOOKUP(D258,FILAMENTI_DB!$A:$J,8,FALSE)+(VLOOKUP(C258,STAMPANTI_DB!$A:$C,3,FALSE)/1000)*F258*SETTINGS!$C$6+F258*VLOOKUP(C258,STAMPANTI_DB!$A:$I,9,FALSE)+SETTINGS!$C$11,"" )</f>
        <v/>
      </c>
      <c r="M258" s="23" t="str">
        <f>IFERROR((E258*VLOOKUP(D258,FILAMENTI_DB!$A:$J,8,FALSE))+((VLOOKUP(C258,STAMPANTI_DB!$A:$C,3,FALSE)/1000)*F258*SETTINGS!$C$6)+(F258*VLOOKUP(C258,STAMPANTI_DB!$A:$I,9,FALSE)),"")</f>
        <v/>
      </c>
    </row>
    <row r="259" spans="8:13" x14ac:dyDescent="0.2">
      <c r="H259" t="str">
        <f>IFERROR(E259*VLOOKUP(D259,FILAMENTI_DB!$A:$J,8,FALSE)+(VLOOKUP(C259,STAMPANTI_DB!$A:$C,3,FALSE)/1000)*F259*SETTINGS!$C$6+F259*VLOOKUP(C259,STAMPANTI_DB!$A:$I,9,FALSE)+SETTINGS!$C$11,"" )</f>
        <v/>
      </c>
      <c r="M259" s="23" t="str">
        <f>IFERROR((E259*VLOOKUP(D259,FILAMENTI_DB!$A:$J,8,FALSE))+((VLOOKUP(C259,STAMPANTI_DB!$A:$C,3,FALSE)/1000)*F259*SETTINGS!$C$6)+(F259*VLOOKUP(C259,STAMPANTI_DB!$A:$I,9,FALSE)),"")</f>
        <v/>
      </c>
    </row>
    <row r="260" spans="8:13" x14ac:dyDescent="0.2">
      <c r="H260" t="str">
        <f>IFERROR(E260*VLOOKUP(D260,FILAMENTI_DB!$A:$J,8,FALSE)+(VLOOKUP(C260,STAMPANTI_DB!$A:$C,3,FALSE)/1000)*F260*SETTINGS!$C$6+F260*VLOOKUP(C260,STAMPANTI_DB!$A:$I,9,FALSE)+SETTINGS!$C$11,"" )</f>
        <v/>
      </c>
      <c r="M260" s="23" t="str">
        <f>IFERROR((E260*VLOOKUP(D260,FILAMENTI_DB!$A:$J,8,FALSE))+((VLOOKUP(C260,STAMPANTI_DB!$A:$C,3,FALSE)/1000)*F260*SETTINGS!$C$6)+(F260*VLOOKUP(C260,STAMPANTI_DB!$A:$I,9,FALSE)),"")</f>
        <v/>
      </c>
    </row>
    <row r="261" spans="8:13" x14ac:dyDescent="0.2">
      <c r="H261" t="str">
        <f>IFERROR(E261*VLOOKUP(D261,FILAMENTI_DB!$A:$J,8,FALSE)+(VLOOKUP(C261,STAMPANTI_DB!$A:$C,3,FALSE)/1000)*F261*SETTINGS!$C$6+F261*VLOOKUP(C261,STAMPANTI_DB!$A:$I,9,FALSE)+SETTINGS!$C$11,"" )</f>
        <v/>
      </c>
      <c r="M261" s="23" t="str">
        <f>IFERROR((E261*VLOOKUP(D261,FILAMENTI_DB!$A:$J,8,FALSE))+((VLOOKUP(C261,STAMPANTI_DB!$A:$C,3,FALSE)/1000)*F261*SETTINGS!$C$6)+(F261*VLOOKUP(C261,STAMPANTI_DB!$A:$I,9,FALSE)),"")</f>
        <v/>
      </c>
    </row>
    <row r="262" spans="8:13" x14ac:dyDescent="0.2">
      <c r="H262" t="str">
        <f>IFERROR(E262*VLOOKUP(D262,FILAMENTI_DB!$A:$J,8,FALSE)+(VLOOKUP(C262,STAMPANTI_DB!$A:$C,3,FALSE)/1000)*F262*SETTINGS!$C$6+F262*VLOOKUP(C262,STAMPANTI_DB!$A:$I,9,FALSE)+SETTINGS!$C$11,"" )</f>
        <v/>
      </c>
      <c r="M262" s="23" t="str">
        <f>IFERROR((E262*VLOOKUP(D262,FILAMENTI_DB!$A:$J,8,FALSE))+((VLOOKUP(C262,STAMPANTI_DB!$A:$C,3,FALSE)/1000)*F262*SETTINGS!$C$6)+(F262*VLOOKUP(C262,STAMPANTI_DB!$A:$I,9,FALSE)),"")</f>
        <v/>
      </c>
    </row>
    <row r="263" spans="8:13" x14ac:dyDescent="0.2">
      <c r="H263" t="str">
        <f>IFERROR(E263*VLOOKUP(D263,FILAMENTI_DB!$A:$J,8,FALSE)+(VLOOKUP(C263,STAMPANTI_DB!$A:$C,3,FALSE)/1000)*F263*SETTINGS!$C$6+F263*VLOOKUP(C263,STAMPANTI_DB!$A:$I,9,FALSE)+SETTINGS!$C$11,"" )</f>
        <v/>
      </c>
      <c r="M263" s="23" t="str">
        <f>IFERROR((E263*VLOOKUP(D263,FILAMENTI_DB!$A:$J,8,FALSE))+((VLOOKUP(C263,STAMPANTI_DB!$A:$C,3,FALSE)/1000)*F263*SETTINGS!$C$6)+(F263*VLOOKUP(C263,STAMPANTI_DB!$A:$I,9,FALSE)),"")</f>
        <v/>
      </c>
    </row>
    <row r="264" spans="8:13" x14ac:dyDescent="0.2">
      <c r="H264" t="str">
        <f>IFERROR(E264*VLOOKUP(D264,FILAMENTI_DB!$A:$J,8,FALSE)+(VLOOKUP(C264,STAMPANTI_DB!$A:$C,3,FALSE)/1000)*F264*SETTINGS!$C$6+F264*VLOOKUP(C264,STAMPANTI_DB!$A:$I,9,FALSE)+SETTINGS!$C$11,"" )</f>
        <v/>
      </c>
      <c r="M264" s="23" t="str">
        <f>IFERROR((E264*VLOOKUP(D264,FILAMENTI_DB!$A:$J,8,FALSE))+((VLOOKUP(C264,STAMPANTI_DB!$A:$C,3,FALSE)/1000)*F264*SETTINGS!$C$6)+(F264*VLOOKUP(C264,STAMPANTI_DB!$A:$I,9,FALSE)),"")</f>
        <v/>
      </c>
    </row>
    <row r="265" spans="8:13" x14ac:dyDescent="0.2">
      <c r="H265" t="str">
        <f>IFERROR(E265*VLOOKUP(D265,FILAMENTI_DB!$A:$J,8,FALSE)+(VLOOKUP(C265,STAMPANTI_DB!$A:$C,3,FALSE)/1000)*F265*SETTINGS!$C$6+F265*VLOOKUP(C265,STAMPANTI_DB!$A:$I,9,FALSE)+SETTINGS!$C$11,"" )</f>
        <v/>
      </c>
      <c r="M265" s="23" t="str">
        <f>IFERROR((E265*VLOOKUP(D265,FILAMENTI_DB!$A:$J,8,FALSE))+((VLOOKUP(C265,STAMPANTI_DB!$A:$C,3,FALSE)/1000)*F265*SETTINGS!$C$6)+(F265*VLOOKUP(C265,STAMPANTI_DB!$A:$I,9,FALSE)),"")</f>
        <v/>
      </c>
    </row>
    <row r="266" spans="8:13" x14ac:dyDescent="0.2">
      <c r="H266" t="str">
        <f>IFERROR(E266*VLOOKUP(D266,FILAMENTI_DB!$A:$J,8,FALSE)+(VLOOKUP(C266,STAMPANTI_DB!$A:$C,3,FALSE)/1000)*F266*SETTINGS!$C$6+F266*VLOOKUP(C266,STAMPANTI_DB!$A:$I,9,FALSE)+SETTINGS!$C$11,"" )</f>
        <v/>
      </c>
      <c r="M266" s="23" t="str">
        <f>IFERROR((E266*VLOOKUP(D266,FILAMENTI_DB!$A:$J,8,FALSE))+((VLOOKUP(C266,STAMPANTI_DB!$A:$C,3,FALSE)/1000)*F266*SETTINGS!$C$6)+(F266*VLOOKUP(C266,STAMPANTI_DB!$A:$I,9,FALSE)),"")</f>
        <v/>
      </c>
    </row>
    <row r="267" spans="8:13" x14ac:dyDescent="0.2">
      <c r="H267" t="str">
        <f>IFERROR(E267*VLOOKUP(D267,FILAMENTI_DB!$A:$J,8,FALSE)+(VLOOKUP(C267,STAMPANTI_DB!$A:$C,3,FALSE)/1000)*F267*SETTINGS!$C$6+F267*VLOOKUP(C267,STAMPANTI_DB!$A:$I,9,FALSE)+SETTINGS!$C$11,"" )</f>
        <v/>
      </c>
      <c r="M267" s="23" t="str">
        <f>IFERROR((E267*VLOOKUP(D267,FILAMENTI_DB!$A:$J,8,FALSE))+((VLOOKUP(C267,STAMPANTI_DB!$A:$C,3,FALSE)/1000)*F267*SETTINGS!$C$6)+(F267*VLOOKUP(C267,STAMPANTI_DB!$A:$I,9,FALSE)),"")</f>
        <v/>
      </c>
    </row>
    <row r="268" spans="8:13" x14ac:dyDescent="0.2">
      <c r="H268" t="str">
        <f>IFERROR(E268*VLOOKUP(D268,FILAMENTI_DB!$A:$J,8,FALSE)+(VLOOKUP(C268,STAMPANTI_DB!$A:$C,3,FALSE)/1000)*F268*SETTINGS!$C$6+F268*VLOOKUP(C268,STAMPANTI_DB!$A:$I,9,FALSE)+SETTINGS!$C$11,"" )</f>
        <v/>
      </c>
      <c r="M268" s="23" t="str">
        <f>IFERROR((E268*VLOOKUP(D268,FILAMENTI_DB!$A:$J,8,FALSE))+((VLOOKUP(C268,STAMPANTI_DB!$A:$C,3,FALSE)/1000)*F268*SETTINGS!$C$6)+(F268*VLOOKUP(C268,STAMPANTI_DB!$A:$I,9,FALSE)),"")</f>
        <v/>
      </c>
    </row>
    <row r="269" spans="8:13" x14ac:dyDescent="0.2">
      <c r="H269" t="str">
        <f>IFERROR(E269*VLOOKUP(D269,FILAMENTI_DB!$A:$J,8,FALSE)+(VLOOKUP(C269,STAMPANTI_DB!$A:$C,3,FALSE)/1000)*F269*SETTINGS!$C$6+F269*VLOOKUP(C269,STAMPANTI_DB!$A:$I,9,FALSE)+SETTINGS!$C$11,"" )</f>
        <v/>
      </c>
      <c r="M269" s="23" t="str">
        <f>IFERROR((E269*VLOOKUP(D269,FILAMENTI_DB!$A:$J,8,FALSE))+((VLOOKUP(C269,STAMPANTI_DB!$A:$C,3,FALSE)/1000)*F269*SETTINGS!$C$6)+(F269*VLOOKUP(C269,STAMPANTI_DB!$A:$I,9,FALSE)),"")</f>
        <v/>
      </c>
    </row>
    <row r="270" spans="8:13" x14ac:dyDescent="0.2">
      <c r="H270" t="str">
        <f>IFERROR(E270*VLOOKUP(D270,FILAMENTI_DB!$A:$J,8,FALSE)+(VLOOKUP(C270,STAMPANTI_DB!$A:$C,3,FALSE)/1000)*F270*SETTINGS!$C$6+F270*VLOOKUP(C270,STAMPANTI_DB!$A:$I,9,FALSE)+SETTINGS!$C$11,"" )</f>
        <v/>
      </c>
      <c r="M270" s="23" t="str">
        <f>IFERROR((E270*VLOOKUP(D270,FILAMENTI_DB!$A:$J,8,FALSE))+((VLOOKUP(C270,STAMPANTI_DB!$A:$C,3,FALSE)/1000)*F270*SETTINGS!$C$6)+(F270*VLOOKUP(C270,STAMPANTI_DB!$A:$I,9,FALSE)),"")</f>
        <v/>
      </c>
    </row>
    <row r="271" spans="8:13" x14ac:dyDescent="0.2">
      <c r="H271" t="str">
        <f>IFERROR(E271*VLOOKUP(D271,FILAMENTI_DB!$A:$J,8,FALSE)+(VLOOKUP(C271,STAMPANTI_DB!$A:$C,3,FALSE)/1000)*F271*SETTINGS!$C$6+F271*VLOOKUP(C271,STAMPANTI_DB!$A:$I,9,FALSE)+SETTINGS!$C$11,"" )</f>
        <v/>
      </c>
      <c r="M271" s="23" t="str">
        <f>IFERROR((E271*VLOOKUP(D271,FILAMENTI_DB!$A:$J,8,FALSE))+((VLOOKUP(C271,STAMPANTI_DB!$A:$C,3,FALSE)/1000)*F271*SETTINGS!$C$6)+(F271*VLOOKUP(C271,STAMPANTI_DB!$A:$I,9,FALSE)),"")</f>
        <v/>
      </c>
    </row>
    <row r="272" spans="8:13" x14ac:dyDescent="0.2">
      <c r="H272" t="str">
        <f>IFERROR(E272*VLOOKUP(D272,FILAMENTI_DB!$A:$J,8,FALSE)+(VLOOKUP(C272,STAMPANTI_DB!$A:$C,3,FALSE)/1000)*F272*SETTINGS!$C$6+F272*VLOOKUP(C272,STAMPANTI_DB!$A:$I,9,FALSE)+SETTINGS!$C$11,"" )</f>
        <v/>
      </c>
      <c r="M272" s="23" t="str">
        <f>IFERROR((E272*VLOOKUP(D272,FILAMENTI_DB!$A:$J,8,FALSE))+((VLOOKUP(C272,STAMPANTI_DB!$A:$C,3,FALSE)/1000)*F272*SETTINGS!$C$6)+(F272*VLOOKUP(C272,STAMPANTI_DB!$A:$I,9,FALSE)),"")</f>
        <v/>
      </c>
    </row>
    <row r="273" spans="8:13" x14ac:dyDescent="0.2">
      <c r="H273" t="str">
        <f>IFERROR(E273*VLOOKUP(D273,FILAMENTI_DB!$A:$J,8,FALSE)+(VLOOKUP(C273,STAMPANTI_DB!$A:$C,3,FALSE)/1000)*F273*SETTINGS!$C$6+F273*VLOOKUP(C273,STAMPANTI_DB!$A:$I,9,FALSE)+SETTINGS!$C$11,"" )</f>
        <v/>
      </c>
      <c r="M273" s="23" t="str">
        <f>IFERROR((E273*VLOOKUP(D273,FILAMENTI_DB!$A:$J,8,FALSE))+((VLOOKUP(C273,STAMPANTI_DB!$A:$C,3,FALSE)/1000)*F273*SETTINGS!$C$6)+(F273*VLOOKUP(C273,STAMPANTI_DB!$A:$I,9,FALSE)),"")</f>
        <v/>
      </c>
    </row>
    <row r="274" spans="8:13" x14ac:dyDescent="0.2">
      <c r="H274" t="str">
        <f>IFERROR(E274*VLOOKUP(D274,FILAMENTI_DB!$A:$J,8,FALSE)+(VLOOKUP(C274,STAMPANTI_DB!$A:$C,3,FALSE)/1000)*F274*SETTINGS!$C$6+F274*VLOOKUP(C274,STAMPANTI_DB!$A:$I,9,FALSE)+SETTINGS!$C$11,"" )</f>
        <v/>
      </c>
      <c r="M274" s="23" t="str">
        <f>IFERROR((E274*VLOOKUP(D274,FILAMENTI_DB!$A:$J,8,FALSE))+((VLOOKUP(C274,STAMPANTI_DB!$A:$C,3,FALSE)/1000)*F274*SETTINGS!$C$6)+(F274*VLOOKUP(C274,STAMPANTI_DB!$A:$I,9,FALSE)),"")</f>
        <v/>
      </c>
    </row>
    <row r="275" spans="8:13" x14ac:dyDescent="0.2">
      <c r="H275" t="str">
        <f>IFERROR(E275*VLOOKUP(D275,FILAMENTI_DB!$A:$J,8,FALSE)+(VLOOKUP(C275,STAMPANTI_DB!$A:$C,3,FALSE)/1000)*F275*SETTINGS!$C$6+F275*VLOOKUP(C275,STAMPANTI_DB!$A:$I,9,FALSE)+SETTINGS!$C$11,"" )</f>
        <v/>
      </c>
      <c r="M275" s="23" t="str">
        <f>IFERROR((E275*VLOOKUP(D275,FILAMENTI_DB!$A:$J,8,FALSE))+((VLOOKUP(C275,STAMPANTI_DB!$A:$C,3,FALSE)/1000)*F275*SETTINGS!$C$6)+(F275*VLOOKUP(C275,STAMPANTI_DB!$A:$I,9,FALSE)),"")</f>
        <v/>
      </c>
    </row>
    <row r="276" spans="8:13" x14ac:dyDescent="0.2">
      <c r="H276" t="str">
        <f>IFERROR(E276*VLOOKUP(D276,FILAMENTI_DB!$A:$J,8,FALSE)+(VLOOKUP(C276,STAMPANTI_DB!$A:$C,3,FALSE)/1000)*F276*SETTINGS!$C$6+F276*VLOOKUP(C276,STAMPANTI_DB!$A:$I,9,FALSE)+SETTINGS!$C$11,"" )</f>
        <v/>
      </c>
      <c r="M276" s="23" t="str">
        <f>IFERROR((E276*VLOOKUP(D276,FILAMENTI_DB!$A:$J,8,FALSE))+((VLOOKUP(C276,STAMPANTI_DB!$A:$C,3,FALSE)/1000)*F276*SETTINGS!$C$6)+(F276*VLOOKUP(C276,STAMPANTI_DB!$A:$I,9,FALSE)),"")</f>
        <v/>
      </c>
    </row>
    <row r="277" spans="8:13" x14ac:dyDescent="0.2">
      <c r="H277" t="str">
        <f>IFERROR(E277*VLOOKUP(D277,FILAMENTI_DB!$A:$J,8,FALSE)+(VLOOKUP(C277,STAMPANTI_DB!$A:$C,3,FALSE)/1000)*F277*SETTINGS!$C$6+F277*VLOOKUP(C277,STAMPANTI_DB!$A:$I,9,FALSE)+SETTINGS!$C$11,"" )</f>
        <v/>
      </c>
      <c r="M277" s="23" t="str">
        <f>IFERROR((E277*VLOOKUP(D277,FILAMENTI_DB!$A:$J,8,FALSE))+((VLOOKUP(C277,STAMPANTI_DB!$A:$C,3,FALSE)/1000)*F277*SETTINGS!$C$6)+(F277*VLOOKUP(C277,STAMPANTI_DB!$A:$I,9,FALSE)),"")</f>
        <v/>
      </c>
    </row>
    <row r="278" spans="8:13" x14ac:dyDescent="0.2">
      <c r="H278" t="str">
        <f>IFERROR(E278*VLOOKUP(D278,FILAMENTI_DB!$A:$J,8,FALSE)+(VLOOKUP(C278,STAMPANTI_DB!$A:$C,3,FALSE)/1000)*F278*SETTINGS!$C$6+F278*VLOOKUP(C278,STAMPANTI_DB!$A:$I,9,FALSE)+SETTINGS!$C$11,"" )</f>
        <v/>
      </c>
      <c r="M278" s="23" t="str">
        <f>IFERROR((E278*VLOOKUP(D278,FILAMENTI_DB!$A:$J,8,FALSE))+((VLOOKUP(C278,STAMPANTI_DB!$A:$C,3,FALSE)/1000)*F278*SETTINGS!$C$6)+(F278*VLOOKUP(C278,STAMPANTI_DB!$A:$I,9,FALSE)),"")</f>
        <v/>
      </c>
    </row>
    <row r="279" spans="8:13" x14ac:dyDescent="0.2">
      <c r="H279" t="str">
        <f>IFERROR(E279*VLOOKUP(D279,FILAMENTI_DB!$A:$J,8,FALSE)+(VLOOKUP(C279,STAMPANTI_DB!$A:$C,3,FALSE)/1000)*F279*SETTINGS!$C$6+F279*VLOOKUP(C279,STAMPANTI_DB!$A:$I,9,FALSE)+SETTINGS!$C$11,"" )</f>
        <v/>
      </c>
      <c r="M279" s="23" t="str">
        <f>IFERROR((E279*VLOOKUP(D279,FILAMENTI_DB!$A:$J,8,FALSE))+((VLOOKUP(C279,STAMPANTI_DB!$A:$C,3,FALSE)/1000)*F279*SETTINGS!$C$6)+(F279*VLOOKUP(C279,STAMPANTI_DB!$A:$I,9,FALSE)),"")</f>
        <v/>
      </c>
    </row>
    <row r="280" spans="8:13" x14ac:dyDescent="0.2">
      <c r="H280" t="str">
        <f>IFERROR(E280*VLOOKUP(D280,FILAMENTI_DB!$A:$J,8,FALSE)+(VLOOKUP(C280,STAMPANTI_DB!$A:$C,3,FALSE)/1000)*F280*SETTINGS!$C$6+F280*VLOOKUP(C280,STAMPANTI_DB!$A:$I,9,FALSE)+SETTINGS!$C$11,"" )</f>
        <v/>
      </c>
      <c r="M280" s="23" t="str">
        <f>IFERROR((E280*VLOOKUP(D280,FILAMENTI_DB!$A:$J,8,FALSE))+((VLOOKUP(C280,STAMPANTI_DB!$A:$C,3,FALSE)/1000)*F280*SETTINGS!$C$6)+(F280*VLOOKUP(C280,STAMPANTI_DB!$A:$I,9,FALSE)),"")</f>
        <v/>
      </c>
    </row>
    <row r="281" spans="8:13" x14ac:dyDescent="0.2">
      <c r="H281" t="str">
        <f>IFERROR(E281*VLOOKUP(D281,FILAMENTI_DB!$A:$J,8,FALSE)+(VLOOKUP(C281,STAMPANTI_DB!$A:$C,3,FALSE)/1000)*F281*SETTINGS!$C$6+F281*VLOOKUP(C281,STAMPANTI_DB!$A:$I,9,FALSE)+SETTINGS!$C$11,"" )</f>
        <v/>
      </c>
      <c r="M281" s="23" t="str">
        <f>IFERROR((E281*VLOOKUP(D281,FILAMENTI_DB!$A:$J,8,FALSE))+((VLOOKUP(C281,STAMPANTI_DB!$A:$C,3,FALSE)/1000)*F281*SETTINGS!$C$6)+(F281*VLOOKUP(C281,STAMPANTI_DB!$A:$I,9,FALSE)),"")</f>
        <v/>
      </c>
    </row>
    <row r="282" spans="8:13" x14ac:dyDescent="0.2">
      <c r="H282" t="str">
        <f>IFERROR(E282*VLOOKUP(D282,FILAMENTI_DB!$A:$J,8,FALSE)+(VLOOKUP(C282,STAMPANTI_DB!$A:$C,3,FALSE)/1000)*F282*SETTINGS!$C$6+F282*VLOOKUP(C282,STAMPANTI_DB!$A:$I,9,FALSE)+SETTINGS!$C$11,"" )</f>
        <v/>
      </c>
      <c r="M282" s="23" t="str">
        <f>IFERROR((E282*VLOOKUP(D282,FILAMENTI_DB!$A:$J,8,FALSE))+((VLOOKUP(C282,STAMPANTI_DB!$A:$C,3,FALSE)/1000)*F282*SETTINGS!$C$6)+(F282*VLOOKUP(C282,STAMPANTI_DB!$A:$I,9,FALSE)),"")</f>
        <v/>
      </c>
    </row>
    <row r="283" spans="8:13" x14ac:dyDescent="0.2">
      <c r="H283" t="str">
        <f>IFERROR(E283*VLOOKUP(D283,FILAMENTI_DB!$A:$J,8,FALSE)+(VLOOKUP(C283,STAMPANTI_DB!$A:$C,3,FALSE)/1000)*F283*SETTINGS!$C$6+F283*VLOOKUP(C283,STAMPANTI_DB!$A:$I,9,FALSE)+SETTINGS!$C$11,"" )</f>
        <v/>
      </c>
      <c r="M283" s="23" t="str">
        <f>IFERROR((E283*VLOOKUP(D283,FILAMENTI_DB!$A:$J,8,FALSE))+((VLOOKUP(C283,STAMPANTI_DB!$A:$C,3,FALSE)/1000)*F283*SETTINGS!$C$6)+(F283*VLOOKUP(C283,STAMPANTI_DB!$A:$I,9,FALSE)),"")</f>
        <v/>
      </c>
    </row>
    <row r="284" spans="8:13" x14ac:dyDescent="0.2">
      <c r="H284" t="str">
        <f>IFERROR(E284*VLOOKUP(D284,FILAMENTI_DB!$A:$J,8,FALSE)+(VLOOKUP(C284,STAMPANTI_DB!$A:$C,3,FALSE)/1000)*F284*SETTINGS!$C$6+F284*VLOOKUP(C284,STAMPANTI_DB!$A:$I,9,FALSE)+SETTINGS!$C$11,"" )</f>
        <v/>
      </c>
      <c r="M284" s="23" t="str">
        <f>IFERROR((E284*VLOOKUP(D284,FILAMENTI_DB!$A:$J,8,FALSE))+((VLOOKUP(C284,STAMPANTI_DB!$A:$C,3,FALSE)/1000)*F284*SETTINGS!$C$6)+(F284*VLOOKUP(C284,STAMPANTI_DB!$A:$I,9,FALSE)),"")</f>
        <v/>
      </c>
    </row>
    <row r="285" spans="8:13" x14ac:dyDescent="0.2">
      <c r="H285" t="str">
        <f>IFERROR(E285*VLOOKUP(D285,FILAMENTI_DB!$A:$J,8,FALSE)+(VLOOKUP(C285,STAMPANTI_DB!$A:$C,3,FALSE)/1000)*F285*SETTINGS!$C$6+F285*VLOOKUP(C285,STAMPANTI_DB!$A:$I,9,FALSE)+SETTINGS!$C$11,"" )</f>
        <v/>
      </c>
      <c r="M285" s="23" t="str">
        <f>IFERROR((E285*VLOOKUP(D285,FILAMENTI_DB!$A:$J,8,FALSE))+((VLOOKUP(C285,STAMPANTI_DB!$A:$C,3,FALSE)/1000)*F285*SETTINGS!$C$6)+(F285*VLOOKUP(C285,STAMPANTI_DB!$A:$I,9,FALSE)),"")</f>
        <v/>
      </c>
    </row>
    <row r="286" spans="8:13" x14ac:dyDescent="0.2">
      <c r="H286" t="str">
        <f>IFERROR(E286*VLOOKUP(D286,FILAMENTI_DB!$A:$J,8,FALSE)+(VLOOKUP(C286,STAMPANTI_DB!$A:$C,3,FALSE)/1000)*F286*SETTINGS!$C$6+F286*VLOOKUP(C286,STAMPANTI_DB!$A:$I,9,FALSE)+SETTINGS!$C$11,"" )</f>
        <v/>
      </c>
      <c r="M286" s="23" t="str">
        <f>IFERROR((E286*VLOOKUP(D286,FILAMENTI_DB!$A:$J,8,FALSE))+((VLOOKUP(C286,STAMPANTI_DB!$A:$C,3,FALSE)/1000)*F286*SETTINGS!$C$6)+(F286*VLOOKUP(C286,STAMPANTI_DB!$A:$I,9,FALSE)),"")</f>
        <v/>
      </c>
    </row>
    <row r="287" spans="8:13" x14ac:dyDescent="0.2">
      <c r="H287" t="str">
        <f>IFERROR(E287*VLOOKUP(D287,FILAMENTI_DB!$A:$J,8,FALSE)+(VLOOKUP(C287,STAMPANTI_DB!$A:$C,3,FALSE)/1000)*F287*SETTINGS!$C$6+F287*VLOOKUP(C287,STAMPANTI_DB!$A:$I,9,FALSE)+SETTINGS!$C$11,"" )</f>
        <v/>
      </c>
      <c r="M287" s="23" t="str">
        <f>IFERROR((E287*VLOOKUP(D287,FILAMENTI_DB!$A:$J,8,FALSE))+((VLOOKUP(C287,STAMPANTI_DB!$A:$C,3,FALSE)/1000)*F287*SETTINGS!$C$6)+(F287*VLOOKUP(C287,STAMPANTI_DB!$A:$I,9,FALSE)),"")</f>
        <v/>
      </c>
    </row>
    <row r="288" spans="8:13" x14ac:dyDescent="0.2">
      <c r="H288" t="str">
        <f>IFERROR(E288*VLOOKUP(D288,FILAMENTI_DB!$A:$J,8,FALSE)+(VLOOKUP(C288,STAMPANTI_DB!$A:$C,3,FALSE)/1000)*F288*SETTINGS!$C$6+F288*VLOOKUP(C288,STAMPANTI_DB!$A:$I,9,FALSE)+SETTINGS!$C$11,"" )</f>
        <v/>
      </c>
      <c r="M288" s="23" t="str">
        <f>IFERROR((E288*VLOOKUP(D288,FILAMENTI_DB!$A:$J,8,FALSE))+((VLOOKUP(C288,STAMPANTI_DB!$A:$C,3,FALSE)/1000)*F288*SETTINGS!$C$6)+(F288*VLOOKUP(C288,STAMPANTI_DB!$A:$I,9,FALSE)),"")</f>
        <v/>
      </c>
    </row>
    <row r="289" spans="8:13" x14ac:dyDescent="0.2">
      <c r="H289" t="str">
        <f>IFERROR(E289*VLOOKUP(D289,FILAMENTI_DB!$A:$J,8,FALSE)+(VLOOKUP(C289,STAMPANTI_DB!$A:$C,3,FALSE)/1000)*F289*SETTINGS!$C$6+F289*VLOOKUP(C289,STAMPANTI_DB!$A:$I,9,FALSE)+SETTINGS!$C$11,"" )</f>
        <v/>
      </c>
      <c r="M289" s="23" t="str">
        <f>IFERROR((E289*VLOOKUP(D289,FILAMENTI_DB!$A:$J,8,FALSE))+((VLOOKUP(C289,STAMPANTI_DB!$A:$C,3,FALSE)/1000)*F289*SETTINGS!$C$6)+(F289*VLOOKUP(C289,STAMPANTI_DB!$A:$I,9,FALSE)),"")</f>
        <v/>
      </c>
    </row>
    <row r="290" spans="8:13" x14ac:dyDescent="0.2">
      <c r="H290" t="str">
        <f>IFERROR(E290*VLOOKUP(D290,FILAMENTI_DB!$A:$J,8,FALSE)+(VLOOKUP(C290,STAMPANTI_DB!$A:$C,3,FALSE)/1000)*F290*SETTINGS!$C$6+F290*VLOOKUP(C290,STAMPANTI_DB!$A:$I,9,FALSE)+SETTINGS!$C$11,"" )</f>
        <v/>
      </c>
      <c r="M290" s="23" t="str">
        <f>IFERROR((E290*VLOOKUP(D290,FILAMENTI_DB!$A:$J,8,FALSE))+((VLOOKUP(C290,STAMPANTI_DB!$A:$C,3,FALSE)/1000)*F290*SETTINGS!$C$6)+(F290*VLOOKUP(C290,STAMPANTI_DB!$A:$I,9,FALSE)),"")</f>
        <v/>
      </c>
    </row>
    <row r="291" spans="8:13" x14ac:dyDescent="0.2">
      <c r="H291" t="str">
        <f>IFERROR(E291*VLOOKUP(D291,FILAMENTI_DB!$A:$J,8,FALSE)+(VLOOKUP(C291,STAMPANTI_DB!$A:$C,3,FALSE)/1000)*F291*SETTINGS!$C$6+F291*VLOOKUP(C291,STAMPANTI_DB!$A:$I,9,FALSE)+SETTINGS!$C$11,"" )</f>
        <v/>
      </c>
      <c r="M291" s="23" t="str">
        <f>IFERROR((E291*VLOOKUP(D291,FILAMENTI_DB!$A:$J,8,FALSE))+((VLOOKUP(C291,STAMPANTI_DB!$A:$C,3,FALSE)/1000)*F291*SETTINGS!$C$6)+(F291*VLOOKUP(C291,STAMPANTI_DB!$A:$I,9,FALSE)),"")</f>
        <v/>
      </c>
    </row>
    <row r="292" spans="8:13" x14ac:dyDescent="0.2">
      <c r="H292" t="str">
        <f>IFERROR(E292*VLOOKUP(D292,FILAMENTI_DB!$A:$J,8,FALSE)+(VLOOKUP(C292,STAMPANTI_DB!$A:$C,3,FALSE)/1000)*F292*SETTINGS!$C$6+F292*VLOOKUP(C292,STAMPANTI_DB!$A:$I,9,FALSE)+SETTINGS!$C$11,"" )</f>
        <v/>
      </c>
      <c r="M292" s="23" t="str">
        <f>IFERROR((E292*VLOOKUP(D292,FILAMENTI_DB!$A:$J,8,FALSE))+((VLOOKUP(C292,STAMPANTI_DB!$A:$C,3,FALSE)/1000)*F292*SETTINGS!$C$6)+(F292*VLOOKUP(C292,STAMPANTI_DB!$A:$I,9,FALSE)),"")</f>
        <v/>
      </c>
    </row>
    <row r="293" spans="8:13" x14ac:dyDescent="0.2">
      <c r="H293" t="str">
        <f>IFERROR(E293*VLOOKUP(D293,FILAMENTI_DB!$A:$J,8,FALSE)+(VLOOKUP(C293,STAMPANTI_DB!$A:$C,3,FALSE)/1000)*F293*SETTINGS!$C$6+F293*VLOOKUP(C293,STAMPANTI_DB!$A:$I,9,FALSE)+SETTINGS!$C$11,"" )</f>
        <v/>
      </c>
      <c r="M293" s="23" t="str">
        <f>IFERROR((E293*VLOOKUP(D293,FILAMENTI_DB!$A:$J,8,FALSE))+((VLOOKUP(C293,STAMPANTI_DB!$A:$C,3,FALSE)/1000)*F293*SETTINGS!$C$6)+(F293*VLOOKUP(C293,STAMPANTI_DB!$A:$I,9,FALSE)),"")</f>
        <v/>
      </c>
    </row>
    <row r="294" spans="8:13" x14ac:dyDescent="0.2">
      <c r="H294" t="str">
        <f>IFERROR(E294*VLOOKUP(D294,FILAMENTI_DB!$A:$J,8,FALSE)+(VLOOKUP(C294,STAMPANTI_DB!$A:$C,3,FALSE)/1000)*F294*SETTINGS!$C$6+F294*VLOOKUP(C294,STAMPANTI_DB!$A:$I,9,FALSE)+SETTINGS!$C$11,"" )</f>
        <v/>
      </c>
      <c r="M294" s="23" t="str">
        <f>IFERROR((E294*VLOOKUP(D294,FILAMENTI_DB!$A:$J,8,FALSE))+((VLOOKUP(C294,STAMPANTI_DB!$A:$C,3,FALSE)/1000)*F294*SETTINGS!$C$6)+(F294*VLOOKUP(C294,STAMPANTI_DB!$A:$I,9,FALSE)),"")</f>
        <v/>
      </c>
    </row>
    <row r="295" spans="8:13" x14ac:dyDescent="0.2">
      <c r="H295" t="str">
        <f>IFERROR(E295*VLOOKUP(D295,FILAMENTI_DB!$A:$J,8,FALSE)+(VLOOKUP(C295,STAMPANTI_DB!$A:$C,3,FALSE)/1000)*F295*SETTINGS!$C$6+F295*VLOOKUP(C295,STAMPANTI_DB!$A:$I,9,FALSE)+SETTINGS!$C$11,"" )</f>
        <v/>
      </c>
      <c r="M295" s="23" t="str">
        <f>IFERROR((E295*VLOOKUP(D295,FILAMENTI_DB!$A:$J,8,FALSE))+((VLOOKUP(C295,STAMPANTI_DB!$A:$C,3,FALSE)/1000)*F295*SETTINGS!$C$6)+(F295*VLOOKUP(C295,STAMPANTI_DB!$A:$I,9,FALSE)),"")</f>
        <v/>
      </c>
    </row>
    <row r="296" spans="8:13" x14ac:dyDescent="0.2">
      <c r="H296" t="str">
        <f>IFERROR(E296*VLOOKUP(D296,FILAMENTI_DB!$A:$J,8,FALSE)+(VLOOKUP(C296,STAMPANTI_DB!$A:$C,3,FALSE)/1000)*F296*SETTINGS!$C$6+F296*VLOOKUP(C296,STAMPANTI_DB!$A:$I,9,FALSE)+SETTINGS!$C$11,"" )</f>
        <v/>
      </c>
      <c r="M296" s="23" t="str">
        <f>IFERROR((E296*VLOOKUP(D296,FILAMENTI_DB!$A:$J,8,FALSE))+((VLOOKUP(C296,STAMPANTI_DB!$A:$C,3,FALSE)/1000)*F296*SETTINGS!$C$6)+(F296*VLOOKUP(C296,STAMPANTI_DB!$A:$I,9,FALSE)),"")</f>
        <v/>
      </c>
    </row>
    <row r="297" spans="8:13" x14ac:dyDescent="0.2">
      <c r="H297" t="str">
        <f>IFERROR(E297*VLOOKUP(D297,FILAMENTI_DB!$A:$J,8,FALSE)+(VLOOKUP(C297,STAMPANTI_DB!$A:$C,3,FALSE)/1000)*F297*SETTINGS!$C$6+F297*VLOOKUP(C297,STAMPANTI_DB!$A:$I,9,FALSE)+SETTINGS!$C$11,"" )</f>
        <v/>
      </c>
      <c r="M297" s="23" t="str">
        <f>IFERROR((E297*VLOOKUP(D297,FILAMENTI_DB!$A:$J,8,FALSE))+((VLOOKUP(C297,STAMPANTI_DB!$A:$C,3,FALSE)/1000)*F297*SETTINGS!$C$6)+(F297*VLOOKUP(C297,STAMPANTI_DB!$A:$I,9,FALSE)),"")</f>
        <v/>
      </c>
    </row>
    <row r="298" spans="8:13" x14ac:dyDescent="0.2">
      <c r="H298" t="str">
        <f>IFERROR(E298*VLOOKUP(D298,FILAMENTI_DB!$A:$J,8,FALSE)+(VLOOKUP(C298,STAMPANTI_DB!$A:$C,3,FALSE)/1000)*F298*SETTINGS!$C$6+F298*VLOOKUP(C298,STAMPANTI_DB!$A:$I,9,FALSE)+SETTINGS!$C$11,"" )</f>
        <v/>
      </c>
      <c r="M298" s="23" t="str">
        <f>IFERROR((E298*VLOOKUP(D298,FILAMENTI_DB!$A:$J,8,FALSE))+((VLOOKUP(C298,STAMPANTI_DB!$A:$C,3,FALSE)/1000)*F298*SETTINGS!$C$6)+(F298*VLOOKUP(C298,STAMPANTI_DB!$A:$I,9,FALSE)),"")</f>
        <v/>
      </c>
    </row>
    <row r="299" spans="8:13" x14ac:dyDescent="0.2">
      <c r="H299" t="str">
        <f>IFERROR(E299*VLOOKUP(D299,FILAMENTI_DB!$A:$J,8,FALSE)+(VLOOKUP(C299,STAMPANTI_DB!$A:$C,3,FALSE)/1000)*F299*SETTINGS!$C$6+F299*VLOOKUP(C299,STAMPANTI_DB!$A:$I,9,FALSE)+SETTINGS!$C$11,"" )</f>
        <v/>
      </c>
      <c r="M299" s="23" t="str">
        <f>IFERROR((E299*VLOOKUP(D299,FILAMENTI_DB!$A:$J,8,FALSE))+((VLOOKUP(C299,STAMPANTI_DB!$A:$C,3,FALSE)/1000)*F299*SETTINGS!$C$6)+(F299*VLOOKUP(C299,STAMPANTI_DB!$A:$I,9,FALSE)),"")</f>
        <v/>
      </c>
    </row>
    <row r="300" spans="8:13" x14ac:dyDescent="0.2">
      <c r="H300" t="str">
        <f>IFERROR(E300*VLOOKUP(D300,FILAMENTI_DB!$A:$J,8,FALSE)+(VLOOKUP(C300,STAMPANTI_DB!$A:$C,3,FALSE)/1000)*F300*SETTINGS!$C$6+F300*VLOOKUP(C300,STAMPANTI_DB!$A:$I,9,FALSE)+SETTINGS!$C$11,"" )</f>
        <v/>
      </c>
      <c r="M300" s="23" t="str">
        <f>IFERROR((E300*VLOOKUP(D300,FILAMENTI_DB!$A:$J,8,FALSE))+((VLOOKUP(C300,STAMPANTI_DB!$A:$C,3,FALSE)/1000)*F300*SETTINGS!$C$6)+(F300*VLOOKUP(C300,STAMPANTI_DB!$A:$I,9,FALSE)),"")</f>
        <v/>
      </c>
    </row>
    <row r="301" spans="8:13" x14ac:dyDescent="0.2">
      <c r="H301" t="str">
        <f>IFERROR(E301*VLOOKUP(D301,FILAMENTI_DB!$A:$J,8,FALSE)+(VLOOKUP(C301,STAMPANTI_DB!$A:$C,3,FALSE)/1000)*F301*SETTINGS!$C$6+F301*VLOOKUP(C301,STAMPANTI_DB!$A:$I,9,FALSE)+SETTINGS!$C$11,"" )</f>
        <v/>
      </c>
      <c r="M301" s="23" t="str">
        <f>IFERROR((E301*VLOOKUP(D301,FILAMENTI_DB!$A:$J,8,FALSE))+((VLOOKUP(C301,STAMPANTI_DB!$A:$C,3,FALSE)/1000)*F301*SETTINGS!$C$6)+(F301*VLOOKUP(C301,STAMPANTI_DB!$A:$I,9,FALSE)),"")</f>
        <v/>
      </c>
    </row>
    <row r="302" spans="8:13" x14ac:dyDescent="0.2">
      <c r="H302" t="str">
        <f>IFERROR(E302*VLOOKUP(D302,FILAMENTI_DB!$A:$J,8,FALSE)+(VLOOKUP(C302,STAMPANTI_DB!$A:$C,3,FALSE)/1000)*F302*SETTINGS!$C$6+F302*VLOOKUP(C302,STAMPANTI_DB!$A:$I,9,FALSE)+SETTINGS!$C$11,"" )</f>
        <v/>
      </c>
      <c r="M302" s="23" t="str">
        <f>IFERROR((E302*VLOOKUP(D302,FILAMENTI_DB!$A:$J,8,FALSE))+((VLOOKUP(C302,STAMPANTI_DB!$A:$C,3,FALSE)/1000)*F302*SETTINGS!$C$6)+(F302*VLOOKUP(C302,STAMPANTI_DB!$A:$I,9,FALSE)),"")</f>
        <v/>
      </c>
    </row>
    <row r="303" spans="8:13" x14ac:dyDescent="0.2">
      <c r="H303" t="str">
        <f>IFERROR(E303*VLOOKUP(D303,FILAMENTI_DB!$A:$J,8,FALSE)+(VLOOKUP(C303,STAMPANTI_DB!$A:$C,3,FALSE)/1000)*F303*SETTINGS!$C$6+F303*VLOOKUP(C303,STAMPANTI_DB!$A:$I,9,FALSE)+SETTINGS!$C$11,"" )</f>
        <v/>
      </c>
      <c r="M303" s="23" t="str">
        <f>IFERROR((E303*VLOOKUP(D303,FILAMENTI_DB!$A:$J,8,FALSE))+((VLOOKUP(C303,STAMPANTI_DB!$A:$C,3,FALSE)/1000)*F303*SETTINGS!$C$6)+(F303*VLOOKUP(C303,STAMPANTI_DB!$A:$I,9,FALSE)),"")</f>
        <v/>
      </c>
    </row>
    <row r="304" spans="8:13" x14ac:dyDescent="0.2">
      <c r="H304" t="str">
        <f>IFERROR(E304*VLOOKUP(D304,FILAMENTI_DB!$A:$J,8,FALSE)+(VLOOKUP(C304,STAMPANTI_DB!$A:$C,3,FALSE)/1000)*F304*SETTINGS!$C$6+F304*VLOOKUP(C304,STAMPANTI_DB!$A:$I,9,FALSE)+SETTINGS!$C$11,"" )</f>
        <v/>
      </c>
      <c r="M304" s="23" t="str">
        <f>IFERROR((E304*VLOOKUP(D304,FILAMENTI_DB!$A:$J,8,FALSE))+((VLOOKUP(C304,STAMPANTI_DB!$A:$C,3,FALSE)/1000)*F304*SETTINGS!$C$6)+(F304*VLOOKUP(C304,STAMPANTI_DB!$A:$I,9,FALSE)),"")</f>
        <v/>
      </c>
    </row>
    <row r="305" spans="8:13" x14ac:dyDescent="0.2">
      <c r="H305" t="str">
        <f>IFERROR(E305*VLOOKUP(D305,FILAMENTI_DB!$A:$J,8,FALSE)+(VLOOKUP(C305,STAMPANTI_DB!$A:$C,3,FALSE)/1000)*F305*SETTINGS!$C$6+F305*VLOOKUP(C305,STAMPANTI_DB!$A:$I,9,FALSE)+SETTINGS!$C$11,"" )</f>
        <v/>
      </c>
      <c r="M305" s="23" t="str">
        <f>IFERROR((E305*VLOOKUP(D305,FILAMENTI_DB!$A:$J,8,FALSE))+((VLOOKUP(C305,STAMPANTI_DB!$A:$C,3,FALSE)/1000)*F305*SETTINGS!$C$6)+(F305*VLOOKUP(C305,STAMPANTI_DB!$A:$I,9,FALSE)),"")</f>
        <v/>
      </c>
    </row>
    <row r="306" spans="8:13" x14ac:dyDescent="0.2">
      <c r="H306" t="str">
        <f>IFERROR(E306*VLOOKUP(D306,FILAMENTI_DB!$A:$J,8,FALSE)+(VLOOKUP(C306,STAMPANTI_DB!$A:$C,3,FALSE)/1000)*F306*SETTINGS!$C$6+F306*VLOOKUP(C306,STAMPANTI_DB!$A:$I,9,FALSE)+SETTINGS!$C$11,"" )</f>
        <v/>
      </c>
      <c r="M306" s="23" t="str">
        <f>IFERROR((E306*VLOOKUP(D306,FILAMENTI_DB!$A:$J,8,FALSE))+((VLOOKUP(C306,STAMPANTI_DB!$A:$C,3,FALSE)/1000)*F306*SETTINGS!$C$6)+(F306*VLOOKUP(C306,STAMPANTI_DB!$A:$I,9,FALSE)),"")</f>
        <v/>
      </c>
    </row>
    <row r="307" spans="8:13" x14ac:dyDescent="0.2">
      <c r="H307" t="str">
        <f>IFERROR(E307*VLOOKUP(D307,FILAMENTI_DB!$A:$J,8,FALSE)+(VLOOKUP(C307,STAMPANTI_DB!$A:$C,3,FALSE)/1000)*F307*SETTINGS!$C$6+F307*VLOOKUP(C307,STAMPANTI_DB!$A:$I,9,FALSE)+SETTINGS!$C$11,"" )</f>
        <v/>
      </c>
      <c r="M307" s="23" t="str">
        <f>IFERROR((E307*VLOOKUP(D307,FILAMENTI_DB!$A:$J,8,FALSE))+((VLOOKUP(C307,STAMPANTI_DB!$A:$C,3,FALSE)/1000)*F307*SETTINGS!$C$6)+(F307*VLOOKUP(C307,STAMPANTI_DB!$A:$I,9,FALSE)),"")</f>
        <v/>
      </c>
    </row>
    <row r="308" spans="8:13" x14ac:dyDescent="0.2">
      <c r="H308" t="str">
        <f>IFERROR(E308*VLOOKUP(D308,FILAMENTI_DB!$A:$J,8,FALSE)+(VLOOKUP(C308,STAMPANTI_DB!$A:$C,3,FALSE)/1000)*F308*SETTINGS!$C$6+F308*VLOOKUP(C308,STAMPANTI_DB!$A:$I,9,FALSE)+SETTINGS!$C$11,"" )</f>
        <v/>
      </c>
      <c r="M308" s="23" t="str">
        <f>IFERROR((E308*VLOOKUP(D308,FILAMENTI_DB!$A:$J,8,FALSE))+((VLOOKUP(C308,STAMPANTI_DB!$A:$C,3,FALSE)/1000)*F308*SETTINGS!$C$6)+(F308*VLOOKUP(C308,STAMPANTI_DB!$A:$I,9,FALSE)),"")</f>
        <v/>
      </c>
    </row>
    <row r="309" spans="8:13" x14ac:dyDescent="0.2">
      <c r="H309" t="str">
        <f>IFERROR(E309*VLOOKUP(D309,FILAMENTI_DB!$A:$J,8,FALSE)+(VLOOKUP(C309,STAMPANTI_DB!$A:$C,3,FALSE)/1000)*F309*SETTINGS!$C$6+F309*VLOOKUP(C309,STAMPANTI_DB!$A:$I,9,FALSE)+SETTINGS!$C$11,"" )</f>
        <v/>
      </c>
      <c r="M309" s="23" t="str">
        <f>IFERROR((E309*VLOOKUP(D309,FILAMENTI_DB!$A:$J,8,FALSE))+((VLOOKUP(C309,STAMPANTI_DB!$A:$C,3,FALSE)/1000)*F309*SETTINGS!$C$6)+(F309*VLOOKUP(C309,STAMPANTI_DB!$A:$I,9,FALSE)),"")</f>
        <v/>
      </c>
    </row>
    <row r="310" spans="8:13" x14ac:dyDescent="0.2">
      <c r="H310" t="str">
        <f>IFERROR(E310*VLOOKUP(D310,FILAMENTI_DB!$A:$J,8,FALSE)+(VLOOKUP(C310,STAMPANTI_DB!$A:$C,3,FALSE)/1000)*F310*SETTINGS!$C$6+F310*VLOOKUP(C310,STAMPANTI_DB!$A:$I,9,FALSE)+SETTINGS!$C$11,"" )</f>
        <v/>
      </c>
      <c r="M310" s="23" t="str">
        <f>IFERROR((E310*VLOOKUP(D310,FILAMENTI_DB!$A:$J,8,FALSE))+((VLOOKUP(C310,STAMPANTI_DB!$A:$C,3,FALSE)/1000)*F310*SETTINGS!$C$6)+(F310*VLOOKUP(C310,STAMPANTI_DB!$A:$I,9,FALSE)),"")</f>
        <v/>
      </c>
    </row>
    <row r="311" spans="8:13" x14ac:dyDescent="0.2">
      <c r="H311" t="str">
        <f>IFERROR(E311*VLOOKUP(D311,FILAMENTI_DB!$A:$J,8,FALSE)+(VLOOKUP(C311,STAMPANTI_DB!$A:$C,3,FALSE)/1000)*F311*SETTINGS!$C$6+F311*VLOOKUP(C311,STAMPANTI_DB!$A:$I,9,FALSE)+SETTINGS!$C$11,"" )</f>
        <v/>
      </c>
      <c r="M311" s="23" t="str">
        <f>IFERROR((E311*VLOOKUP(D311,FILAMENTI_DB!$A:$J,8,FALSE))+((VLOOKUP(C311,STAMPANTI_DB!$A:$C,3,FALSE)/1000)*F311*SETTINGS!$C$6)+(F311*VLOOKUP(C311,STAMPANTI_DB!$A:$I,9,FALSE)),"")</f>
        <v/>
      </c>
    </row>
    <row r="312" spans="8:13" x14ac:dyDescent="0.2">
      <c r="H312" t="str">
        <f>IFERROR(E312*VLOOKUP(D312,FILAMENTI_DB!$A:$J,8,FALSE)+(VLOOKUP(C312,STAMPANTI_DB!$A:$C,3,FALSE)/1000)*F312*SETTINGS!$C$6+F312*VLOOKUP(C312,STAMPANTI_DB!$A:$I,9,FALSE)+SETTINGS!$C$11,"" )</f>
        <v/>
      </c>
      <c r="M312" s="23" t="str">
        <f>IFERROR((E312*VLOOKUP(D312,FILAMENTI_DB!$A:$J,8,FALSE))+((VLOOKUP(C312,STAMPANTI_DB!$A:$C,3,FALSE)/1000)*F312*SETTINGS!$C$6)+(F312*VLOOKUP(C312,STAMPANTI_DB!$A:$I,9,FALSE)),"")</f>
        <v/>
      </c>
    </row>
    <row r="313" spans="8:13" x14ac:dyDescent="0.2">
      <c r="H313" t="str">
        <f>IFERROR(E313*VLOOKUP(D313,FILAMENTI_DB!$A:$J,8,FALSE)+(VLOOKUP(C313,STAMPANTI_DB!$A:$C,3,FALSE)/1000)*F313*SETTINGS!$C$6+F313*VLOOKUP(C313,STAMPANTI_DB!$A:$I,9,FALSE)+SETTINGS!$C$11,"" )</f>
        <v/>
      </c>
      <c r="M313" s="23" t="str">
        <f>IFERROR((E313*VLOOKUP(D313,FILAMENTI_DB!$A:$J,8,FALSE))+((VLOOKUP(C313,STAMPANTI_DB!$A:$C,3,FALSE)/1000)*F313*SETTINGS!$C$6)+(F313*VLOOKUP(C313,STAMPANTI_DB!$A:$I,9,FALSE)),"")</f>
        <v/>
      </c>
    </row>
    <row r="314" spans="8:13" x14ac:dyDescent="0.2">
      <c r="H314" t="str">
        <f>IFERROR(E314*VLOOKUP(D314,FILAMENTI_DB!$A:$J,8,FALSE)+(VLOOKUP(C314,STAMPANTI_DB!$A:$C,3,FALSE)/1000)*F314*SETTINGS!$C$6+F314*VLOOKUP(C314,STAMPANTI_DB!$A:$I,9,FALSE)+SETTINGS!$C$11,"" )</f>
        <v/>
      </c>
      <c r="M314" s="23" t="str">
        <f>IFERROR((E314*VLOOKUP(D314,FILAMENTI_DB!$A:$J,8,FALSE))+((VLOOKUP(C314,STAMPANTI_DB!$A:$C,3,FALSE)/1000)*F314*SETTINGS!$C$6)+(F314*VLOOKUP(C314,STAMPANTI_DB!$A:$I,9,FALSE)),"")</f>
        <v/>
      </c>
    </row>
    <row r="315" spans="8:13" x14ac:dyDescent="0.2">
      <c r="H315" t="str">
        <f>IFERROR(E315*VLOOKUP(D315,FILAMENTI_DB!$A:$J,8,FALSE)+(VLOOKUP(C315,STAMPANTI_DB!$A:$C,3,FALSE)/1000)*F315*SETTINGS!$C$6+F315*VLOOKUP(C315,STAMPANTI_DB!$A:$I,9,FALSE)+SETTINGS!$C$11,"" )</f>
        <v/>
      </c>
      <c r="M315" s="23" t="str">
        <f>IFERROR((E315*VLOOKUP(D315,FILAMENTI_DB!$A:$J,8,FALSE))+((VLOOKUP(C315,STAMPANTI_DB!$A:$C,3,FALSE)/1000)*F315*SETTINGS!$C$6)+(F315*VLOOKUP(C315,STAMPANTI_DB!$A:$I,9,FALSE)),"")</f>
        <v/>
      </c>
    </row>
    <row r="316" spans="8:13" x14ac:dyDescent="0.2">
      <c r="H316" t="str">
        <f>IFERROR(E316*VLOOKUP(D316,FILAMENTI_DB!$A:$J,8,FALSE)+(VLOOKUP(C316,STAMPANTI_DB!$A:$C,3,FALSE)/1000)*F316*SETTINGS!$C$6+F316*VLOOKUP(C316,STAMPANTI_DB!$A:$I,9,FALSE)+SETTINGS!$C$11,"" )</f>
        <v/>
      </c>
      <c r="M316" s="23" t="str">
        <f>IFERROR((E316*VLOOKUP(D316,FILAMENTI_DB!$A:$J,8,FALSE))+((VLOOKUP(C316,STAMPANTI_DB!$A:$C,3,FALSE)/1000)*F316*SETTINGS!$C$6)+(F316*VLOOKUP(C316,STAMPANTI_DB!$A:$I,9,FALSE)),"")</f>
        <v/>
      </c>
    </row>
    <row r="317" spans="8:13" x14ac:dyDescent="0.2">
      <c r="H317" t="str">
        <f>IFERROR(E317*VLOOKUP(D317,FILAMENTI_DB!$A:$J,8,FALSE)+(VLOOKUP(C317,STAMPANTI_DB!$A:$C,3,FALSE)/1000)*F317*SETTINGS!$C$6+F317*VLOOKUP(C317,STAMPANTI_DB!$A:$I,9,FALSE)+SETTINGS!$C$11,"" )</f>
        <v/>
      </c>
      <c r="M317" s="23" t="str">
        <f>IFERROR((E317*VLOOKUP(D317,FILAMENTI_DB!$A:$J,8,FALSE))+((VLOOKUP(C317,STAMPANTI_DB!$A:$C,3,FALSE)/1000)*F317*SETTINGS!$C$6)+(F317*VLOOKUP(C317,STAMPANTI_DB!$A:$I,9,FALSE)),"")</f>
        <v/>
      </c>
    </row>
    <row r="318" spans="8:13" x14ac:dyDescent="0.2">
      <c r="H318" t="str">
        <f>IFERROR(E318*VLOOKUP(D318,FILAMENTI_DB!$A:$J,8,FALSE)+(VLOOKUP(C318,STAMPANTI_DB!$A:$C,3,FALSE)/1000)*F318*SETTINGS!$C$6+F318*VLOOKUP(C318,STAMPANTI_DB!$A:$I,9,FALSE)+SETTINGS!$C$11,"" )</f>
        <v/>
      </c>
      <c r="M318" s="23" t="str">
        <f>IFERROR((E318*VLOOKUP(D318,FILAMENTI_DB!$A:$J,8,FALSE))+((VLOOKUP(C318,STAMPANTI_DB!$A:$C,3,FALSE)/1000)*F318*SETTINGS!$C$6)+(F318*VLOOKUP(C318,STAMPANTI_DB!$A:$I,9,FALSE)),"")</f>
        <v/>
      </c>
    </row>
    <row r="319" spans="8:13" x14ac:dyDescent="0.2">
      <c r="H319" t="str">
        <f>IFERROR(E319*VLOOKUP(D319,FILAMENTI_DB!$A:$J,8,FALSE)+(VLOOKUP(C319,STAMPANTI_DB!$A:$C,3,FALSE)/1000)*F319*SETTINGS!$C$6+F319*VLOOKUP(C319,STAMPANTI_DB!$A:$I,9,FALSE)+SETTINGS!$C$11,"" )</f>
        <v/>
      </c>
      <c r="M319" s="23" t="str">
        <f>IFERROR((E319*VLOOKUP(D319,FILAMENTI_DB!$A:$J,8,FALSE))+((VLOOKUP(C319,STAMPANTI_DB!$A:$C,3,FALSE)/1000)*F319*SETTINGS!$C$6)+(F319*VLOOKUP(C319,STAMPANTI_DB!$A:$I,9,FALSE)),"")</f>
        <v/>
      </c>
    </row>
    <row r="320" spans="8:13" x14ac:dyDescent="0.2">
      <c r="H320" t="str">
        <f>IFERROR(E320*VLOOKUP(D320,FILAMENTI_DB!$A:$J,8,FALSE)+(VLOOKUP(C320,STAMPANTI_DB!$A:$C,3,FALSE)/1000)*F320*SETTINGS!$C$6+F320*VLOOKUP(C320,STAMPANTI_DB!$A:$I,9,FALSE)+SETTINGS!$C$11,"" )</f>
        <v/>
      </c>
      <c r="M320" s="23" t="str">
        <f>IFERROR((E320*VLOOKUP(D320,FILAMENTI_DB!$A:$J,8,FALSE))+((VLOOKUP(C320,STAMPANTI_DB!$A:$C,3,FALSE)/1000)*F320*SETTINGS!$C$6)+(F320*VLOOKUP(C320,STAMPANTI_DB!$A:$I,9,FALSE)),"")</f>
        <v/>
      </c>
    </row>
    <row r="321" spans="8:13" x14ac:dyDescent="0.2">
      <c r="H321" t="str">
        <f>IFERROR(E321*VLOOKUP(D321,FILAMENTI_DB!$A:$J,8,FALSE)+(VLOOKUP(C321,STAMPANTI_DB!$A:$C,3,FALSE)/1000)*F321*SETTINGS!$C$6+F321*VLOOKUP(C321,STAMPANTI_DB!$A:$I,9,FALSE)+SETTINGS!$C$11,"" )</f>
        <v/>
      </c>
      <c r="M321" s="23" t="str">
        <f>IFERROR((E321*VLOOKUP(D321,FILAMENTI_DB!$A:$J,8,FALSE))+((VLOOKUP(C321,STAMPANTI_DB!$A:$C,3,FALSE)/1000)*F321*SETTINGS!$C$6)+(F321*VLOOKUP(C321,STAMPANTI_DB!$A:$I,9,FALSE)),"")</f>
        <v/>
      </c>
    </row>
    <row r="322" spans="8:13" x14ac:dyDescent="0.2">
      <c r="H322" t="str">
        <f>IFERROR(E322*VLOOKUP(D322,FILAMENTI_DB!$A:$J,8,FALSE)+(VLOOKUP(C322,STAMPANTI_DB!$A:$C,3,FALSE)/1000)*F322*SETTINGS!$C$6+F322*VLOOKUP(C322,STAMPANTI_DB!$A:$I,9,FALSE)+SETTINGS!$C$11,"" )</f>
        <v/>
      </c>
      <c r="M322" s="23" t="str">
        <f>IFERROR((E322*VLOOKUP(D322,FILAMENTI_DB!$A:$J,8,FALSE))+((VLOOKUP(C322,STAMPANTI_DB!$A:$C,3,FALSE)/1000)*F322*SETTINGS!$C$6)+(F322*VLOOKUP(C322,STAMPANTI_DB!$A:$I,9,FALSE)),"")</f>
        <v/>
      </c>
    </row>
    <row r="323" spans="8:13" x14ac:dyDescent="0.2">
      <c r="H323" t="str">
        <f>IFERROR(E323*VLOOKUP(D323,FILAMENTI_DB!$A:$J,8,FALSE)+(VLOOKUP(C323,STAMPANTI_DB!$A:$C,3,FALSE)/1000)*F323*SETTINGS!$C$6+F323*VLOOKUP(C323,STAMPANTI_DB!$A:$I,9,FALSE)+SETTINGS!$C$11,"" )</f>
        <v/>
      </c>
      <c r="M323" s="23" t="str">
        <f>IFERROR((E323*VLOOKUP(D323,FILAMENTI_DB!$A:$J,8,FALSE))+((VLOOKUP(C323,STAMPANTI_DB!$A:$C,3,FALSE)/1000)*F323*SETTINGS!$C$6)+(F323*VLOOKUP(C323,STAMPANTI_DB!$A:$I,9,FALSE)),"")</f>
        <v/>
      </c>
    </row>
    <row r="324" spans="8:13" x14ac:dyDescent="0.2">
      <c r="H324" t="str">
        <f>IFERROR(E324*VLOOKUP(D324,FILAMENTI_DB!$A:$J,8,FALSE)+(VLOOKUP(C324,STAMPANTI_DB!$A:$C,3,FALSE)/1000)*F324*SETTINGS!$C$6+F324*VLOOKUP(C324,STAMPANTI_DB!$A:$I,9,FALSE)+SETTINGS!$C$11,"" )</f>
        <v/>
      </c>
      <c r="M324" s="23" t="str">
        <f>IFERROR((E324*VLOOKUP(D324,FILAMENTI_DB!$A:$J,8,FALSE))+((VLOOKUP(C324,STAMPANTI_DB!$A:$C,3,FALSE)/1000)*F324*SETTINGS!$C$6)+(F324*VLOOKUP(C324,STAMPANTI_DB!$A:$I,9,FALSE)),"")</f>
        <v/>
      </c>
    </row>
    <row r="325" spans="8:13" x14ac:dyDescent="0.2">
      <c r="H325" t="str">
        <f>IFERROR(E325*VLOOKUP(D325,FILAMENTI_DB!$A:$J,8,FALSE)+(VLOOKUP(C325,STAMPANTI_DB!$A:$C,3,FALSE)/1000)*F325*SETTINGS!$C$6+F325*VLOOKUP(C325,STAMPANTI_DB!$A:$I,9,FALSE)+SETTINGS!$C$11,"" )</f>
        <v/>
      </c>
      <c r="M325" s="23" t="str">
        <f>IFERROR((E325*VLOOKUP(D325,FILAMENTI_DB!$A:$J,8,FALSE))+((VLOOKUP(C325,STAMPANTI_DB!$A:$C,3,FALSE)/1000)*F325*SETTINGS!$C$6)+(F325*VLOOKUP(C325,STAMPANTI_DB!$A:$I,9,FALSE)),"")</f>
        <v/>
      </c>
    </row>
    <row r="326" spans="8:13" x14ac:dyDescent="0.2">
      <c r="H326" t="str">
        <f>IFERROR(E326*VLOOKUP(D326,FILAMENTI_DB!$A:$J,8,FALSE)+(VLOOKUP(C326,STAMPANTI_DB!$A:$C,3,FALSE)/1000)*F326*SETTINGS!$C$6+F326*VLOOKUP(C326,STAMPANTI_DB!$A:$I,9,FALSE)+SETTINGS!$C$11,"" )</f>
        <v/>
      </c>
      <c r="M326" s="23" t="str">
        <f>IFERROR((E326*VLOOKUP(D326,FILAMENTI_DB!$A:$J,8,FALSE))+((VLOOKUP(C326,STAMPANTI_DB!$A:$C,3,FALSE)/1000)*F326*SETTINGS!$C$6)+(F326*VLOOKUP(C326,STAMPANTI_DB!$A:$I,9,FALSE)),"")</f>
        <v/>
      </c>
    </row>
    <row r="327" spans="8:13" x14ac:dyDescent="0.2">
      <c r="H327" t="str">
        <f>IFERROR(E327*VLOOKUP(D327,FILAMENTI_DB!$A:$J,8,FALSE)+(VLOOKUP(C327,STAMPANTI_DB!$A:$C,3,FALSE)/1000)*F327*SETTINGS!$C$6+F327*VLOOKUP(C327,STAMPANTI_DB!$A:$I,9,FALSE)+SETTINGS!$C$11,"" )</f>
        <v/>
      </c>
      <c r="M327" s="23" t="str">
        <f>IFERROR((E327*VLOOKUP(D327,FILAMENTI_DB!$A:$J,8,FALSE))+((VLOOKUP(C327,STAMPANTI_DB!$A:$C,3,FALSE)/1000)*F327*SETTINGS!$C$6)+(F327*VLOOKUP(C327,STAMPANTI_DB!$A:$I,9,FALSE)),"")</f>
        <v/>
      </c>
    </row>
    <row r="328" spans="8:13" x14ac:dyDescent="0.2">
      <c r="H328" t="str">
        <f>IFERROR(E328*VLOOKUP(D328,FILAMENTI_DB!$A:$J,8,FALSE)+(VLOOKUP(C328,STAMPANTI_DB!$A:$C,3,FALSE)/1000)*F328*SETTINGS!$C$6+F328*VLOOKUP(C328,STAMPANTI_DB!$A:$I,9,FALSE)+SETTINGS!$C$11,"" )</f>
        <v/>
      </c>
      <c r="M328" s="23" t="str">
        <f>IFERROR((E328*VLOOKUP(D328,FILAMENTI_DB!$A:$J,8,FALSE))+((VLOOKUP(C328,STAMPANTI_DB!$A:$C,3,FALSE)/1000)*F328*SETTINGS!$C$6)+(F328*VLOOKUP(C328,STAMPANTI_DB!$A:$I,9,FALSE)),"")</f>
        <v/>
      </c>
    </row>
    <row r="329" spans="8:13" x14ac:dyDescent="0.2">
      <c r="H329" t="str">
        <f>IFERROR(E329*VLOOKUP(D329,FILAMENTI_DB!$A:$J,8,FALSE)+(VLOOKUP(C329,STAMPANTI_DB!$A:$C,3,FALSE)/1000)*F329*SETTINGS!$C$6+F329*VLOOKUP(C329,STAMPANTI_DB!$A:$I,9,FALSE)+SETTINGS!$C$11,"" )</f>
        <v/>
      </c>
      <c r="M329" s="23" t="str">
        <f>IFERROR((E329*VLOOKUP(D329,FILAMENTI_DB!$A:$J,8,FALSE))+((VLOOKUP(C329,STAMPANTI_DB!$A:$C,3,FALSE)/1000)*F329*SETTINGS!$C$6)+(F329*VLOOKUP(C329,STAMPANTI_DB!$A:$I,9,FALSE)),"")</f>
        <v/>
      </c>
    </row>
    <row r="330" spans="8:13" x14ac:dyDescent="0.2">
      <c r="H330" t="str">
        <f>IFERROR(E330*VLOOKUP(D330,FILAMENTI_DB!$A:$J,8,FALSE)+(VLOOKUP(C330,STAMPANTI_DB!$A:$C,3,FALSE)/1000)*F330*SETTINGS!$C$6+F330*VLOOKUP(C330,STAMPANTI_DB!$A:$I,9,FALSE)+SETTINGS!$C$11,"" )</f>
        <v/>
      </c>
      <c r="M330" s="23" t="str">
        <f>IFERROR((E330*VLOOKUP(D330,FILAMENTI_DB!$A:$J,8,FALSE))+((VLOOKUP(C330,STAMPANTI_DB!$A:$C,3,FALSE)/1000)*F330*SETTINGS!$C$6)+(F330*VLOOKUP(C330,STAMPANTI_DB!$A:$I,9,FALSE)),"")</f>
        <v/>
      </c>
    </row>
    <row r="331" spans="8:13" x14ac:dyDescent="0.2">
      <c r="H331" t="str">
        <f>IFERROR(E331*VLOOKUP(D331,FILAMENTI_DB!$A:$J,8,FALSE)+(VLOOKUP(C331,STAMPANTI_DB!$A:$C,3,FALSE)/1000)*F331*SETTINGS!$C$6+F331*VLOOKUP(C331,STAMPANTI_DB!$A:$I,9,FALSE)+SETTINGS!$C$11,"" )</f>
        <v/>
      </c>
      <c r="M331" s="23" t="str">
        <f>IFERROR((E331*VLOOKUP(D331,FILAMENTI_DB!$A:$J,8,FALSE))+((VLOOKUP(C331,STAMPANTI_DB!$A:$C,3,FALSE)/1000)*F331*SETTINGS!$C$6)+(F331*VLOOKUP(C331,STAMPANTI_DB!$A:$I,9,FALSE)),"")</f>
        <v/>
      </c>
    </row>
    <row r="332" spans="8:13" x14ac:dyDescent="0.2">
      <c r="H332" t="str">
        <f>IFERROR(E332*VLOOKUP(D332,FILAMENTI_DB!$A:$J,8,FALSE)+(VLOOKUP(C332,STAMPANTI_DB!$A:$C,3,FALSE)/1000)*F332*SETTINGS!$C$6+F332*VLOOKUP(C332,STAMPANTI_DB!$A:$I,9,FALSE)+SETTINGS!$C$11,"" )</f>
        <v/>
      </c>
      <c r="M332" s="23" t="str">
        <f>IFERROR((E332*VLOOKUP(D332,FILAMENTI_DB!$A:$J,8,FALSE))+((VLOOKUP(C332,STAMPANTI_DB!$A:$C,3,FALSE)/1000)*F332*SETTINGS!$C$6)+(F332*VLOOKUP(C332,STAMPANTI_DB!$A:$I,9,FALSE)),"")</f>
        <v/>
      </c>
    </row>
    <row r="333" spans="8:13" x14ac:dyDescent="0.2">
      <c r="H333" t="str">
        <f>IFERROR(E333*VLOOKUP(D333,FILAMENTI_DB!$A:$J,8,FALSE)+(VLOOKUP(C333,STAMPANTI_DB!$A:$C,3,FALSE)/1000)*F333*SETTINGS!$C$6+F333*VLOOKUP(C333,STAMPANTI_DB!$A:$I,9,FALSE)+SETTINGS!$C$11,"" )</f>
        <v/>
      </c>
      <c r="M333" s="23" t="str">
        <f>IFERROR((E333*VLOOKUP(D333,FILAMENTI_DB!$A:$J,8,FALSE))+((VLOOKUP(C333,STAMPANTI_DB!$A:$C,3,FALSE)/1000)*F333*SETTINGS!$C$6)+(F333*VLOOKUP(C333,STAMPANTI_DB!$A:$I,9,FALSE)),"")</f>
        <v/>
      </c>
    </row>
    <row r="334" spans="8:13" x14ac:dyDescent="0.2">
      <c r="H334" t="str">
        <f>IFERROR(E334*VLOOKUP(D334,FILAMENTI_DB!$A:$J,8,FALSE)+(VLOOKUP(C334,STAMPANTI_DB!$A:$C,3,FALSE)/1000)*F334*SETTINGS!$C$6+F334*VLOOKUP(C334,STAMPANTI_DB!$A:$I,9,FALSE)+SETTINGS!$C$11,"" )</f>
        <v/>
      </c>
      <c r="M334" s="23" t="str">
        <f>IFERROR((E334*VLOOKUP(D334,FILAMENTI_DB!$A:$J,8,FALSE))+((VLOOKUP(C334,STAMPANTI_DB!$A:$C,3,FALSE)/1000)*F334*SETTINGS!$C$6)+(F334*VLOOKUP(C334,STAMPANTI_DB!$A:$I,9,FALSE)),"")</f>
        <v/>
      </c>
    </row>
    <row r="335" spans="8:13" x14ac:dyDescent="0.2">
      <c r="H335" t="str">
        <f>IFERROR(E335*VLOOKUP(D335,FILAMENTI_DB!$A:$J,8,FALSE)+(VLOOKUP(C335,STAMPANTI_DB!$A:$C,3,FALSE)/1000)*F335*SETTINGS!$C$6+F335*VLOOKUP(C335,STAMPANTI_DB!$A:$I,9,FALSE)+SETTINGS!$C$11,"" )</f>
        <v/>
      </c>
      <c r="M335" s="23" t="str">
        <f>IFERROR((E335*VLOOKUP(D335,FILAMENTI_DB!$A:$J,8,FALSE))+((VLOOKUP(C335,STAMPANTI_DB!$A:$C,3,FALSE)/1000)*F335*SETTINGS!$C$6)+(F335*VLOOKUP(C335,STAMPANTI_DB!$A:$I,9,FALSE)),"")</f>
        <v/>
      </c>
    </row>
    <row r="336" spans="8:13" x14ac:dyDescent="0.2">
      <c r="H336" t="str">
        <f>IFERROR(E336*VLOOKUP(D336,FILAMENTI_DB!$A:$J,8,FALSE)+(VLOOKUP(C336,STAMPANTI_DB!$A:$C,3,FALSE)/1000)*F336*SETTINGS!$C$6+F336*VLOOKUP(C336,STAMPANTI_DB!$A:$I,9,FALSE)+SETTINGS!$C$11,"" )</f>
        <v/>
      </c>
      <c r="M336" s="23" t="str">
        <f>IFERROR((E336*VLOOKUP(D336,FILAMENTI_DB!$A:$J,8,FALSE))+((VLOOKUP(C336,STAMPANTI_DB!$A:$C,3,FALSE)/1000)*F336*SETTINGS!$C$6)+(F336*VLOOKUP(C336,STAMPANTI_DB!$A:$I,9,FALSE)),"")</f>
        <v/>
      </c>
    </row>
    <row r="337" spans="8:13" x14ac:dyDescent="0.2">
      <c r="H337" t="str">
        <f>IFERROR(E337*VLOOKUP(D337,FILAMENTI_DB!$A:$J,8,FALSE)+(VLOOKUP(C337,STAMPANTI_DB!$A:$C,3,FALSE)/1000)*F337*SETTINGS!$C$6+F337*VLOOKUP(C337,STAMPANTI_DB!$A:$I,9,FALSE)+SETTINGS!$C$11,"" )</f>
        <v/>
      </c>
      <c r="M337" s="23" t="str">
        <f>IFERROR((E337*VLOOKUP(D337,FILAMENTI_DB!$A:$J,8,FALSE))+((VLOOKUP(C337,STAMPANTI_DB!$A:$C,3,FALSE)/1000)*F337*SETTINGS!$C$6)+(F337*VLOOKUP(C337,STAMPANTI_DB!$A:$I,9,FALSE)),"")</f>
        <v/>
      </c>
    </row>
    <row r="338" spans="8:13" x14ac:dyDescent="0.2">
      <c r="H338" t="str">
        <f>IFERROR(E338*VLOOKUP(D338,FILAMENTI_DB!$A:$J,8,FALSE)+(VLOOKUP(C338,STAMPANTI_DB!$A:$C,3,FALSE)/1000)*F338*SETTINGS!$C$6+F338*VLOOKUP(C338,STAMPANTI_DB!$A:$I,9,FALSE)+SETTINGS!$C$11,"" )</f>
        <v/>
      </c>
      <c r="M338" s="23" t="str">
        <f>IFERROR((E338*VLOOKUP(D338,FILAMENTI_DB!$A:$J,8,FALSE))+((VLOOKUP(C338,STAMPANTI_DB!$A:$C,3,FALSE)/1000)*F338*SETTINGS!$C$6)+(F338*VLOOKUP(C338,STAMPANTI_DB!$A:$I,9,FALSE)),"")</f>
        <v/>
      </c>
    </row>
    <row r="339" spans="8:13" x14ac:dyDescent="0.2">
      <c r="H339" t="str">
        <f>IFERROR(E339*VLOOKUP(D339,FILAMENTI_DB!$A:$J,8,FALSE)+(VLOOKUP(C339,STAMPANTI_DB!$A:$C,3,FALSE)/1000)*F339*SETTINGS!$C$6+F339*VLOOKUP(C339,STAMPANTI_DB!$A:$I,9,FALSE)+SETTINGS!$C$11,"" )</f>
        <v/>
      </c>
      <c r="M339" s="23" t="str">
        <f>IFERROR((E339*VLOOKUP(D339,FILAMENTI_DB!$A:$J,8,FALSE))+((VLOOKUP(C339,STAMPANTI_DB!$A:$C,3,FALSE)/1000)*F339*SETTINGS!$C$6)+(F339*VLOOKUP(C339,STAMPANTI_DB!$A:$I,9,FALSE)),"")</f>
        <v/>
      </c>
    </row>
    <row r="340" spans="8:13" x14ac:dyDescent="0.2">
      <c r="H340" t="str">
        <f>IFERROR(E340*VLOOKUP(D340,FILAMENTI_DB!$A:$J,8,FALSE)+(VLOOKUP(C340,STAMPANTI_DB!$A:$C,3,FALSE)/1000)*F340*SETTINGS!$C$6+F340*VLOOKUP(C340,STAMPANTI_DB!$A:$I,9,FALSE)+SETTINGS!$C$11,"" )</f>
        <v/>
      </c>
      <c r="M340" s="23" t="str">
        <f>IFERROR((E340*VLOOKUP(D340,FILAMENTI_DB!$A:$J,8,FALSE))+((VLOOKUP(C340,STAMPANTI_DB!$A:$C,3,FALSE)/1000)*F340*SETTINGS!$C$6)+(F340*VLOOKUP(C340,STAMPANTI_DB!$A:$I,9,FALSE)),"")</f>
        <v/>
      </c>
    </row>
    <row r="341" spans="8:13" x14ac:dyDescent="0.2">
      <c r="H341" t="str">
        <f>IFERROR(E341*VLOOKUP(D341,FILAMENTI_DB!$A:$J,8,FALSE)+(VLOOKUP(C341,STAMPANTI_DB!$A:$C,3,FALSE)/1000)*F341*SETTINGS!$C$6+F341*VLOOKUP(C341,STAMPANTI_DB!$A:$I,9,FALSE)+SETTINGS!$C$11,"" )</f>
        <v/>
      </c>
      <c r="M341" s="23" t="str">
        <f>IFERROR((E341*VLOOKUP(D341,FILAMENTI_DB!$A:$J,8,FALSE))+((VLOOKUP(C341,STAMPANTI_DB!$A:$C,3,FALSE)/1000)*F341*SETTINGS!$C$6)+(F341*VLOOKUP(C341,STAMPANTI_DB!$A:$I,9,FALSE)),"")</f>
        <v/>
      </c>
    </row>
    <row r="342" spans="8:13" x14ac:dyDescent="0.2">
      <c r="H342" t="str">
        <f>IFERROR(E342*VLOOKUP(D342,FILAMENTI_DB!$A:$J,8,FALSE)+(VLOOKUP(C342,STAMPANTI_DB!$A:$C,3,FALSE)/1000)*F342*SETTINGS!$C$6+F342*VLOOKUP(C342,STAMPANTI_DB!$A:$I,9,FALSE)+SETTINGS!$C$11,"" )</f>
        <v/>
      </c>
      <c r="M342" s="23" t="str">
        <f>IFERROR((E342*VLOOKUP(D342,FILAMENTI_DB!$A:$J,8,FALSE))+((VLOOKUP(C342,STAMPANTI_DB!$A:$C,3,FALSE)/1000)*F342*SETTINGS!$C$6)+(F342*VLOOKUP(C342,STAMPANTI_DB!$A:$I,9,FALSE)),"")</f>
        <v/>
      </c>
    </row>
    <row r="343" spans="8:13" x14ac:dyDescent="0.2">
      <c r="H343" t="str">
        <f>IFERROR(E343*VLOOKUP(D343,FILAMENTI_DB!$A:$J,8,FALSE)+(VLOOKUP(C343,STAMPANTI_DB!$A:$C,3,FALSE)/1000)*F343*SETTINGS!$C$6+F343*VLOOKUP(C343,STAMPANTI_DB!$A:$I,9,FALSE)+SETTINGS!$C$11,"" )</f>
        <v/>
      </c>
      <c r="M343" s="23" t="str">
        <f>IFERROR((E343*VLOOKUP(D343,FILAMENTI_DB!$A:$J,8,FALSE))+((VLOOKUP(C343,STAMPANTI_DB!$A:$C,3,FALSE)/1000)*F343*SETTINGS!$C$6)+(F343*VLOOKUP(C343,STAMPANTI_DB!$A:$I,9,FALSE)),"")</f>
        <v/>
      </c>
    </row>
    <row r="344" spans="8:13" x14ac:dyDescent="0.2">
      <c r="H344" t="str">
        <f>IFERROR(E344*VLOOKUP(D344,FILAMENTI_DB!$A:$J,8,FALSE)+(VLOOKUP(C344,STAMPANTI_DB!$A:$C,3,FALSE)/1000)*F344*SETTINGS!$C$6+F344*VLOOKUP(C344,STAMPANTI_DB!$A:$I,9,FALSE)+SETTINGS!$C$11,"" )</f>
        <v/>
      </c>
      <c r="M344" s="23" t="str">
        <f>IFERROR((E344*VLOOKUP(D344,FILAMENTI_DB!$A:$J,8,FALSE))+((VLOOKUP(C344,STAMPANTI_DB!$A:$C,3,FALSE)/1000)*F344*SETTINGS!$C$6)+(F344*VLOOKUP(C344,STAMPANTI_DB!$A:$I,9,FALSE)),"")</f>
        <v/>
      </c>
    </row>
    <row r="345" spans="8:13" x14ac:dyDescent="0.2">
      <c r="H345" t="str">
        <f>IFERROR(E345*VLOOKUP(D345,FILAMENTI_DB!$A:$J,8,FALSE)+(VLOOKUP(C345,STAMPANTI_DB!$A:$C,3,FALSE)/1000)*F345*SETTINGS!$C$6+F345*VLOOKUP(C345,STAMPANTI_DB!$A:$I,9,FALSE)+SETTINGS!$C$11,"" )</f>
        <v/>
      </c>
      <c r="M345" s="23" t="str">
        <f>IFERROR((E345*VLOOKUP(D345,FILAMENTI_DB!$A:$J,8,FALSE))+((VLOOKUP(C345,STAMPANTI_DB!$A:$C,3,FALSE)/1000)*F345*SETTINGS!$C$6)+(F345*VLOOKUP(C345,STAMPANTI_DB!$A:$I,9,FALSE)),"")</f>
        <v/>
      </c>
    </row>
    <row r="346" spans="8:13" x14ac:dyDescent="0.2">
      <c r="H346" t="str">
        <f>IFERROR(E346*VLOOKUP(D346,FILAMENTI_DB!$A:$J,8,FALSE)+(VLOOKUP(C346,STAMPANTI_DB!$A:$C,3,FALSE)/1000)*F346*SETTINGS!$C$6+F346*VLOOKUP(C346,STAMPANTI_DB!$A:$I,9,FALSE)+SETTINGS!$C$11,"" )</f>
        <v/>
      </c>
      <c r="M346" s="23" t="str">
        <f>IFERROR((E346*VLOOKUP(D346,FILAMENTI_DB!$A:$J,8,FALSE))+((VLOOKUP(C346,STAMPANTI_DB!$A:$C,3,FALSE)/1000)*F346*SETTINGS!$C$6)+(F346*VLOOKUP(C346,STAMPANTI_DB!$A:$I,9,FALSE)),"")</f>
        <v/>
      </c>
    </row>
    <row r="347" spans="8:13" x14ac:dyDescent="0.2">
      <c r="H347" t="str">
        <f>IFERROR(E347*VLOOKUP(D347,FILAMENTI_DB!$A:$J,8,FALSE)+(VLOOKUP(C347,STAMPANTI_DB!$A:$C,3,FALSE)/1000)*F347*SETTINGS!$C$6+F347*VLOOKUP(C347,STAMPANTI_DB!$A:$I,9,FALSE)+SETTINGS!$C$11,"" )</f>
        <v/>
      </c>
      <c r="M347" s="23" t="str">
        <f>IFERROR((E347*VLOOKUP(D347,FILAMENTI_DB!$A:$J,8,FALSE))+((VLOOKUP(C347,STAMPANTI_DB!$A:$C,3,FALSE)/1000)*F347*SETTINGS!$C$6)+(F347*VLOOKUP(C347,STAMPANTI_DB!$A:$I,9,FALSE)),"")</f>
        <v/>
      </c>
    </row>
    <row r="348" spans="8:13" x14ac:dyDescent="0.2">
      <c r="H348" t="str">
        <f>IFERROR(E348*VLOOKUP(D348,FILAMENTI_DB!$A:$J,8,FALSE)+(VLOOKUP(C348,STAMPANTI_DB!$A:$C,3,FALSE)/1000)*F348*SETTINGS!$C$6+F348*VLOOKUP(C348,STAMPANTI_DB!$A:$I,9,FALSE)+SETTINGS!$C$11,"" )</f>
        <v/>
      </c>
      <c r="M348" s="23" t="str">
        <f>IFERROR((E348*VLOOKUP(D348,FILAMENTI_DB!$A:$J,8,FALSE))+((VLOOKUP(C348,STAMPANTI_DB!$A:$C,3,FALSE)/1000)*F348*SETTINGS!$C$6)+(F348*VLOOKUP(C348,STAMPANTI_DB!$A:$I,9,FALSE)),"")</f>
        <v/>
      </c>
    </row>
    <row r="349" spans="8:13" x14ac:dyDescent="0.2">
      <c r="H349" t="str">
        <f>IFERROR(E349*VLOOKUP(D349,FILAMENTI_DB!$A:$J,8,FALSE)+(VLOOKUP(C349,STAMPANTI_DB!$A:$C,3,FALSE)/1000)*F349*SETTINGS!$C$6+F349*VLOOKUP(C349,STAMPANTI_DB!$A:$I,9,FALSE)+SETTINGS!$C$11,"" )</f>
        <v/>
      </c>
      <c r="M349" s="23" t="str">
        <f>IFERROR((E349*VLOOKUP(D349,FILAMENTI_DB!$A:$J,8,FALSE))+((VLOOKUP(C349,STAMPANTI_DB!$A:$C,3,FALSE)/1000)*F349*SETTINGS!$C$6)+(F349*VLOOKUP(C349,STAMPANTI_DB!$A:$I,9,FALSE)),"")</f>
        <v/>
      </c>
    </row>
    <row r="350" spans="8:13" x14ac:dyDescent="0.2">
      <c r="H350" t="str">
        <f>IFERROR(E350*VLOOKUP(D350,FILAMENTI_DB!$A:$J,8,FALSE)+(VLOOKUP(C350,STAMPANTI_DB!$A:$C,3,FALSE)/1000)*F350*SETTINGS!$C$6+F350*VLOOKUP(C350,STAMPANTI_DB!$A:$I,9,FALSE)+SETTINGS!$C$11,"" )</f>
        <v/>
      </c>
      <c r="M350" s="23" t="str">
        <f>IFERROR((E350*VLOOKUP(D350,FILAMENTI_DB!$A:$J,8,FALSE))+((VLOOKUP(C350,STAMPANTI_DB!$A:$C,3,FALSE)/1000)*F350*SETTINGS!$C$6)+(F350*VLOOKUP(C350,STAMPANTI_DB!$A:$I,9,FALSE)),"")</f>
        <v/>
      </c>
    </row>
    <row r="351" spans="8:13" x14ac:dyDescent="0.2">
      <c r="H351" t="str">
        <f>IFERROR(E351*VLOOKUP(D351,FILAMENTI_DB!$A:$J,8,FALSE)+(VLOOKUP(C351,STAMPANTI_DB!$A:$C,3,FALSE)/1000)*F351*SETTINGS!$C$6+F351*VLOOKUP(C351,STAMPANTI_DB!$A:$I,9,FALSE)+SETTINGS!$C$11,"" )</f>
        <v/>
      </c>
      <c r="M351" s="23" t="str">
        <f>IFERROR((E351*VLOOKUP(D351,FILAMENTI_DB!$A:$J,8,FALSE))+((VLOOKUP(C351,STAMPANTI_DB!$A:$C,3,FALSE)/1000)*F351*SETTINGS!$C$6)+(F351*VLOOKUP(C351,STAMPANTI_DB!$A:$I,9,FALSE)),"")</f>
        <v/>
      </c>
    </row>
    <row r="352" spans="8:13" x14ac:dyDescent="0.2">
      <c r="H352" t="str">
        <f>IFERROR(E352*VLOOKUP(D352,FILAMENTI_DB!$A:$J,8,FALSE)+(VLOOKUP(C352,STAMPANTI_DB!$A:$C,3,FALSE)/1000)*F352*SETTINGS!$C$6+F352*VLOOKUP(C352,STAMPANTI_DB!$A:$I,9,FALSE)+SETTINGS!$C$11,"" )</f>
        <v/>
      </c>
      <c r="M352" s="23" t="str">
        <f>IFERROR((E352*VLOOKUP(D352,FILAMENTI_DB!$A:$J,8,FALSE))+((VLOOKUP(C352,STAMPANTI_DB!$A:$C,3,FALSE)/1000)*F352*SETTINGS!$C$6)+(F352*VLOOKUP(C352,STAMPANTI_DB!$A:$I,9,FALSE)),"")</f>
        <v/>
      </c>
    </row>
    <row r="353" spans="8:13" x14ac:dyDescent="0.2">
      <c r="H353" t="str">
        <f>IFERROR(E353*VLOOKUP(D353,FILAMENTI_DB!$A:$J,8,FALSE)+(VLOOKUP(C353,STAMPANTI_DB!$A:$C,3,FALSE)/1000)*F353*SETTINGS!$C$6+F353*VLOOKUP(C353,STAMPANTI_DB!$A:$I,9,FALSE)+SETTINGS!$C$11,"" )</f>
        <v/>
      </c>
      <c r="M353" s="23" t="str">
        <f>IFERROR((E353*VLOOKUP(D353,FILAMENTI_DB!$A:$J,8,FALSE))+((VLOOKUP(C353,STAMPANTI_DB!$A:$C,3,FALSE)/1000)*F353*SETTINGS!$C$6)+(F353*VLOOKUP(C353,STAMPANTI_DB!$A:$I,9,FALSE)),"")</f>
        <v/>
      </c>
    </row>
    <row r="354" spans="8:13" x14ac:dyDescent="0.2">
      <c r="H354" t="str">
        <f>IFERROR(E354*VLOOKUP(D354,FILAMENTI_DB!$A:$J,8,FALSE)+(VLOOKUP(C354,STAMPANTI_DB!$A:$C,3,FALSE)/1000)*F354*SETTINGS!$C$6+F354*VLOOKUP(C354,STAMPANTI_DB!$A:$I,9,FALSE)+SETTINGS!$C$11,"" )</f>
        <v/>
      </c>
      <c r="M354" s="23" t="str">
        <f>IFERROR((E354*VLOOKUP(D354,FILAMENTI_DB!$A:$J,8,FALSE))+((VLOOKUP(C354,STAMPANTI_DB!$A:$C,3,FALSE)/1000)*F354*SETTINGS!$C$6)+(F354*VLOOKUP(C354,STAMPANTI_DB!$A:$I,9,FALSE)),"")</f>
        <v/>
      </c>
    </row>
    <row r="355" spans="8:13" x14ac:dyDescent="0.2">
      <c r="H355" t="str">
        <f>IFERROR(E355*VLOOKUP(D355,FILAMENTI_DB!$A:$J,8,FALSE)+(VLOOKUP(C355,STAMPANTI_DB!$A:$C,3,FALSE)/1000)*F355*SETTINGS!$C$6+F355*VLOOKUP(C355,STAMPANTI_DB!$A:$I,9,FALSE)+SETTINGS!$C$11,"" )</f>
        <v/>
      </c>
      <c r="M355" s="23" t="str">
        <f>IFERROR((E355*VLOOKUP(D355,FILAMENTI_DB!$A:$J,8,FALSE))+((VLOOKUP(C355,STAMPANTI_DB!$A:$C,3,FALSE)/1000)*F355*SETTINGS!$C$6)+(F355*VLOOKUP(C355,STAMPANTI_DB!$A:$I,9,FALSE)),"")</f>
        <v/>
      </c>
    </row>
    <row r="356" spans="8:13" x14ac:dyDescent="0.2">
      <c r="H356" t="str">
        <f>IFERROR(E356*VLOOKUP(D356,FILAMENTI_DB!$A:$J,8,FALSE)+(VLOOKUP(C356,STAMPANTI_DB!$A:$C,3,FALSE)/1000)*F356*SETTINGS!$C$6+F356*VLOOKUP(C356,STAMPANTI_DB!$A:$I,9,FALSE)+SETTINGS!$C$11,"" )</f>
        <v/>
      </c>
      <c r="M356" s="23" t="str">
        <f>IFERROR((E356*VLOOKUP(D356,FILAMENTI_DB!$A:$J,8,FALSE))+((VLOOKUP(C356,STAMPANTI_DB!$A:$C,3,FALSE)/1000)*F356*SETTINGS!$C$6)+(F356*VLOOKUP(C356,STAMPANTI_DB!$A:$I,9,FALSE)),"")</f>
        <v/>
      </c>
    </row>
    <row r="357" spans="8:13" x14ac:dyDescent="0.2">
      <c r="H357" t="str">
        <f>IFERROR(E357*VLOOKUP(D357,FILAMENTI_DB!$A:$J,8,FALSE)+(VLOOKUP(C357,STAMPANTI_DB!$A:$C,3,FALSE)/1000)*F357*SETTINGS!$C$6+F357*VLOOKUP(C357,STAMPANTI_DB!$A:$I,9,FALSE)+SETTINGS!$C$11,"" )</f>
        <v/>
      </c>
      <c r="M357" s="23" t="str">
        <f>IFERROR((E357*VLOOKUP(D357,FILAMENTI_DB!$A:$J,8,FALSE))+((VLOOKUP(C357,STAMPANTI_DB!$A:$C,3,FALSE)/1000)*F357*SETTINGS!$C$6)+(F357*VLOOKUP(C357,STAMPANTI_DB!$A:$I,9,FALSE)),"")</f>
        <v/>
      </c>
    </row>
    <row r="358" spans="8:13" x14ac:dyDescent="0.2">
      <c r="H358" t="str">
        <f>IFERROR(E358*VLOOKUP(D358,FILAMENTI_DB!$A:$J,8,FALSE)+(VLOOKUP(C358,STAMPANTI_DB!$A:$C,3,FALSE)/1000)*F358*SETTINGS!$C$6+F358*VLOOKUP(C358,STAMPANTI_DB!$A:$I,9,FALSE)+SETTINGS!$C$11,"" )</f>
        <v/>
      </c>
      <c r="M358" s="23" t="str">
        <f>IFERROR((E358*VLOOKUP(D358,FILAMENTI_DB!$A:$J,8,FALSE))+((VLOOKUP(C358,STAMPANTI_DB!$A:$C,3,FALSE)/1000)*F358*SETTINGS!$C$6)+(F358*VLOOKUP(C358,STAMPANTI_DB!$A:$I,9,FALSE)),"")</f>
        <v/>
      </c>
    </row>
    <row r="359" spans="8:13" x14ac:dyDescent="0.2">
      <c r="H359" t="str">
        <f>IFERROR(E359*VLOOKUP(D359,FILAMENTI_DB!$A:$J,8,FALSE)+(VLOOKUP(C359,STAMPANTI_DB!$A:$C,3,FALSE)/1000)*F359*SETTINGS!$C$6+F359*VLOOKUP(C359,STAMPANTI_DB!$A:$I,9,FALSE)+SETTINGS!$C$11,"" )</f>
        <v/>
      </c>
      <c r="M359" s="23" t="str">
        <f>IFERROR((E359*VLOOKUP(D359,FILAMENTI_DB!$A:$J,8,FALSE))+((VLOOKUP(C359,STAMPANTI_DB!$A:$C,3,FALSE)/1000)*F359*SETTINGS!$C$6)+(F359*VLOOKUP(C359,STAMPANTI_DB!$A:$I,9,FALSE)),"")</f>
        <v/>
      </c>
    </row>
    <row r="360" spans="8:13" x14ac:dyDescent="0.2">
      <c r="H360" t="str">
        <f>IFERROR(E360*VLOOKUP(D360,FILAMENTI_DB!$A:$J,8,FALSE)+(VLOOKUP(C360,STAMPANTI_DB!$A:$C,3,FALSE)/1000)*F360*SETTINGS!$C$6+F360*VLOOKUP(C360,STAMPANTI_DB!$A:$I,9,FALSE)+SETTINGS!$C$11,"" )</f>
        <v/>
      </c>
      <c r="M360" s="23" t="str">
        <f>IFERROR((E360*VLOOKUP(D360,FILAMENTI_DB!$A:$J,8,FALSE))+((VLOOKUP(C360,STAMPANTI_DB!$A:$C,3,FALSE)/1000)*F360*SETTINGS!$C$6)+(F360*VLOOKUP(C360,STAMPANTI_DB!$A:$I,9,FALSE)),"")</f>
        <v/>
      </c>
    </row>
    <row r="361" spans="8:13" x14ac:dyDescent="0.2">
      <c r="H361" t="str">
        <f>IFERROR(E361*VLOOKUP(D361,FILAMENTI_DB!$A:$J,8,FALSE)+(VLOOKUP(C361,STAMPANTI_DB!$A:$C,3,FALSE)/1000)*F361*SETTINGS!$C$6+F361*VLOOKUP(C361,STAMPANTI_DB!$A:$I,9,FALSE)+SETTINGS!$C$11,"" )</f>
        <v/>
      </c>
      <c r="M361" s="23" t="str">
        <f>IFERROR((E361*VLOOKUP(D361,FILAMENTI_DB!$A:$J,8,FALSE))+((VLOOKUP(C361,STAMPANTI_DB!$A:$C,3,FALSE)/1000)*F361*SETTINGS!$C$6)+(F361*VLOOKUP(C361,STAMPANTI_DB!$A:$I,9,FALSE)),"")</f>
        <v/>
      </c>
    </row>
    <row r="362" spans="8:13" x14ac:dyDescent="0.2">
      <c r="H362" t="str">
        <f>IFERROR(E362*VLOOKUP(D362,FILAMENTI_DB!$A:$J,8,FALSE)+(VLOOKUP(C362,STAMPANTI_DB!$A:$C,3,FALSE)/1000)*F362*SETTINGS!$C$6+F362*VLOOKUP(C362,STAMPANTI_DB!$A:$I,9,FALSE)+SETTINGS!$C$11,"" )</f>
        <v/>
      </c>
      <c r="M362" s="23" t="str">
        <f>IFERROR((E362*VLOOKUP(D362,FILAMENTI_DB!$A:$J,8,FALSE))+((VLOOKUP(C362,STAMPANTI_DB!$A:$C,3,FALSE)/1000)*F362*SETTINGS!$C$6)+(F362*VLOOKUP(C362,STAMPANTI_DB!$A:$I,9,FALSE)),"")</f>
        <v/>
      </c>
    </row>
    <row r="363" spans="8:13" x14ac:dyDescent="0.2">
      <c r="H363" t="str">
        <f>IFERROR(E363*VLOOKUP(D363,FILAMENTI_DB!$A:$J,8,FALSE)+(VLOOKUP(C363,STAMPANTI_DB!$A:$C,3,FALSE)/1000)*F363*SETTINGS!$C$6+F363*VLOOKUP(C363,STAMPANTI_DB!$A:$I,9,FALSE)+SETTINGS!$C$11,"" )</f>
        <v/>
      </c>
      <c r="M363" s="23" t="str">
        <f>IFERROR((E363*VLOOKUP(D363,FILAMENTI_DB!$A:$J,8,FALSE))+((VLOOKUP(C363,STAMPANTI_DB!$A:$C,3,FALSE)/1000)*F363*SETTINGS!$C$6)+(F363*VLOOKUP(C363,STAMPANTI_DB!$A:$I,9,FALSE)),"")</f>
        <v/>
      </c>
    </row>
    <row r="364" spans="8:13" x14ac:dyDescent="0.2">
      <c r="H364" t="str">
        <f>IFERROR(E364*VLOOKUP(D364,FILAMENTI_DB!$A:$J,8,FALSE)+(VLOOKUP(C364,STAMPANTI_DB!$A:$C,3,FALSE)/1000)*F364*SETTINGS!$C$6+F364*VLOOKUP(C364,STAMPANTI_DB!$A:$I,9,FALSE)+SETTINGS!$C$11,"" )</f>
        <v/>
      </c>
      <c r="M364" s="23" t="str">
        <f>IFERROR((E364*VLOOKUP(D364,FILAMENTI_DB!$A:$J,8,FALSE))+((VLOOKUP(C364,STAMPANTI_DB!$A:$C,3,FALSE)/1000)*F364*SETTINGS!$C$6)+(F364*VLOOKUP(C364,STAMPANTI_DB!$A:$I,9,FALSE)),"")</f>
        <v/>
      </c>
    </row>
    <row r="365" spans="8:13" x14ac:dyDescent="0.2">
      <c r="H365" t="str">
        <f>IFERROR(E365*VLOOKUP(D365,FILAMENTI_DB!$A:$J,8,FALSE)+(VLOOKUP(C365,STAMPANTI_DB!$A:$C,3,FALSE)/1000)*F365*SETTINGS!$C$6+F365*VLOOKUP(C365,STAMPANTI_DB!$A:$I,9,FALSE)+SETTINGS!$C$11,"" )</f>
        <v/>
      </c>
      <c r="M365" s="23" t="str">
        <f>IFERROR((E365*VLOOKUP(D365,FILAMENTI_DB!$A:$J,8,FALSE))+((VLOOKUP(C365,STAMPANTI_DB!$A:$C,3,FALSE)/1000)*F365*SETTINGS!$C$6)+(F365*VLOOKUP(C365,STAMPANTI_DB!$A:$I,9,FALSE)),"")</f>
        <v/>
      </c>
    </row>
    <row r="366" spans="8:13" x14ac:dyDescent="0.2">
      <c r="H366" t="str">
        <f>IFERROR(E366*VLOOKUP(D366,FILAMENTI_DB!$A:$J,8,FALSE)+(VLOOKUP(C366,STAMPANTI_DB!$A:$C,3,FALSE)/1000)*F366*SETTINGS!$C$6+F366*VLOOKUP(C366,STAMPANTI_DB!$A:$I,9,FALSE)+SETTINGS!$C$11,"" )</f>
        <v/>
      </c>
      <c r="M366" s="23" t="str">
        <f>IFERROR((E366*VLOOKUP(D366,FILAMENTI_DB!$A:$J,8,FALSE))+((VLOOKUP(C366,STAMPANTI_DB!$A:$C,3,FALSE)/1000)*F366*SETTINGS!$C$6)+(F366*VLOOKUP(C366,STAMPANTI_DB!$A:$I,9,FALSE)),"")</f>
        <v/>
      </c>
    </row>
    <row r="367" spans="8:13" x14ac:dyDescent="0.2">
      <c r="H367" t="str">
        <f>IFERROR(E367*VLOOKUP(D367,FILAMENTI_DB!$A:$J,8,FALSE)+(VLOOKUP(C367,STAMPANTI_DB!$A:$C,3,FALSE)/1000)*F367*SETTINGS!$C$6+F367*VLOOKUP(C367,STAMPANTI_DB!$A:$I,9,FALSE)+SETTINGS!$C$11,"" )</f>
        <v/>
      </c>
      <c r="M367" s="23" t="str">
        <f>IFERROR((E367*VLOOKUP(D367,FILAMENTI_DB!$A:$J,8,FALSE))+((VLOOKUP(C367,STAMPANTI_DB!$A:$C,3,FALSE)/1000)*F367*SETTINGS!$C$6)+(F367*VLOOKUP(C367,STAMPANTI_DB!$A:$I,9,FALSE)),"")</f>
        <v/>
      </c>
    </row>
    <row r="368" spans="8:13" x14ac:dyDescent="0.2">
      <c r="H368" t="str">
        <f>IFERROR(E368*VLOOKUP(D368,FILAMENTI_DB!$A:$J,8,FALSE)+(VLOOKUP(C368,STAMPANTI_DB!$A:$C,3,FALSE)/1000)*F368*SETTINGS!$C$6+F368*VLOOKUP(C368,STAMPANTI_DB!$A:$I,9,FALSE)+SETTINGS!$C$11,"" )</f>
        <v/>
      </c>
      <c r="M368" s="23" t="str">
        <f>IFERROR((E368*VLOOKUP(D368,FILAMENTI_DB!$A:$J,8,FALSE))+((VLOOKUP(C368,STAMPANTI_DB!$A:$C,3,FALSE)/1000)*F368*SETTINGS!$C$6)+(F368*VLOOKUP(C368,STAMPANTI_DB!$A:$I,9,FALSE)),"")</f>
        <v/>
      </c>
    </row>
    <row r="369" spans="8:13" x14ac:dyDescent="0.2">
      <c r="H369" t="str">
        <f>IFERROR(E369*VLOOKUP(D369,FILAMENTI_DB!$A:$J,8,FALSE)+(VLOOKUP(C369,STAMPANTI_DB!$A:$C,3,FALSE)/1000)*F369*SETTINGS!$C$6+F369*VLOOKUP(C369,STAMPANTI_DB!$A:$I,9,FALSE)+SETTINGS!$C$11,"" )</f>
        <v/>
      </c>
      <c r="M369" s="23" t="str">
        <f>IFERROR((E369*VLOOKUP(D369,FILAMENTI_DB!$A:$J,8,FALSE))+((VLOOKUP(C369,STAMPANTI_DB!$A:$C,3,FALSE)/1000)*F369*SETTINGS!$C$6)+(F369*VLOOKUP(C369,STAMPANTI_DB!$A:$I,9,FALSE)),"")</f>
        <v/>
      </c>
    </row>
    <row r="370" spans="8:13" x14ac:dyDescent="0.2">
      <c r="H370" t="str">
        <f>IFERROR(E370*VLOOKUP(D370,FILAMENTI_DB!$A:$J,8,FALSE)+(VLOOKUP(C370,STAMPANTI_DB!$A:$C,3,FALSE)/1000)*F370*SETTINGS!$C$6+F370*VLOOKUP(C370,STAMPANTI_DB!$A:$I,9,FALSE)+SETTINGS!$C$11,"" )</f>
        <v/>
      </c>
      <c r="M370" s="23" t="str">
        <f>IFERROR((E370*VLOOKUP(D370,FILAMENTI_DB!$A:$J,8,FALSE))+((VLOOKUP(C370,STAMPANTI_DB!$A:$C,3,FALSE)/1000)*F370*SETTINGS!$C$6)+(F370*VLOOKUP(C370,STAMPANTI_DB!$A:$I,9,FALSE)),"")</f>
        <v/>
      </c>
    </row>
    <row r="371" spans="8:13" x14ac:dyDescent="0.2">
      <c r="H371" t="str">
        <f>IFERROR(E371*VLOOKUP(D371,FILAMENTI_DB!$A:$J,8,FALSE)+(VLOOKUP(C371,STAMPANTI_DB!$A:$C,3,FALSE)/1000)*F371*SETTINGS!$C$6+F371*VLOOKUP(C371,STAMPANTI_DB!$A:$I,9,FALSE)+SETTINGS!$C$11,"" )</f>
        <v/>
      </c>
      <c r="M371" s="23" t="str">
        <f>IFERROR((E371*VLOOKUP(D371,FILAMENTI_DB!$A:$J,8,FALSE))+((VLOOKUP(C371,STAMPANTI_DB!$A:$C,3,FALSE)/1000)*F371*SETTINGS!$C$6)+(F371*VLOOKUP(C371,STAMPANTI_DB!$A:$I,9,FALSE)),"")</f>
        <v/>
      </c>
    </row>
    <row r="372" spans="8:13" x14ac:dyDescent="0.2">
      <c r="H372" t="str">
        <f>IFERROR(E372*VLOOKUP(D372,FILAMENTI_DB!$A:$J,8,FALSE)+(VLOOKUP(C372,STAMPANTI_DB!$A:$C,3,FALSE)/1000)*F372*SETTINGS!$C$6+F372*VLOOKUP(C372,STAMPANTI_DB!$A:$I,9,FALSE)+SETTINGS!$C$11,"" )</f>
        <v/>
      </c>
      <c r="M372" s="23" t="str">
        <f>IFERROR((E372*VLOOKUP(D372,FILAMENTI_DB!$A:$J,8,FALSE))+((VLOOKUP(C372,STAMPANTI_DB!$A:$C,3,FALSE)/1000)*F372*SETTINGS!$C$6)+(F372*VLOOKUP(C372,STAMPANTI_DB!$A:$I,9,FALSE)),"")</f>
        <v/>
      </c>
    </row>
    <row r="373" spans="8:13" x14ac:dyDescent="0.2">
      <c r="H373" t="str">
        <f>IFERROR(E373*VLOOKUP(D373,FILAMENTI_DB!$A:$J,8,FALSE)+(VLOOKUP(C373,STAMPANTI_DB!$A:$C,3,FALSE)/1000)*F373*SETTINGS!$C$6+F373*VLOOKUP(C373,STAMPANTI_DB!$A:$I,9,FALSE)+SETTINGS!$C$11,"" )</f>
        <v/>
      </c>
      <c r="M373" s="23" t="str">
        <f>IFERROR((E373*VLOOKUP(D373,FILAMENTI_DB!$A:$J,8,FALSE))+((VLOOKUP(C373,STAMPANTI_DB!$A:$C,3,FALSE)/1000)*F373*SETTINGS!$C$6)+(F373*VLOOKUP(C373,STAMPANTI_DB!$A:$I,9,FALSE)),"")</f>
        <v/>
      </c>
    </row>
    <row r="374" spans="8:13" x14ac:dyDescent="0.2">
      <c r="H374" t="str">
        <f>IFERROR(E374*VLOOKUP(D374,FILAMENTI_DB!$A:$J,8,FALSE)+(VLOOKUP(C374,STAMPANTI_DB!$A:$C,3,FALSE)/1000)*F374*SETTINGS!$C$6+F374*VLOOKUP(C374,STAMPANTI_DB!$A:$I,9,FALSE)+SETTINGS!$C$11,"" )</f>
        <v/>
      </c>
      <c r="M374" s="23" t="str">
        <f>IFERROR((E374*VLOOKUP(D374,FILAMENTI_DB!$A:$J,8,FALSE))+((VLOOKUP(C374,STAMPANTI_DB!$A:$C,3,FALSE)/1000)*F374*SETTINGS!$C$6)+(F374*VLOOKUP(C374,STAMPANTI_DB!$A:$I,9,FALSE)),"")</f>
        <v/>
      </c>
    </row>
    <row r="375" spans="8:13" x14ac:dyDescent="0.2">
      <c r="H375" t="str">
        <f>IFERROR(E375*VLOOKUP(D375,FILAMENTI_DB!$A:$J,8,FALSE)+(VLOOKUP(C375,STAMPANTI_DB!$A:$C,3,FALSE)/1000)*F375*SETTINGS!$C$6+F375*VLOOKUP(C375,STAMPANTI_DB!$A:$I,9,FALSE)+SETTINGS!$C$11,"" )</f>
        <v/>
      </c>
      <c r="M375" s="23" t="str">
        <f>IFERROR((E375*VLOOKUP(D375,FILAMENTI_DB!$A:$J,8,FALSE))+((VLOOKUP(C375,STAMPANTI_DB!$A:$C,3,FALSE)/1000)*F375*SETTINGS!$C$6)+(F375*VLOOKUP(C375,STAMPANTI_DB!$A:$I,9,FALSE)),"")</f>
        <v/>
      </c>
    </row>
    <row r="376" spans="8:13" x14ac:dyDescent="0.2">
      <c r="H376" t="str">
        <f>IFERROR(E376*VLOOKUP(D376,FILAMENTI_DB!$A:$J,8,FALSE)+(VLOOKUP(C376,STAMPANTI_DB!$A:$C,3,FALSE)/1000)*F376*SETTINGS!$C$6+F376*VLOOKUP(C376,STAMPANTI_DB!$A:$I,9,FALSE)+SETTINGS!$C$11,"" )</f>
        <v/>
      </c>
      <c r="M376" s="23" t="str">
        <f>IFERROR((E376*VLOOKUP(D376,FILAMENTI_DB!$A:$J,8,FALSE))+((VLOOKUP(C376,STAMPANTI_DB!$A:$C,3,FALSE)/1000)*F376*SETTINGS!$C$6)+(F376*VLOOKUP(C376,STAMPANTI_DB!$A:$I,9,FALSE)),"")</f>
        <v/>
      </c>
    </row>
    <row r="377" spans="8:13" x14ac:dyDescent="0.2">
      <c r="H377" t="str">
        <f>IFERROR(E377*VLOOKUP(D377,FILAMENTI_DB!$A:$J,8,FALSE)+(VLOOKUP(C377,STAMPANTI_DB!$A:$C,3,FALSE)/1000)*F377*SETTINGS!$C$6+F377*VLOOKUP(C377,STAMPANTI_DB!$A:$I,9,FALSE)+SETTINGS!$C$11,"" )</f>
        <v/>
      </c>
      <c r="M377" s="23" t="str">
        <f>IFERROR((E377*VLOOKUP(D377,FILAMENTI_DB!$A:$J,8,FALSE))+((VLOOKUP(C377,STAMPANTI_DB!$A:$C,3,FALSE)/1000)*F377*SETTINGS!$C$6)+(F377*VLOOKUP(C377,STAMPANTI_DB!$A:$I,9,FALSE)),"")</f>
        <v/>
      </c>
    </row>
    <row r="378" spans="8:13" x14ac:dyDescent="0.2">
      <c r="H378" t="str">
        <f>IFERROR(E378*VLOOKUP(D378,FILAMENTI_DB!$A:$J,8,FALSE)+(VLOOKUP(C378,STAMPANTI_DB!$A:$C,3,FALSE)/1000)*F378*SETTINGS!$C$6+F378*VLOOKUP(C378,STAMPANTI_DB!$A:$I,9,FALSE)+SETTINGS!$C$11,"" )</f>
        <v/>
      </c>
      <c r="M378" s="23" t="str">
        <f>IFERROR((E378*VLOOKUP(D378,FILAMENTI_DB!$A:$J,8,FALSE))+((VLOOKUP(C378,STAMPANTI_DB!$A:$C,3,FALSE)/1000)*F378*SETTINGS!$C$6)+(F378*VLOOKUP(C378,STAMPANTI_DB!$A:$I,9,FALSE)),"")</f>
        <v/>
      </c>
    </row>
    <row r="379" spans="8:13" x14ac:dyDescent="0.2">
      <c r="H379" t="str">
        <f>IFERROR(E379*VLOOKUP(D379,FILAMENTI_DB!$A:$J,8,FALSE)+(VLOOKUP(C379,STAMPANTI_DB!$A:$C,3,FALSE)/1000)*F379*SETTINGS!$C$6+F379*VLOOKUP(C379,STAMPANTI_DB!$A:$I,9,FALSE)+SETTINGS!$C$11,"" )</f>
        <v/>
      </c>
      <c r="M379" s="23" t="str">
        <f>IFERROR((E379*VLOOKUP(D379,FILAMENTI_DB!$A:$J,8,FALSE))+((VLOOKUP(C379,STAMPANTI_DB!$A:$C,3,FALSE)/1000)*F379*SETTINGS!$C$6)+(F379*VLOOKUP(C379,STAMPANTI_DB!$A:$I,9,FALSE)),"")</f>
        <v/>
      </c>
    </row>
    <row r="380" spans="8:13" x14ac:dyDescent="0.2">
      <c r="H380" t="str">
        <f>IFERROR(E380*VLOOKUP(D380,FILAMENTI_DB!$A:$J,8,FALSE)+(VLOOKUP(C380,STAMPANTI_DB!$A:$C,3,FALSE)/1000)*F380*SETTINGS!$C$6+F380*VLOOKUP(C380,STAMPANTI_DB!$A:$I,9,FALSE)+SETTINGS!$C$11,"" )</f>
        <v/>
      </c>
      <c r="M380" s="23" t="str">
        <f>IFERROR((E380*VLOOKUP(D380,FILAMENTI_DB!$A:$J,8,FALSE))+((VLOOKUP(C380,STAMPANTI_DB!$A:$C,3,FALSE)/1000)*F380*SETTINGS!$C$6)+(F380*VLOOKUP(C380,STAMPANTI_DB!$A:$I,9,FALSE)),"")</f>
        <v/>
      </c>
    </row>
    <row r="381" spans="8:13" x14ac:dyDescent="0.2">
      <c r="H381" t="str">
        <f>IFERROR(E381*VLOOKUP(D381,FILAMENTI_DB!$A:$J,8,FALSE)+(VLOOKUP(C381,STAMPANTI_DB!$A:$C,3,FALSE)/1000)*F381*SETTINGS!$C$6+F381*VLOOKUP(C381,STAMPANTI_DB!$A:$I,9,FALSE)+SETTINGS!$C$11,"" )</f>
        <v/>
      </c>
      <c r="M381" s="23" t="str">
        <f>IFERROR((E381*VLOOKUP(D381,FILAMENTI_DB!$A:$J,8,FALSE))+((VLOOKUP(C381,STAMPANTI_DB!$A:$C,3,FALSE)/1000)*F381*SETTINGS!$C$6)+(F381*VLOOKUP(C381,STAMPANTI_DB!$A:$I,9,FALSE)),"")</f>
        <v/>
      </c>
    </row>
    <row r="382" spans="8:13" x14ac:dyDescent="0.2">
      <c r="H382" t="str">
        <f>IFERROR(E382*VLOOKUP(D382,FILAMENTI_DB!$A:$J,8,FALSE)+(VLOOKUP(C382,STAMPANTI_DB!$A:$C,3,FALSE)/1000)*F382*SETTINGS!$C$6+F382*VLOOKUP(C382,STAMPANTI_DB!$A:$I,9,FALSE)+SETTINGS!$C$11,"" )</f>
        <v/>
      </c>
      <c r="M382" s="23" t="str">
        <f>IFERROR((E382*VLOOKUP(D382,FILAMENTI_DB!$A:$J,8,FALSE))+((VLOOKUP(C382,STAMPANTI_DB!$A:$C,3,FALSE)/1000)*F382*SETTINGS!$C$6)+(F382*VLOOKUP(C382,STAMPANTI_DB!$A:$I,9,FALSE)),"")</f>
        <v/>
      </c>
    </row>
    <row r="383" spans="8:13" x14ac:dyDescent="0.2">
      <c r="H383" t="str">
        <f>IFERROR(E383*VLOOKUP(D383,FILAMENTI_DB!$A:$J,8,FALSE)+(VLOOKUP(C383,STAMPANTI_DB!$A:$C,3,FALSE)/1000)*F383*SETTINGS!$C$6+F383*VLOOKUP(C383,STAMPANTI_DB!$A:$I,9,FALSE)+SETTINGS!$C$11,"" )</f>
        <v/>
      </c>
      <c r="M383" s="23" t="str">
        <f>IFERROR((E383*VLOOKUP(D383,FILAMENTI_DB!$A:$J,8,FALSE))+((VLOOKUP(C383,STAMPANTI_DB!$A:$C,3,FALSE)/1000)*F383*SETTINGS!$C$6)+(F383*VLOOKUP(C383,STAMPANTI_DB!$A:$I,9,FALSE)),"")</f>
        <v/>
      </c>
    </row>
    <row r="384" spans="8:13" x14ac:dyDescent="0.2">
      <c r="H384" t="str">
        <f>IFERROR(E384*VLOOKUP(D384,FILAMENTI_DB!$A:$J,8,FALSE)+(VLOOKUP(C384,STAMPANTI_DB!$A:$C,3,FALSE)/1000)*F384*SETTINGS!$C$6+F384*VLOOKUP(C384,STAMPANTI_DB!$A:$I,9,FALSE)+SETTINGS!$C$11,"" )</f>
        <v/>
      </c>
      <c r="M384" s="23" t="str">
        <f>IFERROR((E384*VLOOKUP(D384,FILAMENTI_DB!$A:$J,8,FALSE))+((VLOOKUP(C384,STAMPANTI_DB!$A:$C,3,FALSE)/1000)*F384*SETTINGS!$C$6)+(F384*VLOOKUP(C384,STAMPANTI_DB!$A:$I,9,FALSE)),"")</f>
        <v/>
      </c>
    </row>
    <row r="385" spans="8:13" x14ac:dyDescent="0.2">
      <c r="H385" t="str">
        <f>IFERROR(E385*VLOOKUP(D385,FILAMENTI_DB!$A:$J,8,FALSE)+(VLOOKUP(C385,STAMPANTI_DB!$A:$C,3,FALSE)/1000)*F385*SETTINGS!$C$6+F385*VLOOKUP(C385,STAMPANTI_DB!$A:$I,9,FALSE)+SETTINGS!$C$11,"" )</f>
        <v/>
      </c>
      <c r="M385" s="23" t="str">
        <f>IFERROR((E385*VLOOKUP(D385,FILAMENTI_DB!$A:$J,8,FALSE))+((VLOOKUP(C385,STAMPANTI_DB!$A:$C,3,FALSE)/1000)*F385*SETTINGS!$C$6)+(F385*VLOOKUP(C385,STAMPANTI_DB!$A:$I,9,FALSE)),"")</f>
        <v/>
      </c>
    </row>
    <row r="386" spans="8:13" x14ac:dyDescent="0.2">
      <c r="H386" t="str">
        <f>IFERROR(E386*VLOOKUP(D386,FILAMENTI_DB!$A:$J,8,FALSE)+(VLOOKUP(C386,STAMPANTI_DB!$A:$C,3,FALSE)/1000)*F386*SETTINGS!$C$6+F386*VLOOKUP(C386,STAMPANTI_DB!$A:$I,9,FALSE)+SETTINGS!$C$11,"" )</f>
        <v/>
      </c>
      <c r="M386" s="23" t="str">
        <f>IFERROR((E386*VLOOKUP(D386,FILAMENTI_DB!$A:$J,8,FALSE))+((VLOOKUP(C386,STAMPANTI_DB!$A:$C,3,FALSE)/1000)*F386*SETTINGS!$C$6)+(F386*VLOOKUP(C386,STAMPANTI_DB!$A:$I,9,FALSE)),"")</f>
        <v/>
      </c>
    </row>
    <row r="387" spans="8:13" x14ac:dyDescent="0.2">
      <c r="H387" t="str">
        <f>IFERROR(E387*VLOOKUP(D387,FILAMENTI_DB!$A:$J,8,FALSE)+(VLOOKUP(C387,STAMPANTI_DB!$A:$C,3,FALSE)/1000)*F387*SETTINGS!$C$6+F387*VLOOKUP(C387,STAMPANTI_DB!$A:$I,9,FALSE)+SETTINGS!$C$11,"" )</f>
        <v/>
      </c>
      <c r="M387" s="23" t="str">
        <f>IFERROR((E387*VLOOKUP(D387,FILAMENTI_DB!$A:$J,8,FALSE))+((VLOOKUP(C387,STAMPANTI_DB!$A:$C,3,FALSE)/1000)*F387*SETTINGS!$C$6)+(F387*VLOOKUP(C387,STAMPANTI_DB!$A:$I,9,FALSE)),"")</f>
        <v/>
      </c>
    </row>
    <row r="388" spans="8:13" x14ac:dyDescent="0.2">
      <c r="H388" t="str">
        <f>IFERROR(E388*VLOOKUP(D388,FILAMENTI_DB!$A:$J,8,FALSE)+(VLOOKUP(C388,STAMPANTI_DB!$A:$C,3,FALSE)/1000)*F388*SETTINGS!$C$6+F388*VLOOKUP(C388,STAMPANTI_DB!$A:$I,9,FALSE)+SETTINGS!$C$11,"" )</f>
        <v/>
      </c>
      <c r="M388" s="23" t="str">
        <f>IFERROR((E388*VLOOKUP(D388,FILAMENTI_DB!$A:$J,8,FALSE))+((VLOOKUP(C388,STAMPANTI_DB!$A:$C,3,FALSE)/1000)*F388*SETTINGS!$C$6)+(F388*VLOOKUP(C388,STAMPANTI_DB!$A:$I,9,FALSE)),"")</f>
        <v/>
      </c>
    </row>
    <row r="389" spans="8:13" x14ac:dyDescent="0.2">
      <c r="H389" t="str">
        <f>IFERROR(E389*VLOOKUP(D389,FILAMENTI_DB!$A:$J,8,FALSE)+(VLOOKUP(C389,STAMPANTI_DB!$A:$C,3,FALSE)/1000)*F389*SETTINGS!$C$6+F389*VLOOKUP(C389,STAMPANTI_DB!$A:$I,9,FALSE)+SETTINGS!$C$11,"" )</f>
        <v/>
      </c>
      <c r="M389" s="23" t="str">
        <f>IFERROR((E389*VLOOKUP(D389,FILAMENTI_DB!$A:$J,8,FALSE))+((VLOOKUP(C389,STAMPANTI_DB!$A:$C,3,FALSE)/1000)*F389*SETTINGS!$C$6)+(F389*VLOOKUP(C389,STAMPANTI_DB!$A:$I,9,FALSE)),"")</f>
        <v/>
      </c>
    </row>
    <row r="390" spans="8:13" x14ac:dyDescent="0.2">
      <c r="H390" t="str">
        <f>IFERROR(E390*VLOOKUP(D390,FILAMENTI_DB!$A:$J,8,FALSE)+(VLOOKUP(C390,STAMPANTI_DB!$A:$C,3,FALSE)/1000)*F390*SETTINGS!$C$6+F390*VLOOKUP(C390,STAMPANTI_DB!$A:$I,9,FALSE)+SETTINGS!$C$11,"" )</f>
        <v/>
      </c>
      <c r="M390" s="23" t="str">
        <f>IFERROR((E390*VLOOKUP(D390,FILAMENTI_DB!$A:$J,8,FALSE))+((VLOOKUP(C390,STAMPANTI_DB!$A:$C,3,FALSE)/1000)*F390*SETTINGS!$C$6)+(F390*VLOOKUP(C390,STAMPANTI_DB!$A:$I,9,FALSE)),"")</f>
        <v/>
      </c>
    </row>
    <row r="391" spans="8:13" x14ac:dyDescent="0.2">
      <c r="H391" t="str">
        <f>IFERROR(E391*VLOOKUP(D391,FILAMENTI_DB!$A:$J,8,FALSE)+(VLOOKUP(C391,STAMPANTI_DB!$A:$C,3,FALSE)/1000)*F391*SETTINGS!$C$6+F391*VLOOKUP(C391,STAMPANTI_DB!$A:$I,9,FALSE)+SETTINGS!$C$11,"" )</f>
        <v/>
      </c>
      <c r="M391" s="23" t="str">
        <f>IFERROR((E391*VLOOKUP(D391,FILAMENTI_DB!$A:$J,8,FALSE))+((VLOOKUP(C391,STAMPANTI_DB!$A:$C,3,FALSE)/1000)*F391*SETTINGS!$C$6)+(F391*VLOOKUP(C391,STAMPANTI_DB!$A:$I,9,FALSE)),"")</f>
        <v/>
      </c>
    </row>
    <row r="392" spans="8:13" x14ac:dyDescent="0.2">
      <c r="H392" t="str">
        <f>IFERROR(E392*VLOOKUP(D392,FILAMENTI_DB!$A:$J,8,FALSE)+(VLOOKUP(C392,STAMPANTI_DB!$A:$C,3,FALSE)/1000)*F392*SETTINGS!$C$6+F392*VLOOKUP(C392,STAMPANTI_DB!$A:$I,9,FALSE)+SETTINGS!$C$11,"" )</f>
        <v/>
      </c>
      <c r="M392" s="23" t="str">
        <f>IFERROR((E392*VLOOKUP(D392,FILAMENTI_DB!$A:$J,8,FALSE))+((VLOOKUP(C392,STAMPANTI_DB!$A:$C,3,FALSE)/1000)*F392*SETTINGS!$C$6)+(F392*VLOOKUP(C392,STAMPANTI_DB!$A:$I,9,FALSE)),"")</f>
        <v/>
      </c>
    </row>
    <row r="393" spans="8:13" x14ac:dyDescent="0.2">
      <c r="H393" t="str">
        <f>IFERROR(E393*VLOOKUP(D393,FILAMENTI_DB!$A:$J,8,FALSE)+(VLOOKUP(C393,STAMPANTI_DB!$A:$C,3,FALSE)/1000)*F393*SETTINGS!$C$6+F393*VLOOKUP(C393,STAMPANTI_DB!$A:$I,9,FALSE)+SETTINGS!$C$11,"" )</f>
        <v/>
      </c>
      <c r="M393" s="23" t="str">
        <f>IFERROR((E393*VLOOKUP(D393,FILAMENTI_DB!$A:$J,8,FALSE))+((VLOOKUP(C393,STAMPANTI_DB!$A:$C,3,FALSE)/1000)*F393*SETTINGS!$C$6)+(F393*VLOOKUP(C393,STAMPANTI_DB!$A:$I,9,FALSE)),"")</f>
        <v/>
      </c>
    </row>
    <row r="394" spans="8:13" x14ac:dyDescent="0.2">
      <c r="H394" t="str">
        <f>IFERROR(E394*VLOOKUP(D394,FILAMENTI_DB!$A:$J,8,FALSE)+(VLOOKUP(C394,STAMPANTI_DB!$A:$C,3,FALSE)/1000)*F394*SETTINGS!$C$6+F394*VLOOKUP(C394,STAMPANTI_DB!$A:$I,9,FALSE)+SETTINGS!$C$11,"" )</f>
        <v/>
      </c>
      <c r="M394" s="23" t="str">
        <f>IFERROR((E394*VLOOKUP(D394,FILAMENTI_DB!$A:$J,8,FALSE))+((VLOOKUP(C394,STAMPANTI_DB!$A:$C,3,FALSE)/1000)*F394*SETTINGS!$C$6)+(F394*VLOOKUP(C394,STAMPANTI_DB!$A:$I,9,FALSE)),"")</f>
        <v/>
      </c>
    </row>
    <row r="395" spans="8:13" x14ac:dyDescent="0.2">
      <c r="H395" t="str">
        <f>IFERROR(E395*VLOOKUP(D395,FILAMENTI_DB!$A:$J,8,FALSE)+(VLOOKUP(C395,STAMPANTI_DB!$A:$C,3,FALSE)/1000)*F395*SETTINGS!$C$6+F395*VLOOKUP(C395,STAMPANTI_DB!$A:$I,9,FALSE)+SETTINGS!$C$11,"" )</f>
        <v/>
      </c>
      <c r="M395" s="23" t="str">
        <f>IFERROR((E395*VLOOKUP(D395,FILAMENTI_DB!$A:$J,8,FALSE))+((VLOOKUP(C395,STAMPANTI_DB!$A:$C,3,FALSE)/1000)*F395*SETTINGS!$C$6)+(F395*VLOOKUP(C395,STAMPANTI_DB!$A:$I,9,FALSE)),"")</f>
        <v/>
      </c>
    </row>
    <row r="396" spans="8:13" x14ac:dyDescent="0.2">
      <c r="H396" t="str">
        <f>IFERROR(E396*VLOOKUP(D396,FILAMENTI_DB!$A:$J,8,FALSE)+(VLOOKUP(C396,STAMPANTI_DB!$A:$C,3,FALSE)/1000)*F396*SETTINGS!$C$6+F396*VLOOKUP(C396,STAMPANTI_DB!$A:$I,9,FALSE)+SETTINGS!$C$11,"" )</f>
        <v/>
      </c>
      <c r="M396" s="23" t="str">
        <f>IFERROR((E396*VLOOKUP(D396,FILAMENTI_DB!$A:$J,8,FALSE))+((VLOOKUP(C396,STAMPANTI_DB!$A:$C,3,FALSE)/1000)*F396*SETTINGS!$C$6)+(F396*VLOOKUP(C396,STAMPANTI_DB!$A:$I,9,FALSE)),"")</f>
        <v/>
      </c>
    </row>
    <row r="397" spans="8:13" x14ac:dyDescent="0.2">
      <c r="H397" t="str">
        <f>IFERROR(E397*VLOOKUP(D397,FILAMENTI_DB!$A:$J,8,FALSE)+(VLOOKUP(C397,STAMPANTI_DB!$A:$C,3,FALSE)/1000)*F397*SETTINGS!$C$6+F397*VLOOKUP(C397,STAMPANTI_DB!$A:$I,9,FALSE)+SETTINGS!$C$11,"" )</f>
        <v/>
      </c>
      <c r="M397" s="23" t="str">
        <f>IFERROR((E397*VLOOKUP(D397,FILAMENTI_DB!$A:$J,8,FALSE))+((VLOOKUP(C397,STAMPANTI_DB!$A:$C,3,FALSE)/1000)*F397*SETTINGS!$C$6)+(F397*VLOOKUP(C397,STAMPANTI_DB!$A:$I,9,FALSE)),"")</f>
        <v/>
      </c>
    </row>
    <row r="398" spans="8:13" x14ac:dyDescent="0.2">
      <c r="H398" t="str">
        <f>IFERROR(E398*VLOOKUP(D398,FILAMENTI_DB!$A:$J,8,FALSE)+(VLOOKUP(C398,STAMPANTI_DB!$A:$C,3,FALSE)/1000)*F398*SETTINGS!$C$6+F398*VLOOKUP(C398,STAMPANTI_DB!$A:$I,9,FALSE)+SETTINGS!$C$11,"" )</f>
        <v/>
      </c>
      <c r="M398" s="23" t="str">
        <f>IFERROR((E398*VLOOKUP(D398,FILAMENTI_DB!$A:$J,8,FALSE))+((VLOOKUP(C398,STAMPANTI_DB!$A:$C,3,FALSE)/1000)*F398*SETTINGS!$C$6)+(F398*VLOOKUP(C398,STAMPANTI_DB!$A:$I,9,FALSE)),"")</f>
        <v/>
      </c>
    </row>
    <row r="399" spans="8:13" x14ac:dyDescent="0.2">
      <c r="H399" t="str">
        <f>IFERROR(E399*VLOOKUP(D399,FILAMENTI_DB!$A:$J,8,FALSE)+(VLOOKUP(C399,STAMPANTI_DB!$A:$C,3,FALSE)/1000)*F399*SETTINGS!$C$6+F399*VLOOKUP(C399,STAMPANTI_DB!$A:$I,9,FALSE)+SETTINGS!$C$11,"" )</f>
        <v/>
      </c>
      <c r="M399" s="23" t="str">
        <f>IFERROR((E399*VLOOKUP(D399,FILAMENTI_DB!$A:$J,8,FALSE))+((VLOOKUP(C399,STAMPANTI_DB!$A:$C,3,FALSE)/1000)*F399*SETTINGS!$C$6)+(F399*VLOOKUP(C399,STAMPANTI_DB!$A:$I,9,FALSE)),"")</f>
        <v/>
      </c>
    </row>
    <row r="400" spans="8:13" x14ac:dyDescent="0.2">
      <c r="H400" t="str">
        <f>IFERROR(E400*VLOOKUP(D400,FILAMENTI_DB!$A:$J,8,FALSE)+(VLOOKUP(C400,STAMPANTI_DB!$A:$C,3,FALSE)/1000)*F400*SETTINGS!$C$6+F400*VLOOKUP(C400,STAMPANTI_DB!$A:$I,9,FALSE)+SETTINGS!$C$11,"" )</f>
        <v/>
      </c>
      <c r="M400" s="23" t="str">
        <f>IFERROR((E400*VLOOKUP(D400,FILAMENTI_DB!$A:$J,8,FALSE))+((VLOOKUP(C400,STAMPANTI_DB!$A:$C,3,FALSE)/1000)*F400*SETTINGS!$C$6)+(F400*VLOOKUP(C400,STAMPANTI_DB!$A:$I,9,FALSE)),"")</f>
        <v/>
      </c>
    </row>
    <row r="401" spans="8:13" x14ac:dyDescent="0.2">
      <c r="H401" t="str">
        <f>IFERROR(E401*VLOOKUP(D401,FILAMENTI_DB!$A:$J,8,FALSE)+(VLOOKUP(C401,STAMPANTI_DB!$A:$C,3,FALSE)/1000)*F401*SETTINGS!$C$6+F401*VLOOKUP(C401,STAMPANTI_DB!$A:$I,9,FALSE)+SETTINGS!$C$11,"" )</f>
        <v/>
      </c>
      <c r="M401" s="23" t="str">
        <f>IFERROR((E401*VLOOKUP(D401,FILAMENTI_DB!$A:$J,8,FALSE))+((VLOOKUP(C401,STAMPANTI_DB!$A:$C,3,FALSE)/1000)*F401*SETTINGS!$C$6)+(F401*VLOOKUP(C401,STAMPANTI_DB!$A:$I,9,FALSE)),"")</f>
        <v/>
      </c>
    </row>
    <row r="402" spans="8:13" x14ac:dyDescent="0.2">
      <c r="H402" t="str">
        <f>IFERROR(E402*VLOOKUP(D402,FILAMENTI_DB!$A:$J,8,FALSE)+(VLOOKUP(C402,STAMPANTI_DB!$A:$C,3,FALSE)/1000)*F402*SETTINGS!$C$6+F402*VLOOKUP(C402,STAMPANTI_DB!$A:$I,9,FALSE)+SETTINGS!$C$11,"" )</f>
        <v/>
      </c>
      <c r="M402" s="23" t="str">
        <f>IFERROR((E402*VLOOKUP(D402,FILAMENTI_DB!$A:$J,8,FALSE))+((VLOOKUP(C402,STAMPANTI_DB!$A:$C,3,FALSE)/1000)*F402*SETTINGS!$C$6)+(F402*VLOOKUP(C402,STAMPANTI_DB!$A:$I,9,FALSE)),"")</f>
        <v/>
      </c>
    </row>
    <row r="403" spans="8:13" x14ac:dyDescent="0.2">
      <c r="H403" t="str">
        <f>IFERROR(E403*VLOOKUP(D403,FILAMENTI_DB!$A:$J,8,FALSE)+(VLOOKUP(C403,STAMPANTI_DB!$A:$C,3,FALSE)/1000)*F403*SETTINGS!$C$6+F403*VLOOKUP(C403,STAMPANTI_DB!$A:$I,9,FALSE)+SETTINGS!$C$11,"" )</f>
        <v/>
      </c>
      <c r="M403" s="23" t="str">
        <f>IFERROR((E403*VLOOKUP(D403,FILAMENTI_DB!$A:$J,8,FALSE))+((VLOOKUP(C403,STAMPANTI_DB!$A:$C,3,FALSE)/1000)*F403*SETTINGS!$C$6)+(F403*VLOOKUP(C403,STAMPANTI_DB!$A:$I,9,FALSE)),"")</f>
        <v/>
      </c>
    </row>
    <row r="404" spans="8:13" x14ac:dyDescent="0.2">
      <c r="H404" t="str">
        <f>IFERROR(E404*VLOOKUP(D404,FILAMENTI_DB!$A:$J,8,FALSE)+(VLOOKUP(C404,STAMPANTI_DB!$A:$C,3,FALSE)/1000)*F404*SETTINGS!$C$6+F404*VLOOKUP(C404,STAMPANTI_DB!$A:$I,9,FALSE)+SETTINGS!$C$11,"" )</f>
        <v/>
      </c>
      <c r="M404" s="23" t="str">
        <f>IFERROR((E404*VLOOKUP(D404,FILAMENTI_DB!$A:$J,8,FALSE))+((VLOOKUP(C404,STAMPANTI_DB!$A:$C,3,FALSE)/1000)*F404*SETTINGS!$C$6)+(F404*VLOOKUP(C404,STAMPANTI_DB!$A:$I,9,FALSE)),"")</f>
        <v/>
      </c>
    </row>
    <row r="405" spans="8:13" x14ac:dyDescent="0.2">
      <c r="H405" t="str">
        <f>IFERROR(E405*VLOOKUP(D405,FILAMENTI_DB!$A:$J,8,FALSE)+(VLOOKUP(C405,STAMPANTI_DB!$A:$C,3,FALSE)/1000)*F405*SETTINGS!$C$6+F405*VLOOKUP(C405,STAMPANTI_DB!$A:$I,9,FALSE)+SETTINGS!$C$11,"" )</f>
        <v/>
      </c>
      <c r="M405" s="23" t="str">
        <f>IFERROR((E405*VLOOKUP(D405,FILAMENTI_DB!$A:$J,8,FALSE))+((VLOOKUP(C405,STAMPANTI_DB!$A:$C,3,FALSE)/1000)*F405*SETTINGS!$C$6)+(F405*VLOOKUP(C405,STAMPANTI_DB!$A:$I,9,FALSE)),"")</f>
        <v/>
      </c>
    </row>
    <row r="406" spans="8:13" x14ac:dyDescent="0.2">
      <c r="H406" t="str">
        <f>IFERROR(E406*VLOOKUP(D406,FILAMENTI_DB!$A:$J,8,FALSE)+(VLOOKUP(C406,STAMPANTI_DB!$A:$C,3,FALSE)/1000)*F406*SETTINGS!$C$6+F406*VLOOKUP(C406,STAMPANTI_DB!$A:$I,9,FALSE)+SETTINGS!$C$11,"" )</f>
        <v/>
      </c>
      <c r="M406" s="23" t="str">
        <f>IFERROR((E406*VLOOKUP(D406,FILAMENTI_DB!$A:$J,8,FALSE))+((VLOOKUP(C406,STAMPANTI_DB!$A:$C,3,FALSE)/1000)*F406*SETTINGS!$C$6)+(F406*VLOOKUP(C406,STAMPANTI_DB!$A:$I,9,FALSE)),"")</f>
        <v/>
      </c>
    </row>
    <row r="407" spans="8:13" x14ac:dyDescent="0.2">
      <c r="H407" t="str">
        <f>IFERROR(E407*VLOOKUP(D407,FILAMENTI_DB!$A:$J,8,FALSE)+(VLOOKUP(C407,STAMPANTI_DB!$A:$C,3,FALSE)/1000)*F407*SETTINGS!$C$6+F407*VLOOKUP(C407,STAMPANTI_DB!$A:$I,9,FALSE)+SETTINGS!$C$11,"" )</f>
        <v/>
      </c>
      <c r="M407" s="23" t="str">
        <f>IFERROR((E407*VLOOKUP(D407,FILAMENTI_DB!$A:$J,8,FALSE))+((VLOOKUP(C407,STAMPANTI_DB!$A:$C,3,FALSE)/1000)*F407*SETTINGS!$C$6)+(F407*VLOOKUP(C407,STAMPANTI_DB!$A:$I,9,FALSE)),"")</f>
        <v/>
      </c>
    </row>
    <row r="408" spans="8:13" x14ac:dyDescent="0.2">
      <c r="H408" t="str">
        <f>IFERROR(E408*VLOOKUP(D408,FILAMENTI_DB!$A:$J,8,FALSE)+(VLOOKUP(C408,STAMPANTI_DB!$A:$C,3,FALSE)/1000)*F408*SETTINGS!$C$6+F408*VLOOKUP(C408,STAMPANTI_DB!$A:$I,9,FALSE)+SETTINGS!$C$11,"" )</f>
        <v/>
      </c>
      <c r="M408" s="23" t="str">
        <f>IFERROR((E408*VLOOKUP(D408,FILAMENTI_DB!$A:$J,8,FALSE))+((VLOOKUP(C408,STAMPANTI_DB!$A:$C,3,FALSE)/1000)*F408*SETTINGS!$C$6)+(F408*VLOOKUP(C408,STAMPANTI_DB!$A:$I,9,FALSE)),"")</f>
        <v/>
      </c>
    </row>
    <row r="409" spans="8:13" x14ac:dyDescent="0.2">
      <c r="H409" t="str">
        <f>IFERROR(E409*VLOOKUP(D409,FILAMENTI_DB!$A:$J,8,FALSE)+(VLOOKUP(C409,STAMPANTI_DB!$A:$C,3,FALSE)/1000)*F409*SETTINGS!$C$6+F409*VLOOKUP(C409,STAMPANTI_DB!$A:$I,9,FALSE)+SETTINGS!$C$11,"" )</f>
        <v/>
      </c>
      <c r="M409" s="23" t="str">
        <f>IFERROR((E409*VLOOKUP(D409,FILAMENTI_DB!$A:$J,8,FALSE))+((VLOOKUP(C409,STAMPANTI_DB!$A:$C,3,FALSE)/1000)*F409*SETTINGS!$C$6)+(F409*VLOOKUP(C409,STAMPANTI_DB!$A:$I,9,FALSE)),"")</f>
        <v/>
      </c>
    </row>
    <row r="410" spans="8:13" x14ac:dyDescent="0.2">
      <c r="H410" t="str">
        <f>IFERROR(E410*VLOOKUP(D410,FILAMENTI_DB!$A:$J,8,FALSE)+(VLOOKUP(C410,STAMPANTI_DB!$A:$C,3,FALSE)/1000)*F410*SETTINGS!$C$6+F410*VLOOKUP(C410,STAMPANTI_DB!$A:$I,9,FALSE)+SETTINGS!$C$11,"" )</f>
        <v/>
      </c>
      <c r="M410" s="23" t="str">
        <f>IFERROR((E410*VLOOKUP(D410,FILAMENTI_DB!$A:$J,8,FALSE))+((VLOOKUP(C410,STAMPANTI_DB!$A:$C,3,FALSE)/1000)*F410*SETTINGS!$C$6)+(F410*VLOOKUP(C410,STAMPANTI_DB!$A:$I,9,FALSE)),"")</f>
        <v/>
      </c>
    </row>
    <row r="411" spans="8:13" x14ac:dyDescent="0.2">
      <c r="H411" t="str">
        <f>IFERROR(E411*VLOOKUP(D411,FILAMENTI_DB!$A:$J,8,FALSE)+(VLOOKUP(C411,STAMPANTI_DB!$A:$C,3,FALSE)/1000)*F411*SETTINGS!$C$6+F411*VLOOKUP(C411,STAMPANTI_DB!$A:$I,9,FALSE)+SETTINGS!$C$11,"" )</f>
        <v/>
      </c>
      <c r="M411" s="23" t="str">
        <f>IFERROR((E411*VLOOKUP(D411,FILAMENTI_DB!$A:$J,8,FALSE))+((VLOOKUP(C411,STAMPANTI_DB!$A:$C,3,FALSE)/1000)*F411*SETTINGS!$C$6)+(F411*VLOOKUP(C411,STAMPANTI_DB!$A:$I,9,FALSE)),"")</f>
        <v/>
      </c>
    </row>
    <row r="412" spans="8:13" x14ac:dyDescent="0.2">
      <c r="H412" t="str">
        <f>IFERROR(E412*VLOOKUP(D412,FILAMENTI_DB!$A:$J,8,FALSE)+(VLOOKUP(C412,STAMPANTI_DB!$A:$C,3,FALSE)/1000)*F412*SETTINGS!$C$6+F412*VLOOKUP(C412,STAMPANTI_DB!$A:$I,9,FALSE)+SETTINGS!$C$11,"" )</f>
        <v/>
      </c>
      <c r="M412" s="23" t="str">
        <f>IFERROR((E412*VLOOKUP(D412,FILAMENTI_DB!$A:$J,8,FALSE))+((VLOOKUP(C412,STAMPANTI_DB!$A:$C,3,FALSE)/1000)*F412*SETTINGS!$C$6)+(F412*VLOOKUP(C412,STAMPANTI_DB!$A:$I,9,FALSE)),"")</f>
        <v/>
      </c>
    </row>
    <row r="413" spans="8:13" x14ac:dyDescent="0.2">
      <c r="H413" t="str">
        <f>IFERROR(E413*VLOOKUP(D413,FILAMENTI_DB!$A:$J,8,FALSE)+(VLOOKUP(C413,STAMPANTI_DB!$A:$C,3,FALSE)/1000)*F413*SETTINGS!$C$6+F413*VLOOKUP(C413,STAMPANTI_DB!$A:$I,9,FALSE)+SETTINGS!$C$11,"" )</f>
        <v/>
      </c>
      <c r="M413" s="23" t="str">
        <f>IFERROR((E413*VLOOKUP(D413,FILAMENTI_DB!$A:$J,8,FALSE))+((VLOOKUP(C413,STAMPANTI_DB!$A:$C,3,FALSE)/1000)*F413*SETTINGS!$C$6)+(F413*VLOOKUP(C413,STAMPANTI_DB!$A:$I,9,FALSE)),"")</f>
        <v/>
      </c>
    </row>
    <row r="414" spans="8:13" x14ac:dyDescent="0.2">
      <c r="H414" t="str">
        <f>IFERROR(E414*VLOOKUP(D414,FILAMENTI_DB!$A:$J,8,FALSE)+(VLOOKUP(C414,STAMPANTI_DB!$A:$C,3,FALSE)/1000)*F414*SETTINGS!$C$6+F414*VLOOKUP(C414,STAMPANTI_DB!$A:$I,9,FALSE)+SETTINGS!$C$11,"" )</f>
        <v/>
      </c>
      <c r="M414" s="23" t="str">
        <f>IFERROR((E414*VLOOKUP(D414,FILAMENTI_DB!$A:$J,8,FALSE))+((VLOOKUP(C414,STAMPANTI_DB!$A:$C,3,FALSE)/1000)*F414*SETTINGS!$C$6)+(F414*VLOOKUP(C414,STAMPANTI_DB!$A:$I,9,FALSE)),"")</f>
        <v/>
      </c>
    </row>
    <row r="415" spans="8:13" x14ac:dyDescent="0.2">
      <c r="H415" t="str">
        <f>IFERROR(E415*VLOOKUP(D415,FILAMENTI_DB!$A:$J,8,FALSE)+(VLOOKUP(C415,STAMPANTI_DB!$A:$C,3,FALSE)/1000)*F415*SETTINGS!$C$6+F415*VLOOKUP(C415,STAMPANTI_DB!$A:$I,9,FALSE)+SETTINGS!$C$11,"" )</f>
        <v/>
      </c>
      <c r="M415" s="23" t="str">
        <f>IFERROR((E415*VLOOKUP(D415,FILAMENTI_DB!$A:$J,8,FALSE))+((VLOOKUP(C415,STAMPANTI_DB!$A:$C,3,FALSE)/1000)*F415*SETTINGS!$C$6)+(F415*VLOOKUP(C415,STAMPANTI_DB!$A:$I,9,FALSE)),"")</f>
        <v/>
      </c>
    </row>
    <row r="416" spans="8:13" x14ac:dyDescent="0.2">
      <c r="H416" t="str">
        <f>IFERROR(E416*VLOOKUP(D416,FILAMENTI_DB!$A:$J,8,FALSE)+(VLOOKUP(C416,STAMPANTI_DB!$A:$C,3,FALSE)/1000)*F416*SETTINGS!$C$6+F416*VLOOKUP(C416,STAMPANTI_DB!$A:$I,9,FALSE)+SETTINGS!$C$11,"" )</f>
        <v/>
      </c>
      <c r="M416" s="23" t="str">
        <f>IFERROR((E416*VLOOKUP(D416,FILAMENTI_DB!$A:$J,8,FALSE))+((VLOOKUP(C416,STAMPANTI_DB!$A:$C,3,FALSE)/1000)*F416*SETTINGS!$C$6)+(F416*VLOOKUP(C416,STAMPANTI_DB!$A:$I,9,FALSE)),"")</f>
        <v/>
      </c>
    </row>
    <row r="417" spans="8:13" x14ac:dyDescent="0.2">
      <c r="H417" t="str">
        <f>IFERROR(E417*VLOOKUP(D417,FILAMENTI_DB!$A:$J,8,FALSE)+(VLOOKUP(C417,STAMPANTI_DB!$A:$C,3,FALSE)/1000)*F417*SETTINGS!$C$6+F417*VLOOKUP(C417,STAMPANTI_DB!$A:$I,9,FALSE)+SETTINGS!$C$11,"" )</f>
        <v/>
      </c>
      <c r="M417" s="23" t="str">
        <f>IFERROR((E417*VLOOKUP(D417,FILAMENTI_DB!$A:$J,8,FALSE))+((VLOOKUP(C417,STAMPANTI_DB!$A:$C,3,FALSE)/1000)*F417*SETTINGS!$C$6)+(F417*VLOOKUP(C417,STAMPANTI_DB!$A:$I,9,FALSE)),"")</f>
        <v/>
      </c>
    </row>
    <row r="418" spans="8:13" x14ac:dyDescent="0.2">
      <c r="H418" t="str">
        <f>IFERROR(E418*VLOOKUP(D418,FILAMENTI_DB!$A:$J,8,FALSE)+(VLOOKUP(C418,STAMPANTI_DB!$A:$C,3,FALSE)/1000)*F418*SETTINGS!$C$6+F418*VLOOKUP(C418,STAMPANTI_DB!$A:$I,9,FALSE)+SETTINGS!$C$11,"" )</f>
        <v/>
      </c>
      <c r="M418" s="23" t="str">
        <f>IFERROR((E418*VLOOKUP(D418,FILAMENTI_DB!$A:$J,8,FALSE))+((VLOOKUP(C418,STAMPANTI_DB!$A:$C,3,FALSE)/1000)*F418*SETTINGS!$C$6)+(F418*VLOOKUP(C418,STAMPANTI_DB!$A:$I,9,FALSE)),"")</f>
        <v/>
      </c>
    </row>
    <row r="419" spans="8:13" x14ac:dyDescent="0.2">
      <c r="H419" t="str">
        <f>IFERROR(E419*VLOOKUP(D419,FILAMENTI_DB!$A:$J,8,FALSE)+(VLOOKUP(C419,STAMPANTI_DB!$A:$C,3,FALSE)/1000)*F419*SETTINGS!$C$6+F419*VLOOKUP(C419,STAMPANTI_DB!$A:$I,9,FALSE)+SETTINGS!$C$11,"" )</f>
        <v/>
      </c>
      <c r="M419" s="23" t="str">
        <f>IFERROR((E419*VLOOKUP(D419,FILAMENTI_DB!$A:$J,8,FALSE))+((VLOOKUP(C419,STAMPANTI_DB!$A:$C,3,FALSE)/1000)*F419*SETTINGS!$C$6)+(F419*VLOOKUP(C419,STAMPANTI_DB!$A:$I,9,FALSE)),"")</f>
        <v/>
      </c>
    </row>
    <row r="420" spans="8:13" x14ac:dyDescent="0.2">
      <c r="H420" t="str">
        <f>IFERROR(E420*VLOOKUP(D420,FILAMENTI_DB!$A:$J,8,FALSE)+(VLOOKUP(C420,STAMPANTI_DB!$A:$C,3,FALSE)/1000)*F420*SETTINGS!$C$6+F420*VLOOKUP(C420,STAMPANTI_DB!$A:$I,9,FALSE)+SETTINGS!$C$11,"" )</f>
        <v/>
      </c>
      <c r="M420" s="23" t="str">
        <f>IFERROR((E420*VLOOKUP(D420,FILAMENTI_DB!$A:$J,8,FALSE))+((VLOOKUP(C420,STAMPANTI_DB!$A:$C,3,FALSE)/1000)*F420*SETTINGS!$C$6)+(F420*VLOOKUP(C420,STAMPANTI_DB!$A:$I,9,FALSE)),"")</f>
        <v/>
      </c>
    </row>
    <row r="421" spans="8:13" x14ac:dyDescent="0.2">
      <c r="H421" t="str">
        <f>IFERROR(E421*VLOOKUP(D421,FILAMENTI_DB!$A:$J,8,FALSE)+(VLOOKUP(C421,STAMPANTI_DB!$A:$C,3,FALSE)/1000)*F421*SETTINGS!$C$6+F421*VLOOKUP(C421,STAMPANTI_DB!$A:$I,9,FALSE)+SETTINGS!$C$11,"" )</f>
        <v/>
      </c>
      <c r="M421" s="23" t="str">
        <f>IFERROR((E421*VLOOKUP(D421,FILAMENTI_DB!$A:$J,8,FALSE))+((VLOOKUP(C421,STAMPANTI_DB!$A:$C,3,FALSE)/1000)*F421*SETTINGS!$C$6)+(F421*VLOOKUP(C421,STAMPANTI_DB!$A:$I,9,FALSE)),"")</f>
        <v/>
      </c>
    </row>
    <row r="422" spans="8:13" x14ac:dyDescent="0.2">
      <c r="H422" t="str">
        <f>IFERROR(E422*VLOOKUP(D422,FILAMENTI_DB!$A:$J,8,FALSE)+(VLOOKUP(C422,STAMPANTI_DB!$A:$C,3,FALSE)/1000)*F422*SETTINGS!$C$6+F422*VLOOKUP(C422,STAMPANTI_DB!$A:$I,9,FALSE)+SETTINGS!$C$11,"" )</f>
        <v/>
      </c>
      <c r="M422" s="23" t="str">
        <f>IFERROR((E422*VLOOKUP(D422,FILAMENTI_DB!$A:$J,8,FALSE))+((VLOOKUP(C422,STAMPANTI_DB!$A:$C,3,FALSE)/1000)*F422*SETTINGS!$C$6)+(F422*VLOOKUP(C422,STAMPANTI_DB!$A:$I,9,FALSE)),"")</f>
        <v/>
      </c>
    </row>
    <row r="423" spans="8:13" x14ac:dyDescent="0.2">
      <c r="H423" t="str">
        <f>IFERROR(E423*VLOOKUP(D423,FILAMENTI_DB!$A:$J,8,FALSE)+(VLOOKUP(C423,STAMPANTI_DB!$A:$C,3,FALSE)/1000)*F423*SETTINGS!$C$6+F423*VLOOKUP(C423,STAMPANTI_DB!$A:$I,9,FALSE)+SETTINGS!$C$11,"" )</f>
        <v/>
      </c>
      <c r="M423" s="23" t="str">
        <f>IFERROR((E423*VLOOKUP(D423,FILAMENTI_DB!$A:$J,8,FALSE))+((VLOOKUP(C423,STAMPANTI_DB!$A:$C,3,FALSE)/1000)*F423*SETTINGS!$C$6)+(F423*VLOOKUP(C423,STAMPANTI_DB!$A:$I,9,FALSE)),"")</f>
        <v/>
      </c>
    </row>
    <row r="424" spans="8:13" x14ac:dyDescent="0.2">
      <c r="H424" t="str">
        <f>IFERROR(E424*VLOOKUP(D424,FILAMENTI_DB!$A:$J,8,FALSE)+(VLOOKUP(C424,STAMPANTI_DB!$A:$C,3,FALSE)/1000)*F424*SETTINGS!$C$6+F424*VLOOKUP(C424,STAMPANTI_DB!$A:$I,9,FALSE)+SETTINGS!$C$11,"" )</f>
        <v/>
      </c>
      <c r="M424" s="23" t="str">
        <f>IFERROR((E424*VLOOKUP(D424,FILAMENTI_DB!$A:$J,8,FALSE))+((VLOOKUP(C424,STAMPANTI_DB!$A:$C,3,FALSE)/1000)*F424*SETTINGS!$C$6)+(F424*VLOOKUP(C424,STAMPANTI_DB!$A:$I,9,FALSE)),"")</f>
        <v/>
      </c>
    </row>
    <row r="425" spans="8:13" x14ac:dyDescent="0.2">
      <c r="H425" t="str">
        <f>IFERROR(E425*VLOOKUP(D425,FILAMENTI_DB!$A:$J,8,FALSE)+(VLOOKUP(C425,STAMPANTI_DB!$A:$C,3,FALSE)/1000)*F425*SETTINGS!$C$6+F425*VLOOKUP(C425,STAMPANTI_DB!$A:$I,9,FALSE)+SETTINGS!$C$11,"" )</f>
        <v/>
      </c>
      <c r="M425" s="23" t="str">
        <f>IFERROR((E425*VLOOKUP(D425,FILAMENTI_DB!$A:$J,8,FALSE))+((VLOOKUP(C425,STAMPANTI_DB!$A:$C,3,FALSE)/1000)*F425*SETTINGS!$C$6)+(F425*VLOOKUP(C425,STAMPANTI_DB!$A:$I,9,FALSE)),"")</f>
        <v/>
      </c>
    </row>
    <row r="426" spans="8:13" x14ac:dyDescent="0.2">
      <c r="H426" t="str">
        <f>IFERROR(E426*VLOOKUP(D426,FILAMENTI_DB!$A:$J,8,FALSE)+(VLOOKUP(C426,STAMPANTI_DB!$A:$C,3,FALSE)/1000)*F426*SETTINGS!$C$6+F426*VLOOKUP(C426,STAMPANTI_DB!$A:$I,9,FALSE)+SETTINGS!$C$11,"" )</f>
        <v/>
      </c>
      <c r="M426" s="23" t="str">
        <f>IFERROR((E426*VLOOKUP(D426,FILAMENTI_DB!$A:$J,8,FALSE))+((VLOOKUP(C426,STAMPANTI_DB!$A:$C,3,FALSE)/1000)*F426*SETTINGS!$C$6)+(F426*VLOOKUP(C426,STAMPANTI_DB!$A:$I,9,FALSE)),"")</f>
        <v/>
      </c>
    </row>
    <row r="427" spans="8:13" x14ac:dyDescent="0.2">
      <c r="H427" t="str">
        <f>IFERROR(E427*VLOOKUP(D427,FILAMENTI_DB!$A:$J,8,FALSE)+(VLOOKUP(C427,STAMPANTI_DB!$A:$C,3,FALSE)/1000)*F427*SETTINGS!$C$6+F427*VLOOKUP(C427,STAMPANTI_DB!$A:$I,9,FALSE)+SETTINGS!$C$11,"" )</f>
        <v/>
      </c>
      <c r="M427" s="23" t="str">
        <f>IFERROR((E427*VLOOKUP(D427,FILAMENTI_DB!$A:$J,8,FALSE))+((VLOOKUP(C427,STAMPANTI_DB!$A:$C,3,FALSE)/1000)*F427*SETTINGS!$C$6)+(F427*VLOOKUP(C427,STAMPANTI_DB!$A:$I,9,FALSE)),"")</f>
        <v/>
      </c>
    </row>
    <row r="428" spans="8:13" x14ac:dyDescent="0.2">
      <c r="H428" t="str">
        <f>IFERROR(E428*VLOOKUP(D428,FILAMENTI_DB!$A:$J,8,FALSE)+(VLOOKUP(C428,STAMPANTI_DB!$A:$C,3,FALSE)/1000)*F428*SETTINGS!$C$6+F428*VLOOKUP(C428,STAMPANTI_DB!$A:$I,9,FALSE)+SETTINGS!$C$11,"" )</f>
        <v/>
      </c>
      <c r="M428" s="23" t="str">
        <f>IFERROR((E428*VLOOKUP(D428,FILAMENTI_DB!$A:$J,8,FALSE))+((VLOOKUP(C428,STAMPANTI_DB!$A:$C,3,FALSE)/1000)*F428*SETTINGS!$C$6)+(F428*VLOOKUP(C428,STAMPANTI_DB!$A:$I,9,FALSE)),"")</f>
        <v/>
      </c>
    </row>
    <row r="429" spans="8:13" x14ac:dyDescent="0.2">
      <c r="H429" t="str">
        <f>IFERROR(E429*VLOOKUP(D429,FILAMENTI_DB!$A:$J,8,FALSE)+(VLOOKUP(C429,STAMPANTI_DB!$A:$C,3,FALSE)/1000)*F429*SETTINGS!$C$6+F429*VLOOKUP(C429,STAMPANTI_DB!$A:$I,9,FALSE)+SETTINGS!$C$11,"" )</f>
        <v/>
      </c>
      <c r="M429" s="23" t="str">
        <f>IFERROR((E429*VLOOKUP(D429,FILAMENTI_DB!$A:$J,8,FALSE))+((VLOOKUP(C429,STAMPANTI_DB!$A:$C,3,FALSE)/1000)*F429*SETTINGS!$C$6)+(F429*VLOOKUP(C429,STAMPANTI_DB!$A:$I,9,FALSE)),"")</f>
        <v/>
      </c>
    </row>
    <row r="430" spans="8:13" x14ac:dyDescent="0.2">
      <c r="H430" t="str">
        <f>IFERROR(E430*VLOOKUP(D430,FILAMENTI_DB!$A:$J,8,FALSE)+(VLOOKUP(C430,STAMPANTI_DB!$A:$C,3,FALSE)/1000)*F430*SETTINGS!$C$6+F430*VLOOKUP(C430,STAMPANTI_DB!$A:$I,9,FALSE)+SETTINGS!$C$11,"" )</f>
        <v/>
      </c>
      <c r="M430" s="23" t="str">
        <f>IFERROR((E430*VLOOKUP(D430,FILAMENTI_DB!$A:$J,8,FALSE))+((VLOOKUP(C430,STAMPANTI_DB!$A:$C,3,FALSE)/1000)*F430*SETTINGS!$C$6)+(F430*VLOOKUP(C430,STAMPANTI_DB!$A:$I,9,FALSE)),"")</f>
        <v/>
      </c>
    </row>
    <row r="431" spans="8:13" x14ac:dyDescent="0.2">
      <c r="H431" t="str">
        <f>IFERROR(E431*VLOOKUP(D431,FILAMENTI_DB!$A:$J,8,FALSE)+(VLOOKUP(C431,STAMPANTI_DB!$A:$C,3,FALSE)/1000)*F431*SETTINGS!$C$6+F431*VLOOKUP(C431,STAMPANTI_DB!$A:$I,9,FALSE)+SETTINGS!$C$11,"" )</f>
        <v/>
      </c>
      <c r="M431" s="23" t="str">
        <f>IFERROR((E431*VLOOKUP(D431,FILAMENTI_DB!$A:$J,8,FALSE))+((VLOOKUP(C431,STAMPANTI_DB!$A:$C,3,FALSE)/1000)*F431*SETTINGS!$C$6)+(F431*VLOOKUP(C431,STAMPANTI_DB!$A:$I,9,FALSE)),"")</f>
        <v/>
      </c>
    </row>
    <row r="432" spans="8:13" x14ac:dyDescent="0.2">
      <c r="H432" t="str">
        <f>IFERROR(E432*VLOOKUP(D432,FILAMENTI_DB!$A:$J,8,FALSE)+(VLOOKUP(C432,STAMPANTI_DB!$A:$C,3,FALSE)/1000)*F432*SETTINGS!$C$6+F432*VLOOKUP(C432,STAMPANTI_DB!$A:$I,9,FALSE)+SETTINGS!$C$11,"" )</f>
        <v/>
      </c>
      <c r="M432" s="23" t="str">
        <f>IFERROR((E432*VLOOKUP(D432,FILAMENTI_DB!$A:$J,8,FALSE))+((VLOOKUP(C432,STAMPANTI_DB!$A:$C,3,FALSE)/1000)*F432*SETTINGS!$C$6)+(F432*VLOOKUP(C432,STAMPANTI_DB!$A:$I,9,FALSE)),"")</f>
        <v/>
      </c>
    </row>
    <row r="433" spans="8:13" x14ac:dyDescent="0.2">
      <c r="H433" t="str">
        <f>IFERROR(E433*VLOOKUP(D433,FILAMENTI_DB!$A:$J,8,FALSE)+(VLOOKUP(C433,STAMPANTI_DB!$A:$C,3,FALSE)/1000)*F433*SETTINGS!$C$6+F433*VLOOKUP(C433,STAMPANTI_DB!$A:$I,9,FALSE)+SETTINGS!$C$11,"" )</f>
        <v/>
      </c>
      <c r="M433" s="23" t="str">
        <f>IFERROR((E433*VLOOKUP(D433,FILAMENTI_DB!$A:$J,8,FALSE))+((VLOOKUP(C433,STAMPANTI_DB!$A:$C,3,FALSE)/1000)*F433*SETTINGS!$C$6)+(F433*VLOOKUP(C433,STAMPANTI_DB!$A:$I,9,FALSE)),"")</f>
        <v/>
      </c>
    </row>
    <row r="434" spans="8:13" x14ac:dyDescent="0.2">
      <c r="H434" t="str">
        <f>IFERROR(E434*VLOOKUP(D434,FILAMENTI_DB!$A:$J,8,FALSE)+(VLOOKUP(C434,STAMPANTI_DB!$A:$C,3,FALSE)/1000)*F434*SETTINGS!$C$6+F434*VLOOKUP(C434,STAMPANTI_DB!$A:$I,9,FALSE)+SETTINGS!$C$11,"" )</f>
        <v/>
      </c>
      <c r="M434" s="23" t="str">
        <f>IFERROR((E434*VLOOKUP(D434,FILAMENTI_DB!$A:$J,8,FALSE))+((VLOOKUP(C434,STAMPANTI_DB!$A:$C,3,FALSE)/1000)*F434*SETTINGS!$C$6)+(F434*VLOOKUP(C434,STAMPANTI_DB!$A:$I,9,FALSE)),"")</f>
        <v/>
      </c>
    </row>
    <row r="435" spans="8:13" x14ac:dyDescent="0.2">
      <c r="H435" t="str">
        <f>IFERROR(E435*VLOOKUP(D435,FILAMENTI_DB!$A:$J,8,FALSE)+(VLOOKUP(C435,STAMPANTI_DB!$A:$C,3,FALSE)/1000)*F435*SETTINGS!$C$6+F435*VLOOKUP(C435,STAMPANTI_DB!$A:$I,9,FALSE)+SETTINGS!$C$11,"" )</f>
        <v/>
      </c>
      <c r="M435" s="23" t="str">
        <f>IFERROR((E435*VLOOKUP(D435,FILAMENTI_DB!$A:$J,8,FALSE))+((VLOOKUP(C435,STAMPANTI_DB!$A:$C,3,FALSE)/1000)*F435*SETTINGS!$C$6)+(F435*VLOOKUP(C435,STAMPANTI_DB!$A:$I,9,FALSE)),"")</f>
        <v/>
      </c>
    </row>
    <row r="436" spans="8:13" x14ac:dyDescent="0.2">
      <c r="H436" t="str">
        <f>IFERROR(E436*VLOOKUP(D436,FILAMENTI_DB!$A:$J,8,FALSE)+(VLOOKUP(C436,STAMPANTI_DB!$A:$C,3,FALSE)/1000)*F436*SETTINGS!$C$6+F436*VLOOKUP(C436,STAMPANTI_DB!$A:$I,9,FALSE)+SETTINGS!$C$11,"" )</f>
        <v/>
      </c>
      <c r="M436" s="23" t="str">
        <f>IFERROR((E436*VLOOKUP(D436,FILAMENTI_DB!$A:$J,8,FALSE))+((VLOOKUP(C436,STAMPANTI_DB!$A:$C,3,FALSE)/1000)*F436*SETTINGS!$C$6)+(F436*VLOOKUP(C436,STAMPANTI_DB!$A:$I,9,FALSE)),"")</f>
        <v/>
      </c>
    </row>
    <row r="437" spans="8:13" x14ac:dyDescent="0.2">
      <c r="H437" t="str">
        <f>IFERROR(E437*VLOOKUP(D437,FILAMENTI_DB!$A:$J,8,FALSE)+(VLOOKUP(C437,STAMPANTI_DB!$A:$C,3,FALSE)/1000)*F437*SETTINGS!$C$6+F437*VLOOKUP(C437,STAMPANTI_DB!$A:$I,9,FALSE)+SETTINGS!$C$11,"" )</f>
        <v/>
      </c>
      <c r="M437" s="23" t="str">
        <f>IFERROR((E437*VLOOKUP(D437,FILAMENTI_DB!$A:$J,8,FALSE))+((VLOOKUP(C437,STAMPANTI_DB!$A:$C,3,FALSE)/1000)*F437*SETTINGS!$C$6)+(F437*VLOOKUP(C437,STAMPANTI_DB!$A:$I,9,FALSE)),"")</f>
        <v/>
      </c>
    </row>
    <row r="438" spans="8:13" x14ac:dyDescent="0.2">
      <c r="H438" t="str">
        <f>IFERROR(E438*VLOOKUP(D438,FILAMENTI_DB!$A:$J,8,FALSE)+(VLOOKUP(C438,STAMPANTI_DB!$A:$C,3,FALSE)/1000)*F438*SETTINGS!$C$6+F438*VLOOKUP(C438,STAMPANTI_DB!$A:$I,9,FALSE)+SETTINGS!$C$11,"" )</f>
        <v/>
      </c>
      <c r="M438" s="23" t="str">
        <f>IFERROR((E438*VLOOKUP(D438,FILAMENTI_DB!$A:$J,8,FALSE))+((VLOOKUP(C438,STAMPANTI_DB!$A:$C,3,FALSE)/1000)*F438*SETTINGS!$C$6)+(F438*VLOOKUP(C438,STAMPANTI_DB!$A:$I,9,FALSE)),"")</f>
        <v/>
      </c>
    </row>
    <row r="439" spans="8:13" x14ac:dyDescent="0.2">
      <c r="H439" t="str">
        <f>IFERROR(E439*VLOOKUP(D439,FILAMENTI_DB!$A:$J,8,FALSE)+(VLOOKUP(C439,STAMPANTI_DB!$A:$C,3,FALSE)/1000)*F439*SETTINGS!$C$6+F439*VLOOKUP(C439,STAMPANTI_DB!$A:$I,9,FALSE)+SETTINGS!$C$11,"" )</f>
        <v/>
      </c>
      <c r="M439" s="23" t="str">
        <f>IFERROR((E439*VLOOKUP(D439,FILAMENTI_DB!$A:$J,8,FALSE))+((VLOOKUP(C439,STAMPANTI_DB!$A:$C,3,FALSE)/1000)*F439*SETTINGS!$C$6)+(F439*VLOOKUP(C439,STAMPANTI_DB!$A:$I,9,FALSE)),"")</f>
        <v/>
      </c>
    </row>
    <row r="440" spans="8:13" x14ac:dyDescent="0.2">
      <c r="H440" t="str">
        <f>IFERROR(E440*VLOOKUP(D440,FILAMENTI_DB!$A:$J,8,FALSE)+(VLOOKUP(C440,STAMPANTI_DB!$A:$C,3,FALSE)/1000)*F440*SETTINGS!$C$6+F440*VLOOKUP(C440,STAMPANTI_DB!$A:$I,9,FALSE)+SETTINGS!$C$11,"" )</f>
        <v/>
      </c>
      <c r="M440" s="23" t="str">
        <f>IFERROR((E440*VLOOKUP(D440,FILAMENTI_DB!$A:$J,8,FALSE))+((VLOOKUP(C440,STAMPANTI_DB!$A:$C,3,FALSE)/1000)*F440*SETTINGS!$C$6)+(F440*VLOOKUP(C440,STAMPANTI_DB!$A:$I,9,FALSE)),"")</f>
        <v/>
      </c>
    </row>
    <row r="441" spans="8:13" x14ac:dyDescent="0.2">
      <c r="H441" t="str">
        <f>IFERROR(E441*VLOOKUP(D441,FILAMENTI_DB!$A:$J,8,FALSE)+(VLOOKUP(C441,STAMPANTI_DB!$A:$C,3,FALSE)/1000)*F441*SETTINGS!$C$6+F441*VLOOKUP(C441,STAMPANTI_DB!$A:$I,9,FALSE)+SETTINGS!$C$11,"" )</f>
        <v/>
      </c>
      <c r="M441" s="23" t="str">
        <f>IFERROR((E441*VLOOKUP(D441,FILAMENTI_DB!$A:$J,8,FALSE))+((VLOOKUP(C441,STAMPANTI_DB!$A:$C,3,FALSE)/1000)*F441*SETTINGS!$C$6)+(F441*VLOOKUP(C441,STAMPANTI_DB!$A:$I,9,FALSE)),"")</f>
        <v/>
      </c>
    </row>
    <row r="442" spans="8:13" x14ac:dyDescent="0.2">
      <c r="H442" t="str">
        <f>IFERROR(E442*VLOOKUP(D442,FILAMENTI_DB!$A:$J,8,FALSE)+(VLOOKUP(C442,STAMPANTI_DB!$A:$C,3,FALSE)/1000)*F442*SETTINGS!$C$6+F442*VLOOKUP(C442,STAMPANTI_DB!$A:$I,9,FALSE)+SETTINGS!$C$11,"" )</f>
        <v/>
      </c>
      <c r="M442" s="23" t="str">
        <f>IFERROR((E442*VLOOKUP(D442,FILAMENTI_DB!$A:$J,8,FALSE))+((VLOOKUP(C442,STAMPANTI_DB!$A:$C,3,FALSE)/1000)*F442*SETTINGS!$C$6)+(F442*VLOOKUP(C442,STAMPANTI_DB!$A:$I,9,FALSE)),"")</f>
        <v/>
      </c>
    </row>
    <row r="443" spans="8:13" x14ac:dyDescent="0.2">
      <c r="H443" t="str">
        <f>IFERROR(E443*VLOOKUP(D443,FILAMENTI_DB!$A:$J,8,FALSE)+(VLOOKUP(C443,STAMPANTI_DB!$A:$C,3,FALSE)/1000)*F443*SETTINGS!$C$6+F443*VLOOKUP(C443,STAMPANTI_DB!$A:$I,9,FALSE)+SETTINGS!$C$11,"" )</f>
        <v/>
      </c>
      <c r="M443" s="23" t="str">
        <f>IFERROR((E443*VLOOKUP(D443,FILAMENTI_DB!$A:$J,8,FALSE))+((VLOOKUP(C443,STAMPANTI_DB!$A:$C,3,FALSE)/1000)*F443*SETTINGS!$C$6)+(F443*VLOOKUP(C443,STAMPANTI_DB!$A:$I,9,FALSE)),"")</f>
        <v/>
      </c>
    </row>
    <row r="444" spans="8:13" x14ac:dyDescent="0.2">
      <c r="H444" t="str">
        <f>IFERROR(E444*VLOOKUP(D444,FILAMENTI_DB!$A:$J,8,FALSE)+(VLOOKUP(C444,STAMPANTI_DB!$A:$C,3,FALSE)/1000)*F444*SETTINGS!$C$6+F444*VLOOKUP(C444,STAMPANTI_DB!$A:$I,9,FALSE)+SETTINGS!$C$11,"" )</f>
        <v/>
      </c>
      <c r="M444" s="23" t="str">
        <f>IFERROR((E444*VLOOKUP(D444,FILAMENTI_DB!$A:$J,8,FALSE))+((VLOOKUP(C444,STAMPANTI_DB!$A:$C,3,FALSE)/1000)*F444*SETTINGS!$C$6)+(F444*VLOOKUP(C444,STAMPANTI_DB!$A:$I,9,FALSE)),"")</f>
        <v/>
      </c>
    </row>
    <row r="445" spans="8:13" x14ac:dyDescent="0.2">
      <c r="H445" t="str">
        <f>IFERROR(E445*VLOOKUP(D445,FILAMENTI_DB!$A:$J,8,FALSE)+(VLOOKUP(C445,STAMPANTI_DB!$A:$C,3,FALSE)/1000)*F445*SETTINGS!$C$6+F445*VLOOKUP(C445,STAMPANTI_DB!$A:$I,9,FALSE)+SETTINGS!$C$11,"" )</f>
        <v/>
      </c>
      <c r="M445" s="23" t="str">
        <f>IFERROR((E445*VLOOKUP(D445,FILAMENTI_DB!$A:$J,8,FALSE))+((VLOOKUP(C445,STAMPANTI_DB!$A:$C,3,FALSE)/1000)*F445*SETTINGS!$C$6)+(F445*VLOOKUP(C445,STAMPANTI_DB!$A:$I,9,FALSE)),"")</f>
        <v/>
      </c>
    </row>
    <row r="446" spans="8:13" x14ac:dyDescent="0.2">
      <c r="H446" t="str">
        <f>IFERROR(E446*VLOOKUP(D446,FILAMENTI_DB!$A:$J,8,FALSE)+(VLOOKUP(C446,STAMPANTI_DB!$A:$C,3,FALSE)/1000)*F446*SETTINGS!$C$6+F446*VLOOKUP(C446,STAMPANTI_DB!$A:$I,9,FALSE)+SETTINGS!$C$11,"" )</f>
        <v/>
      </c>
      <c r="M446" s="23" t="str">
        <f>IFERROR((E446*VLOOKUP(D446,FILAMENTI_DB!$A:$J,8,FALSE))+((VLOOKUP(C446,STAMPANTI_DB!$A:$C,3,FALSE)/1000)*F446*SETTINGS!$C$6)+(F446*VLOOKUP(C446,STAMPANTI_DB!$A:$I,9,FALSE)),"")</f>
        <v/>
      </c>
    </row>
    <row r="447" spans="8:13" x14ac:dyDescent="0.2">
      <c r="H447" t="str">
        <f>IFERROR(E447*VLOOKUP(D447,FILAMENTI_DB!$A:$J,8,FALSE)+(VLOOKUP(C447,STAMPANTI_DB!$A:$C,3,FALSE)/1000)*F447*SETTINGS!$C$6+F447*VLOOKUP(C447,STAMPANTI_DB!$A:$I,9,FALSE)+SETTINGS!$C$11,"" )</f>
        <v/>
      </c>
      <c r="M447" s="23" t="str">
        <f>IFERROR((E447*VLOOKUP(D447,FILAMENTI_DB!$A:$J,8,FALSE))+((VLOOKUP(C447,STAMPANTI_DB!$A:$C,3,FALSE)/1000)*F447*SETTINGS!$C$6)+(F447*VLOOKUP(C447,STAMPANTI_DB!$A:$I,9,FALSE)),"")</f>
        <v/>
      </c>
    </row>
    <row r="448" spans="8:13" x14ac:dyDescent="0.2">
      <c r="H448" t="str">
        <f>IFERROR(E448*VLOOKUP(D448,FILAMENTI_DB!$A:$J,8,FALSE)+(VLOOKUP(C448,STAMPANTI_DB!$A:$C,3,FALSE)/1000)*F448*SETTINGS!$C$6+F448*VLOOKUP(C448,STAMPANTI_DB!$A:$I,9,FALSE)+SETTINGS!$C$11,"" )</f>
        <v/>
      </c>
      <c r="M448" s="23" t="str">
        <f>IFERROR((E448*VLOOKUP(D448,FILAMENTI_DB!$A:$J,8,FALSE))+((VLOOKUP(C448,STAMPANTI_DB!$A:$C,3,FALSE)/1000)*F448*SETTINGS!$C$6)+(F448*VLOOKUP(C448,STAMPANTI_DB!$A:$I,9,FALSE)),"")</f>
        <v/>
      </c>
    </row>
    <row r="449" spans="8:13" x14ac:dyDescent="0.2">
      <c r="H449" t="str">
        <f>IFERROR(E449*VLOOKUP(D449,FILAMENTI_DB!$A:$J,8,FALSE)+(VLOOKUP(C449,STAMPANTI_DB!$A:$C,3,FALSE)/1000)*F449*SETTINGS!$C$6+F449*VLOOKUP(C449,STAMPANTI_DB!$A:$I,9,FALSE)+SETTINGS!$C$11,"" )</f>
        <v/>
      </c>
      <c r="M449" s="23" t="str">
        <f>IFERROR((E449*VLOOKUP(D449,FILAMENTI_DB!$A:$J,8,FALSE))+((VLOOKUP(C449,STAMPANTI_DB!$A:$C,3,FALSE)/1000)*F449*SETTINGS!$C$6)+(F449*VLOOKUP(C449,STAMPANTI_DB!$A:$I,9,FALSE)),"")</f>
        <v/>
      </c>
    </row>
    <row r="450" spans="8:13" x14ac:dyDescent="0.2">
      <c r="H450" t="str">
        <f>IFERROR(E450*VLOOKUP(D450,FILAMENTI_DB!$A:$J,8,FALSE)+(VLOOKUP(C450,STAMPANTI_DB!$A:$C,3,FALSE)/1000)*F450*SETTINGS!$C$6+F450*VLOOKUP(C450,STAMPANTI_DB!$A:$I,9,FALSE)+SETTINGS!$C$11,"" )</f>
        <v/>
      </c>
      <c r="M450" s="23" t="str">
        <f>IFERROR((E450*VLOOKUP(D450,FILAMENTI_DB!$A:$J,8,FALSE))+((VLOOKUP(C450,STAMPANTI_DB!$A:$C,3,FALSE)/1000)*F450*SETTINGS!$C$6)+(F450*VLOOKUP(C450,STAMPANTI_DB!$A:$I,9,FALSE)),"")</f>
        <v/>
      </c>
    </row>
    <row r="451" spans="8:13" x14ac:dyDescent="0.2">
      <c r="H451" t="str">
        <f>IFERROR(E451*VLOOKUP(D451,FILAMENTI_DB!$A:$J,8,FALSE)+(VLOOKUP(C451,STAMPANTI_DB!$A:$C,3,FALSE)/1000)*F451*SETTINGS!$C$6+F451*VLOOKUP(C451,STAMPANTI_DB!$A:$I,9,FALSE)+SETTINGS!$C$11,"" )</f>
        <v/>
      </c>
      <c r="M451" s="23" t="str">
        <f>IFERROR((E451*VLOOKUP(D451,FILAMENTI_DB!$A:$J,8,FALSE))+((VLOOKUP(C451,STAMPANTI_DB!$A:$C,3,FALSE)/1000)*F451*SETTINGS!$C$6)+(F451*VLOOKUP(C451,STAMPANTI_DB!$A:$I,9,FALSE)),"")</f>
        <v/>
      </c>
    </row>
    <row r="452" spans="8:13" x14ac:dyDescent="0.2">
      <c r="H452" t="str">
        <f>IFERROR(E452*VLOOKUP(D452,FILAMENTI_DB!$A:$J,8,FALSE)+(VLOOKUP(C452,STAMPANTI_DB!$A:$C,3,FALSE)/1000)*F452*SETTINGS!$C$6+F452*VLOOKUP(C452,STAMPANTI_DB!$A:$I,9,FALSE)+SETTINGS!$C$11,"" )</f>
        <v/>
      </c>
      <c r="M452" s="23" t="str">
        <f>IFERROR((E452*VLOOKUP(D452,FILAMENTI_DB!$A:$J,8,FALSE))+((VLOOKUP(C452,STAMPANTI_DB!$A:$C,3,FALSE)/1000)*F452*SETTINGS!$C$6)+(F452*VLOOKUP(C452,STAMPANTI_DB!$A:$I,9,FALSE)),"")</f>
        <v/>
      </c>
    </row>
    <row r="453" spans="8:13" x14ac:dyDescent="0.2">
      <c r="H453" t="str">
        <f>IFERROR(E453*VLOOKUP(D453,FILAMENTI_DB!$A:$J,8,FALSE)+(VLOOKUP(C453,STAMPANTI_DB!$A:$C,3,FALSE)/1000)*F453*SETTINGS!$C$6+F453*VLOOKUP(C453,STAMPANTI_DB!$A:$I,9,FALSE)+SETTINGS!$C$11,"" )</f>
        <v/>
      </c>
      <c r="M453" s="23" t="str">
        <f>IFERROR((E453*VLOOKUP(D453,FILAMENTI_DB!$A:$J,8,FALSE))+((VLOOKUP(C453,STAMPANTI_DB!$A:$C,3,FALSE)/1000)*F453*SETTINGS!$C$6)+(F453*VLOOKUP(C453,STAMPANTI_DB!$A:$I,9,FALSE)),"")</f>
        <v/>
      </c>
    </row>
    <row r="454" spans="8:13" x14ac:dyDescent="0.2">
      <c r="H454" t="str">
        <f>IFERROR(E454*VLOOKUP(D454,FILAMENTI_DB!$A:$J,8,FALSE)+(VLOOKUP(C454,STAMPANTI_DB!$A:$C,3,FALSE)/1000)*F454*SETTINGS!$C$6+F454*VLOOKUP(C454,STAMPANTI_DB!$A:$I,9,FALSE)+SETTINGS!$C$11,"" )</f>
        <v/>
      </c>
      <c r="M454" s="23" t="str">
        <f>IFERROR((E454*VLOOKUP(D454,FILAMENTI_DB!$A:$J,8,FALSE))+((VLOOKUP(C454,STAMPANTI_DB!$A:$C,3,FALSE)/1000)*F454*SETTINGS!$C$6)+(F454*VLOOKUP(C454,STAMPANTI_DB!$A:$I,9,FALSE)),"")</f>
        <v/>
      </c>
    </row>
    <row r="455" spans="8:13" x14ac:dyDescent="0.2">
      <c r="H455" t="str">
        <f>IFERROR(E455*VLOOKUP(D455,FILAMENTI_DB!$A:$J,8,FALSE)+(VLOOKUP(C455,STAMPANTI_DB!$A:$C,3,FALSE)/1000)*F455*SETTINGS!$C$6+F455*VLOOKUP(C455,STAMPANTI_DB!$A:$I,9,FALSE)+SETTINGS!$C$11,"" )</f>
        <v/>
      </c>
      <c r="M455" s="23" t="str">
        <f>IFERROR((E455*VLOOKUP(D455,FILAMENTI_DB!$A:$J,8,FALSE))+((VLOOKUP(C455,STAMPANTI_DB!$A:$C,3,FALSE)/1000)*F455*SETTINGS!$C$6)+(F455*VLOOKUP(C455,STAMPANTI_DB!$A:$I,9,FALSE)),"")</f>
        <v/>
      </c>
    </row>
    <row r="456" spans="8:13" x14ac:dyDescent="0.2">
      <c r="H456" t="str">
        <f>IFERROR(E456*VLOOKUP(D456,FILAMENTI_DB!$A:$J,8,FALSE)+(VLOOKUP(C456,STAMPANTI_DB!$A:$C,3,FALSE)/1000)*F456*SETTINGS!$C$6+F456*VLOOKUP(C456,STAMPANTI_DB!$A:$I,9,FALSE)+SETTINGS!$C$11,"" )</f>
        <v/>
      </c>
      <c r="M456" s="23" t="str">
        <f>IFERROR((E456*VLOOKUP(D456,FILAMENTI_DB!$A:$J,8,FALSE))+((VLOOKUP(C456,STAMPANTI_DB!$A:$C,3,FALSE)/1000)*F456*SETTINGS!$C$6)+(F456*VLOOKUP(C456,STAMPANTI_DB!$A:$I,9,FALSE)),"")</f>
        <v/>
      </c>
    </row>
    <row r="457" spans="8:13" x14ac:dyDescent="0.2">
      <c r="H457" t="str">
        <f>IFERROR(E457*VLOOKUP(D457,FILAMENTI_DB!$A:$J,8,FALSE)+(VLOOKUP(C457,STAMPANTI_DB!$A:$C,3,FALSE)/1000)*F457*SETTINGS!$C$6+F457*VLOOKUP(C457,STAMPANTI_DB!$A:$I,9,FALSE)+SETTINGS!$C$11,"" )</f>
        <v/>
      </c>
      <c r="M457" s="23" t="str">
        <f>IFERROR((E457*VLOOKUP(D457,FILAMENTI_DB!$A:$J,8,FALSE))+((VLOOKUP(C457,STAMPANTI_DB!$A:$C,3,FALSE)/1000)*F457*SETTINGS!$C$6)+(F457*VLOOKUP(C457,STAMPANTI_DB!$A:$I,9,FALSE)),"")</f>
        <v/>
      </c>
    </row>
    <row r="458" spans="8:13" x14ac:dyDescent="0.2">
      <c r="H458" t="str">
        <f>IFERROR(E458*VLOOKUP(D458,FILAMENTI_DB!$A:$J,8,FALSE)+(VLOOKUP(C458,STAMPANTI_DB!$A:$C,3,FALSE)/1000)*F458*SETTINGS!$C$6+F458*VLOOKUP(C458,STAMPANTI_DB!$A:$I,9,FALSE)+SETTINGS!$C$11,"" )</f>
        <v/>
      </c>
      <c r="M458" s="23" t="str">
        <f>IFERROR((E458*VLOOKUP(D458,FILAMENTI_DB!$A:$J,8,FALSE))+((VLOOKUP(C458,STAMPANTI_DB!$A:$C,3,FALSE)/1000)*F458*SETTINGS!$C$6)+(F458*VLOOKUP(C458,STAMPANTI_DB!$A:$I,9,FALSE)),"")</f>
        <v/>
      </c>
    </row>
    <row r="459" spans="8:13" x14ac:dyDescent="0.2">
      <c r="H459" t="str">
        <f>IFERROR(E459*VLOOKUP(D459,FILAMENTI_DB!$A:$J,8,FALSE)+(VLOOKUP(C459,STAMPANTI_DB!$A:$C,3,FALSE)/1000)*F459*SETTINGS!$C$6+F459*VLOOKUP(C459,STAMPANTI_DB!$A:$I,9,FALSE)+SETTINGS!$C$11,"" )</f>
        <v/>
      </c>
      <c r="M459" s="23" t="str">
        <f>IFERROR((E459*VLOOKUP(D459,FILAMENTI_DB!$A:$J,8,FALSE))+((VLOOKUP(C459,STAMPANTI_DB!$A:$C,3,FALSE)/1000)*F459*SETTINGS!$C$6)+(F459*VLOOKUP(C459,STAMPANTI_DB!$A:$I,9,FALSE)),"")</f>
        <v/>
      </c>
    </row>
    <row r="460" spans="8:13" x14ac:dyDescent="0.2">
      <c r="H460" t="str">
        <f>IFERROR(E460*VLOOKUP(D460,FILAMENTI_DB!$A:$J,8,FALSE)+(VLOOKUP(C460,STAMPANTI_DB!$A:$C,3,FALSE)/1000)*F460*SETTINGS!$C$6+F460*VLOOKUP(C460,STAMPANTI_DB!$A:$I,9,FALSE)+SETTINGS!$C$11,"" )</f>
        <v/>
      </c>
      <c r="M460" s="23" t="str">
        <f>IFERROR((E460*VLOOKUP(D460,FILAMENTI_DB!$A:$J,8,FALSE))+((VLOOKUP(C460,STAMPANTI_DB!$A:$C,3,FALSE)/1000)*F460*SETTINGS!$C$6)+(F460*VLOOKUP(C460,STAMPANTI_DB!$A:$I,9,FALSE)),"")</f>
        <v/>
      </c>
    </row>
    <row r="461" spans="8:13" x14ac:dyDescent="0.2">
      <c r="H461" t="str">
        <f>IFERROR(E461*VLOOKUP(D461,FILAMENTI_DB!$A:$J,8,FALSE)+(VLOOKUP(C461,STAMPANTI_DB!$A:$C,3,FALSE)/1000)*F461*SETTINGS!$C$6+F461*VLOOKUP(C461,STAMPANTI_DB!$A:$I,9,FALSE)+SETTINGS!$C$11,"" )</f>
        <v/>
      </c>
      <c r="M461" s="23" t="str">
        <f>IFERROR((E461*VLOOKUP(D461,FILAMENTI_DB!$A:$J,8,FALSE))+((VLOOKUP(C461,STAMPANTI_DB!$A:$C,3,FALSE)/1000)*F461*SETTINGS!$C$6)+(F461*VLOOKUP(C461,STAMPANTI_DB!$A:$I,9,FALSE)),"")</f>
        <v/>
      </c>
    </row>
    <row r="462" spans="8:13" x14ac:dyDescent="0.2">
      <c r="H462" t="str">
        <f>IFERROR(E462*VLOOKUP(D462,FILAMENTI_DB!$A:$J,8,FALSE)+(VLOOKUP(C462,STAMPANTI_DB!$A:$C,3,FALSE)/1000)*F462*SETTINGS!$C$6+F462*VLOOKUP(C462,STAMPANTI_DB!$A:$I,9,FALSE)+SETTINGS!$C$11,"" )</f>
        <v/>
      </c>
      <c r="M462" s="23" t="str">
        <f>IFERROR((E462*VLOOKUP(D462,FILAMENTI_DB!$A:$J,8,FALSE))+((VLOOKUP(C462,STAMPANTI_DB!$A:$C,3,FALSE)/1000)*F462*SETTINGS!$C$6)+(F462*VLOOKUP(C462,STAMPANTI_DB!$A:$I,9,FALSE)),"")</f>
        <v/>
      </c>
    </row>
    <row r="463" spans="8:13" x14ac:dyDescent="0.2">
      <c r="H463" t="str">
        <f>IFERROR(E463*VLOOKUP(D463,FILAMENTI_DB!$A:$J,8,FALSE)+(VLOOKUP(C463,STAMPANTI_DB!$A:$C,3,FALSE)/1000)*F463*SETTINGS!$C$6+F463*VLOOKUP(C463,STAMPANTI_DB!$A:$I,9,FALSE)+SETTINGS!$C$11,"" )</f>
        <v/>
      </c>
      <c r="M463" s="23" t="str">
        <f>IFERROR((E463*VLOOKUP(D463,FILAMENTI_DB!$A:$J,8,FALSE))+((VLOOKUP(C463,STAMPANTI_DB!$A:$C,3,FALSE)/1000)*F463*SETTINGS!$C$6)+(F463*VLOOKUP(C463,STAMPANTI_DB!$A:$I,9,FALSE)),"")</f>
        <v/>
      </c>
    </row>
    <row r="464" spans="8:13" x14ac:dyDescent="0.2">
      <c r="H464" t="str">
        <f>IFERROR(E464*VLOOKUP(D464,FILAMENTI_DB!$A:$J,8,FALSE)+(VLOOKUP(C464,STAMPANTI_DB!$A:$C,3,FALSE)/1000)*F464*SETTINGS!$C$6+F464*VLOOKUP(C464,STAMPANTI_DB!$A:$I,9,FALSE)+SETTINGS!$C$11,"" )</f>
        <v/>
      </c>
      <c r="M464" s="23" t="str">
        <f>IFERROR((E464*VLOOKUP(D464,FILAMENTI_DB!$A:$J,8,FALSE))+((VLOOKUP(C464,STAMPANTI_DB!$A:$C,3,FALSE)/1000)*F464*SETTINGS!$C$6)+(F464*VLOOKUP(C464,STAMPANTI_DB!$A:$I,9,FALSE)),"")</f>
        <v/>
      </c>
    </row>
    <row r="465" spans="8:13" x14ac:dyDescent="0.2">
      <c r="H465" t="str">
        <f>IFERROR(E465*VLOOKUP(D465,FILAMENTI_DB!$A:$J,8,FALSE)+(VLOOKUP(C465,STAMPANTI_DB!$A:$C,3,FALSE)/1000)*F465*SETTINGS!$C$6+F465*VLOOKUP(C465,STAMPANTI_DB!$A:$I,9,FALSE)+SETTINGS!$C$11,"" )</f>
        <v/>
      </c>
      <c r="M465" s="23" t="str">
        <f>IFERROR((E465*VLOOKUP(D465,FILAMENTI_DB!$A:$J,8,FALSE))+((VLOOKUP(C465,STAMPANTI_DB!$A:$C,3,FALSE)/1000)*F465*SETTINGS!$C$6)+(F465*VLOOKUP(C465,STAMPANTI_DB!$A:$I,9,FALSE)),"")</f>
        <v/>
      </c>
    </row>
    <row r="466" spans="8:13" x14ac:dyDescent="0.2">
      <c r="H466" t="str">
        <f>IFERROR(E466*VLOOKUP(D466,FILAMENTI_DB!$A:$J,8,FALSE)+(VLOOKUP(C466,STAMPANTI_DB!$A:$C,3,FALSE)/1000)*F466*SETTINGS!$C$6+F466*VLOOKUP(C466,STAMPANTI_DB!$A:$I,9,FALSE)+SETTINGS!$C$11,"" )</f>
        <v/>
      </c>
      <c r="M466" s="23" t="str">
        <f>IFERROR((E466*VLOOKUP(D466,FILAMENTI_DB!$A:$J,8,FALSE))+((VLOOKUP(C466,STAMPANTI_DB!$A:$C,3,FALSE)/1000)*F466*SETTINGS!$C$6)+(F466*VLOOKUP(C466,STAMPANTI_DB!$A:$I,9,FALSE)),"")</f>
        <v/>
      </c>
    </row>
    <row r="467" spans="8:13" x14ac:dyDescent="0.2">
      <c r="H467" t="str">
        <f>IFERROR(E467*VLOOKUP(D467,FILAMENTI_DB!$A:$J,8,FALSE)+(VLOOKUP(C467,STAMPANTI_DB!$A:$C,3,FALSE)/1000)*F467*SETTINGS!$C$6+F467*VLOOKUP(C467,STAMPANTI_DB!$A:$I,9,FALSE)+SETTINGS!$C$11,"" )</f>
        <v/>
      </c>
      <c r="M467" s="23" t="str">
        <f>IFERROR((E467*VLOOKUP(D467,FILAMENTI_DB!$A:$J,8,FALSE))+((VLOOKUP(C467,STAMPANTI_DB!$A:$C,3,FALSE)/1000)*F467*SETTINGS!$C$6)+(F467*VLOOKUP(C467,STAMPANTI_DB!$A:$I,9,FALSE)),"")</f>
        <v/>
      </c>
    </row>
    <row r="468" spans="8:13" x14ac:dyDescent="0.2">
      <c r="H468" t="str">
        <f>IFERROR(E468*VLOOKUP(D468,FILAMENTI_DB!$A:$J,8,FALSE)+(VLOOKUP(C468,STAMPANTI_DB!$A:$C,3,FALSE)/1000)*F468*SETTINGS!$C$6+F468*VLOOKUP(C468,STAMPANTI_DB!$A:$I,9,FALSE)+SETTINGS!$C$11,"" )</f>
        <v/>
      </c>
      <c r="M468" s="23" t="str">
        <f>IFERROR((E468*VLOOKUP(D468,FILAMENTI_DB!$A:$J,8,FALSE))+((VLOOKUP(C468,STAMPANTI_DB!$A:$C,3,FALSE)/1000)*F468*SETTINGS!$C$6)+(F468*VLOOKUP(C468,STAMPANTI_DB!$A:$I,9,FALSE)),"")</f>
        <v/>
      </c>
    </row>
    <row r="469" spans="8:13" x14ac:dyDescent="0.2">
      <c r="H469" t="str">
        <f>IFERROR(E469*VLOOKUP(D469,FILAMENTI_DB!$A:$J,8,FALSE)+(VLOOKUP(C469,STAMPANTI_DB!$A:$C,3,FALSE)/1000)*F469*SETTINGS!$C$6+F469*VLOOKUP(C469,STAMPANTI_DB!$A:$I,9,FALSE)+SETTINGS!$C$11,"" )</f>
        <v/>
      </c>
      <c r="M469" s="23" t="str">
        <f>IFERROR((E469*VLOOKUP(D469,FILAMENTI_DB!$A:$J,8,FALSE))+((VLOOKUP(C469,STAMPANTI_DB!$A:$C,3,FALSE)/1000)*F469*SETTINGS!$C$6)+(F469*VLOOKUP(C469,STAMPANTI_DB!$A:$I,9,FALSE)),"")</f>
        <v/>
      </c>
    </row>
    <row r="470" spans="8:13" x14ac:dyDescent="0.2">
      <c r="H470" t="str">
        <f>IFERROR(E470*VLOOKUP(D470,FILAMENTI_DB!$A:$J,8,FALSE)+(VLOOKUP(C470,STAMPANTI_DB!$A:$C,3,FALSE)/1000)*F470*SETTINGS!$C$6+F470*VLOOKUP(C470,STAMPANTI_DB!$A:$I,9,FALSE)+SETTINGS!$C$11,"" )</f>
        <v/>
      </c>
      <c r="M470" s="23" t="str">
        <f>IFERROR((E470*VLOOKUP(D470,FILAMENTI_DB!$A:$J,8,FALSE))+((VLOOKUP(C470,STAMPANTI_DB!$A:$C,3,FALSE)/1000)*F470*SETTINGS!$C$6)+(F470*VLOOKUP(C470,STAMPANTI_DB!$A:$I,9,FALSE)),"")</f>
        <v/>
      </c>
    </row>
    <row r="471" spans="8:13" x14ac:dyDescent="0.2">
      <c r="H471" t="str">
        <f>IFERROR(E471*VLOOKUP(D471,FILAMENTI_DB!$A:$J,8,FALSE)+(VLOOKUP(C471,STAMPANTI_DB!$A:$C,3,FALSE)/1000)*F471*SETTINGS!$C$6+F471*VLOOKUP(C471,STAMPANTI_DB!$A:$I,9,FALSE)+SETTINGS!$C$11,"" )</f>
        <v/>
      </c>
      <c r="M471" s="23" t="str">
        <f>IFERROR((E471*VLOOKUP(D471,FILAMENTI_DB!$A:$J,8,FALSE))+((VLOOKUP(C471,STAMPANTI_DB!$A:$C,3,FALSE)/1000)*F471*SETTINGS!$C$6)+(F471*VLOOKUP(C471,STAMPANTI_DB!$A:$I,9,FALSE)),"")</f>
        <v/>
      </c>
    </row>
    <row r="472" spans="8:13" x14ac:dyDescent="0.2">
      <c r="H472" t="str">
        <f>IFERROR(E472*VLOOKUP(D472,FILAMENTI_DB!$A:$J,8,FALSE)+(VLOOKUP(C472,STAMPANTI_DB!$A:$C,3,FALSE)/1000)*F472*SETTINGS!$C$6+F472*VLOOKUP(C472,STAMPANTI_DB!$A:$I,9,FALSE)+SETTINGS!$C$11,"" )</f>
        <v/>
      </c>
      <c r="M472" s="23" t="str">
        <f>IFERROR((E472*VLOOKUP(D472,FILAMENTI_DB!$A:$J,8,FALSE))+((VLOOKUP(C472,STAMPANTI_DB!$A:$C,3,FALSE)/1000)*F472*SETTINGS!$C$6)+(F472*VLOOKUP(C472,STAMPANTI_DB!$A:$I,9,FALSE)),"")</f>
        <v/>
      </c>
    </row>
    <row r="473" spans="8:13" x14ac:dyDescent="0.2">
      <c r="H473" t="str">
        <f>IFERROR(E473*VLOOKUP(D473,FILAMENTI_DB!$A:$J,8,FALSE)+(VLOOKUP(C473,STAMPANTI_DB!$A:$C,3,FALSE)/1000)*F473*SETTINGS!$C$6+F473*VLOOKUP(C473,STAMPANTI_DB!$A:$I,9,FALSE)+SETTINGS!$C$11,"" )</f>
        <v/>
      </c>
      <c r="M473" s="23" t="str">
        <f>IFERROR((E473*VLOOKUP(D473,FILAMENTI_DB!$A:$J,8,FALSE))+((VLOOKUP(C473,STAMPANTI_DB!$A:$C,3,FALSE)/1000)*F473*SETTINGS!$C$6)+(F473*VLOOKUP(C473,STAMPANTI_DB!$A:$I,9,FALSE)),"")</f>
        <v/>
      </c>
    </row>
    <row r="474" spans="8:13" x14ac:dyDescent="0.2">
      <c r="H474" t="str">
        <f>IFERROR(E474*VLOOKUP(D474,FILAMENTI_DB!$A:$J,8,FALSE)+(VLOOKUP(C474,STAMPANTI_DB!$A:$C,3,FALSE)/1000)*F474*SETTINGS!$C$6+F474*VLOOKUP(C474,STAMPANTI_DB!$A:$I,9,FALSE)+SETTINGS!$C$11,"" )</f>
        <v/>
      </c>
      <c r="M474" s="23" t="str">
        <f>IFERROR((E474*VLOOKUP(D474,FILAMENTI_DB!$A:$J,8,FALSE))+((VLOOKUP(C474,STAMPANTI_DB!$A:$C,3,FALSE)/1000)*F474*SETTINGS!$C$6)+(F474*VLOOKUP(C474,STAMPANTI_DB!$A:$I,9,FALSE)),"")</f>
        <v/>
      </c>
    </row>
    <row r="475" spans="8:13" x14ac:dyDescent="0.2">
      <c r="H475" t="str">
        <f>IFERROR(E475*VLOOKUP(D475,FILAMENTI_DB!$A:$J,8,FALSE)+(VLOOKUP(C475,STAMPANTI_DB!$A:$C,3,FALSE)/1000)*F475*SETTINGS!$C$6+F475*VLOOKUP(C475,STAMPANTI_DB!$A:$I,9,FALSE)+SETTINGS!$C$11,"" )</f>
        <v/>
      </c>
      <c r="M475" s="23" t="str">
        <f>IFERROR((E475*VLOOKUP(D475,FILAMENTI_DB!$A:$J,8,FALSE))+((VLOOKUP(C475,STAMPANTI_DB!$A:$C,3,FALSE)/1000)*F475*SETTINGS!$C$6)+(F475*VLOOKUP(C475,STAMPANTI_DB!$A:$I,9,FALSE)),"")</f>
        <v/>
      </c>
    </row>
    <row r="476" spans="8:13" x14ac:dyDescent="0.2">
      <c r="H476" t="str">
        <f>IFERROR(E476*VLOOKUP(D476,FILAMENTI_DB!$A:$J,8,FALSE)+(VLOOKUP(C476,STAMPANTI_DB!$A:$C,3,FALSE)/1000)*F476*SETTINGS!$C$6+F476*VLOOKUP(C476,STAMPANTI_DB!$A:$I,9,FALSE)+SETTINGS!$C$11,"" )</f>
        <v/>
      </c>
      <c r="M476" s="23" t="str">
        <f>IFERROR((E476*VLOOKUP(D476,FILAMENTI_DB!$A:$J,8,FALSE))+((VLOOKUP(C476,STAMPANTI_DB!$A:$C,3,FALSE)/1000)*F476*SETTINGS!$C$6)+(F476*VLOOKUP(C476,STAMPANTI_DB!$A:$I,9,FALSE)),"")</f>
        <v/>
      </c>
    </row>
    <row r="477" spans="8:13" x14ac:dyDescent="0.2">
      <c r="H477" t="str">
        <f>IFERROR(E477*VLOOKUP(D477,FILAMENTI_DB!$A:$J,8,FALSE)+(VLOOKUP(C477,STAMPANTI_DB!$A:$C,3,FALSE)/1000)*F477*SETTINGS!$C$6+F477*VLOOKUP(C477,STAMPANTI_DB!$A:$I,9,FALSE)+SETTINGS!$C$11,"" )</f>
        <v/>
      </c>
      <c r="M477" s="23" t="str">
        <f>IFERROR((E477*VLOOKUP(D477,FILAMENTI_DB!$A:$J,8,FALSE))+((VLOOKUP(C477,STAMPANTI_DB!$A:$C,3,FALSE)/1000)*F477*SETTINGS!$C$6)+(F477*VLOOKUP(C477,STAMPANTI_DB!$A:$I,9,FALSE)),"")</f>
        <v/>
      </c>
    </row>
    <row r="478" spans="8:13" x14ac:dyDescent="0.2">
      <c r="H478" t="str">
        <f>IFERROR(E478*VLOOKUP(D478,FILAMENTI_DB!$A:$J,8,FALSE)+(VLOOKUP(C478,STAMPANTI_DB!$A:$C,3,FALSE)/1000)*F478*SETTINGS!$C$6+F478*VLOOKUP(C478,STAMPANTI_DB!$A:$I,9,FALSE)+SETTINGS!$C$11,"" )</f>
        <v/>
      </c>
      <c r="M478" s="23" t="str">
        <f>IFERROR((E478*VLOOKUP(D478,FILAMENTI_DB!$A:$J,8,FALSE))+((VLOOKUP(C478,STAMPANTI_DB!$A:$C,3,FALSE)/1000)*F478*SETTINGS!$C$6)+(F478*VLOOKUP(C478,STAMPANTI_DB!$A:$I,9,FALSE)),"")</f>
        <v/>
      </c>
    </row>
    <row r="479" spans="8:13" x14ac:dyDescent="0.2">
      <c r="H479" t="str">
        <f>IFERROR(E479*VLOOKUP(D479,FILAMENTI_DB!$A:$J,8,FALSE)+(VLOOKUP(C479,STAMPANTI_DB!$A:$C,3,FALSE)/1000)*F479*SETTINGS!$C$6+F479*VLOOKUP(C479,STAMPANTI_DB!$A:$I,9,FALSE)+SETTINGS!$C$11,"" )</f>
        <v/>
      </c>
      <c r="M479" s="23" t="str">
        <f>IFERROR((E479*VLOOKUP(D479,FILAMENTI_DB!$A:$J,8,FALSE))+((VLOOKUP(C479,STAMPANTI_DB!$A:$C,3,FALSE)/1000)*F479*SETTINGS!$C$6)+(F479*VLOOKUP(C479,STAMPANTI_DB!$A:$I,9,FALSE)),"")</f>
        <v/>
      </c>
    </row>
    <row r="480" spans="8:13" x14ac:dyDescent="0.2">
      <c r="H480" t="str">
        <f>IFERROR(E480*VLOOKUP(D480,FILAMENTI_DB!$A:$J,8,FALSE)+(VLOOKUP(C480,STAMPANTI_DB!$A:$C,3,FALSE)/1000)*F480*SETTINGS!$C$6+F480*VLOOKUP(C480,STAMPANTI_DB!$A:$I,9,FALSE)+SETTINGS!$C$11,"" )</f>
        <v/>
      </c>
      <c r="M480" s="23" t="str">
        <f>IFERROR((E480*VLOOKUP(D480,FILAMENTI_DB!$A:$J,8,FALSE))+((VLOOKUP(C480,STAMPANTI_DB!$A:$C,3,FALSE)/1000)*F480*SETTINGS!$C$6)+(F480*VLOOKUP(C480,STAMPANTI_DB!$A:$I,9,FALSE)),"")</f>
        <v/>
      </c>
    </row>
    <row r="481" spans="8:13" x14ac:dyDescent="0.2">
      <c r="H481" t="str">
        <f>IFERROR(E481*VLOOKUP(D481,FILAMENTI_DB!$A:$J,8,FALSE)+(VLOOKUP(C481,STAMPANTI_DB!$A:$C,3,FALSE)/1000)*F481*SETTINGS!$C$6+F481*VLOOKUP(C481,STAMPANTI_DB!$A:$I,9,FALSE)+SETTINGS!$C$11,"" )</f>
        <v/>
      </c>
      <c r="M481" s="23" t="str">
        <f>IFERROR((E481*VLOOKUP(D481,FILAMENTI_DB!$A:$J,8,FALSE))+((VLOOKUP(C481,STAMPANTI_DB!$A:$C,3,FALSE)/1000)*F481*SETTINGS!$C$6)+(F481*VLOOKUP(C481,STAMPANTI_DB!$A:$I,9,FALSE)),"")</f>
        <v/>
      </c>
    </row>
    <row r="482" spans="8:13" x14ac:dyDescent="0.2">
      <c r="H482" t="str">
        <f>IFERROR(E482*VLOOKUP(D482,FILAMENTI_DB!$A:$J,8,FALSE)+(VLOOKUP(C482,STAMPANTI_DB!$A:$C,3,FALSE)/1000)*F482*SETTINGS!$C$6+F482*VLOOKUP(C482,STAMPANTI_DB!$A:$I,9,FALSE)+SETTINGS!$C$11,"" )</f>
        <v/>
      </c>
      <c r="M482" s="23" t="str">
        <f>IFERROR((E482*VLOOKUP(D482,FILAMENTI_DB!$A:$J,8,FALSE))+((VLOOKUP(C482,STAMPANTI_DB!$A:$C,3,FALSE)/1000)*F482*SETTINGS!$C$6)+(F482*VLOOKUP(C482,STAMPANTI_DB!$A:$I,9,FALSE)),"")</f>
        <v/>
      </c>
    </row>
    <row r="483" spans="8:13" x14ac:dyDescent="0.2">
      <c r="H483" t="str">
        <f>IFERROR(E483*VLOOKUP(D483,FILAMENTI_DB!$A:$J,8,FALSE)+(VLOOKUP(C483,STAMPANTI_DB!$A:$C,3,FALSE)/1000)*F483*SETTINGS!$C$6+F483*VLOOKUP(C483,STAMPANTI_DB!$A:$I,9,FALSE)+SETTINGS!$C$11,"" )</f>
        <v/>
      </c>
      <c r="M483" s="23" t="str">
        <f>IFERROR((E483*VLOOKUP(D483,FILAMENTI_DB!$A:$J,8,FALSE))+((VLOOKUP(C483,STAMPANTI_DB!$A:$C,3,FALSE)/1000)*F483*SETTINGS!$C$6)+(F483*VLOOKUP(C483,STAMPANTI_DB!$A:$I,9,FALSE)),"")</f>
        <v/>
      </c>
    </row>
    <row r="484" spans="8:13" x14ac:dyDescent="0.2">
      <c r="H484" t="str">
        <f>IFERROR(E484*VLOOKUP(D484,FILAMENTI_DB!$A:$J,8,FALSE)+(VLOOKUP(C484,STAMPANTI_DB!$A:$C,3,FALSE)/1000)*F484*SETTINGS!$C$6+F484*VLOOKUP(C484,STAMPANTI_DB!$A:$I,9,FALSE)+SETTINGS!$C$11,"" )</f>
        <v/>
      </c>
      <c r="M484" s="23" t="str">
        <f>IFERROR((E484*VLOOKUP(D484,FILAMENTI_DB!$A:$J,8,FALSE))+((VLOOKUP(C484,STAMPANTI_DB!$A:$C,3,FALSE)/1000)*F484*SETTINGS!$C$6)+(F484*VLOOKUP(C484,STAMPANTI_DB!$A:$I,9,FALSE)),"")</f>
        <v/>
      </c>
    </row>
    <row r="485" spans="8:13" x14ac:dyDescent="0.2">
      <c r="H485" t="str">
        <f>IFERROR(E485*VLOOKUP(D485,FILAMENTI_DB!$A:$J,8,FALSE)+(VLOOKUP(C485,STAMPANTI_DB!$A:$C,3,FALSE)/1000)*F485*SETTINGS!$C$6+F485*VLOOKUP(C485,STAMPANTI_DB!$A:$I,9,FALSE)+SETTINGS!$C$11,"" )</f>
        <v/>
      </c>
      <c r="M485" s="23" t="str">
        <f>IFERROR((E485*VLOOKUP(D485,FILAMENTI_DB!$A:$J,8,FALSE))+((VLOOKUP(C485,STAMPANTI_DB!$A:$C,3,FALSE)/1000)*F485*SETTINGS!$C$6)+(F485*VLOOKUP(C485,STAMPANTI_DB!$A:$I,9,FALSE)),"")</f>
        <v/>
      </c>
    </row>
    <row r="486" spans="8:13" x14ac:dyDescent="0.2">
      <c r="H486" t="str">
        <f>IFERROR(E486*VLOOKUP(D486,FILAMENTI_DB!$A:$J,8,FALSE)+(VLOOKUP(C486,STAMPANTI_DB!$A:$C,3,FALSE)/1000)*F486*SETTINGS!$C$6+F486*VLOOKUP(C486,STAMPANTI_DB!$A:$I,9,FALSE)+SETTINGS!$C$11,"" )</f>
        <v/>
      </c>
      <c r="M486" s="23" t="str">
        <f>IFERROR((E486*VLOOKUP(D486,FILAMENTI_DB!$A:$J,8,FALSE))+((VLOOKUP(C486,STAMPANTI_DB!$A:$C,3,FALSE)/1000)*F486*SETTINGS!$C$6)+(F486*VLOOKUP(C486,STAMPANTI_DB!$A:$I,9,FALSE)),"")</f>
        <v/>
      </c>
    </row>
    <row r="487" spans="8:13" x14ac:dyDescent="0.2">
      <c r="H487" t="str">
        <f>IFERROR(E487*VLOOKUP(D487,FILAMENTI_DB!$A:$J,8,FALSE)+(VLOOKUP(C487,STAMPANTI_DB!$A:$C,3,FALSE)/1000)*F487*SETTINGS!$C$6+F487*VLOOKUP(C487,STAMPANTI_DB!$A:$I,9,FALSE)+SETTINGS!$C$11,"" )</f>
        <v/>
      </c>
      <c r="M487" s="23" t="str">
        <f>IFERROR((E487*VLOOKUP(D487,FILAMENTI_DB!$A:$J,8,FALSE))+((VLOOKUP(C487,STAMPANTI_DB!$A:$C,3,FALSE)/1000)*F487*SETTINGS!$C$6)+(F487*VLOOKUP(C487,STAMPANTI_DB!$A:$I,9,FALSE)),"")</f>
        <v/>
      </c>
    </row>
    <row r="488" spans="8:13" x14ac:dyDescent="0.2">
      <c r="H488" t="str">
        <f>IFERROR(E488*VLOOKUP(D488,FILAMENTI_DB!$A:$J,8,FALSE)+(VLOOKUP(C488,STAMPANTI_DB!$A:$C,3,FALSE)/1000)*F488*SETTINGS!$C$6+F488*VLOOKUP(C488,STAMPANTI_DB!$A:$I,9,FALSE)+SETTINGS!$C$11,"" )</f>
        <v/>
      </c>
      <c r="M488" s="23" t="str">
        <f>IFERROR((E488*VLOOKUP(D488,FILAMENTI_DB!$A:$J,8,FALSE))+((VLOOKUP(C488,STAMPANTI_DB!$A:$C,3,FALSE)/1000)*F488*SETTINGS!$C$6)+(F488*VLOOKUP(C488,STAMPANTI_DB!$A:$I,9,FALSE)),"")</f>
        <v/>
      </c>
    </row>
    <row r="489" spans="8:13" x14ac:dyDescent="0.2">
      <c r="H489" t="str">
        <f>IFERROR(E489*VLOOKUP(D489,FILAMENTI_DB!$A:$J,8,FALSE)+(VLOOKUP(C489,STAMPANTI_DB!$A:$C,3,FALSE)/1000)*F489*SETTINGS!$C$6+F489*VLOOKUP(C489,STAMPANTI_DB!$A:$I,9,FALSE)+SETTINGS!$C$11,"" )</f>
        <v/>
      </c>
      <c r="M489" s="23" t="str">
        <f>IFERROR((E489*VLOOKUP(D489,FILAMENTI_DB!$A:$J,8,FALSE))+((VLOOKUP(C489,STAMPANTI_DB!$A:$C,3,FALSE)/1000)*F489*SETTINGS!$C$6)+(F489*VLOOKUP(C489,STAMPANTI_DB!$A:$I,9,FALSE)),"")</f>
        <v/>
      </c>
    </row>
    <row r="490" spans="8:13" x14ac:dyDescent="0.2">
      <c r="H490" t="str">
        <f>IFERROR(E490*VLOOKUP(D490,FILAMENTI_DB!$A:$J,8,FALSE)+(VLOOKUP(C490,STAMPANTI_DB!$A:$C,3,FALSE)/1000)*F490*SETTINGS!$C$6+F490*VLOOKUP(C490,STAMPANTI_DB!$A:$I,9,FALSE)+SETTINGS!$C$11,"" )</f>
        <v/>
      </c>
      <c r="M490" s="23" t="str">
        <f>IFERROR((E490*VLOOKUP(D490,FILAMENTI_DB!$A:$J,8,FALSE))+((VLOOKUP(C490,STAMPANTI_DB!$A:$C,3,FALSE)/1000)*F490*SETTINGS!$C$6)+(F490*VLOOKUP(C490,STAMPANTI_DB!$A:$I,9,FALSE)),"")</f>
        <v/>
      </c>
    </row>
    <row r="491" spans="8:13" x14ac:dyDescent="0.2">
      <c r="H491" t="str">
        <f>IFERROR(E491*VLOOKUP(D491,FILAMENTI_DB!$A:$J,8,FALSE)+(VLOOKUP(C491,STAMPANTI_DB!$A:$C,3,FALSE)/1000)*F491*SETTINGS!$C$6+F491*VLOOKUP(C491,STAMPANTI_DB!$A:$I,9,FALSE)+SETTINGS!$C$11,"" )</f>
        <v/>
      </c>
      <c r="M491" s="23" t="str">
        <f>IFERROR((E491*VLOOKUP(D491,FILAMENTI_DB!$A:$J,8,FALSE))+((VLOOKUP(C491,STAMPANTI_DB!$A:$C,3,FALSE)/1000)*F491*SETTINGS!$C$6)+(F491*VLOOKUP(C491,STAMPANTI_DB!$A:$I,9,FALSE)),"")</f>
        <v/>
      </c>
    </row>
    <row r="492" spans="8:13" x14ac:dyDescent="0.2">
      <c r="H492" t="str">
        <f>IFERROR(E492*VLOOKUP(D492,FILAMENTI_DB!$A:$J,8,FALSE)+(VLOOKUP(C492,STAMPANTI_DB!$A:$C,3,FALSE)/1000)*F492*SETTINGS!$C$6+F492*VLOOKUP(C492,STAMPANTI_DB!$A:$I,9,FALSE)+SETTINGS!$C$11,"" )</f>
        <v/>
      </c>
      <c r="M492" s="23" t="str">
        <f>IFERROR((E492*VLOOKUP(D492,FILAMENTI_DB!$A:$J,8,FALSE))+((VLOOKUP(C492,STAMPANTI_DB!$A:$C,3,FALSE)/1000)*F492*SETTINGS!$C$6)+(F492*VLOOKUP(C492,STAMPANTI_DB!$A:$I,9,FALSE)),"")</f>
        <v/>
      </c>
    </row>
    <row r="493" spans="8:13" x14ac:dyDescent="0.2">
      <c r="H493" t="str">
        <f>IFERROR(E493*VLOOKUP(D493,FILAMENTI_DB!$A:$J,8,FALSE)+(VLOOKUP(C493,STAMPANTI_DB!$A:$C,3,FALSE)/1000)*F493*SETTINGS!$C$6+F493*VLOOKUP(C493,STAMPANTI_DB!$A:$I,9,FALSE)+SETTINGS!$C$11,"" )</f>
        <v/>
      </c>
      <c r="M493" s="23" t="str">
        <f>IFERROR((E493*VLOOKUP(D493,FILAMENTI_DB!$A:$J,8,FALSE))+((VLOOKUP(C493,STAMPANTI_DB!$A:$C,3,FALSE)/1000)*F493*SETTINGS!$C$6)+(F493*VLOOKUP(C493,STAMPANTI_DB!$A:$I,9,FALSE)),"")</f>
        <v/>
      </c>
    </row>
    <row r="494" spans="8:13" x14ac:dyDescent="0.2">
      <c r="H494" t="str">
        <f>IFERROR(E494*VLOOKUP(D494,FILAMENTI_DB!$A:$J,8,FALSE)+(VLOOKUP(C494,STAMPANTI_DB!$A:$C,3,FALSE)/1000)*F494*SETTINGS!$C$6+F494*VLOOKUP(C494,STAMPANTI_DB!$A:$I,9,FALSE)+SETTINGS!$C$11,"" )</f>
        <v/>
      </c>
      <c r="M494" s="23" t="str">
        <f>IFERROR((E494*VLOOKUP(D494,FILAMENTI_DB!$A:$J,8,FALSE))+((VLOOKUP(C494,STAMPANTI_DB!$A:$C,3,FALSE)/1000)*F494*SETTINGS!$C$6)+(F494*VLOOKUP(C494,STAMPANTI_DB!$A:$I,9,FALSE)),"")</f>
        <v/>
      </c>
    </row>
    <row r="495" spans="8:13" x14ac:dyDescent="0.2">
      <c r="H495" t="str">
        <f>IFERROR(E495*VLOOKUP(D495,FILAMENTI_DB!$A:$J,8,FALSE)+(VLOOKUP(C495,STAMPANTI_DB!$A:$C,3,FALSE)/1000)*F495*SETTINGS!$C$6+F495*VLOOKUP(C495,STAMPANTI_DB!$A:$I,9,FALSE)+SETTINGS!$C$11,"" )</f>
        <v/>
      </c>
      <c r="M495" s="23" t="str">
        <f>IFERROR((E495*VLOOKUP(D495,FILAMENTI_DB!$A:$J,8,FALSE))+((VLOOKUP(C495,STAMPANTI_DB!$A:$C,3,FALSE)/1000)*F495*SETTINGS!$C$6)+(F495*VLOOKUP(C495,STAMPANTI_DB!$A:$I,9,FALSE)),"")</f>
        <v/>
      </c>
    </row>
    <row r="496" spans="8:13" x14ac:dyDescent="0.2">
      <c r="H496" t="str">
        <f>IFERROR(E496*VLOOKUP(D496,FILAMENTI_DB!$A:$J,8,FALSE)+(VLOOKUP(C496,STAMPANTI_DB!$A:$C,3,FALSE)/1000)*F496*SETTINGS!$C$6+F496*VLOOKUP(C496,STAMPANTI_DB!$A:$I,9,FALSE)+SETTINGS!$C$11,"" )</f>
        <v/>
      </c>
      <c r="M496" s="23" t="str">
        <f>IFERROR((E496*VLOOKUP(D496,FILAMENTI_DB!$A:$J,8,FALSE))+((VLOOKUP(C496,STAMPANTI_DB!$A:$C,3,FALSE)/1000)*F496*SETTINGS!$C$6)+(F496*VLOOKUP(C496,STAMPANTI_DB!$A:$I,9,FALSE)),"")</f>
        <v/>
      </c>
    </row>
    <row r="497" spans="8:13" x14ac:dyDescent="0.2">
      <c r="H497" t="str">
        <f>IFERROR(E497*VLOOKUP(D497,FILAMENTI_DB!$A:$J,8,FALSE)+(VLOOKUP(C497,STAMPANTI_DB!$A:$C,3,FALSE)/1000)*F497*SETTINGS!$C$6+F497*VLOOKUP(C497,STAMPANTI_DB!$A:$I,9,FALSE)+SETTINGS!$C$11,"" )</f>
        <v/>
      </c>
      <c r="M497" s="23" t="str">
        <f>IFERROR((E497*VLOOKUP(D497,FILAMENTI_DB!$A:$J,8,FALSE))+((VLOOKUP(C497,STAMPANTI_DB!$A:$C,3,FALSE)/1000)*F497*SETTINGS!$C$6)+(F497*VLOOKUP(C497,STAMPANTI_DB!$A:$I,9,FALSE)),"")</f>
        <v/>
      </c>
    </row>
    <row r="498" spans="8:13" x14ac:dyDescent="0.2">
      <c r="H498" t="str">
        <f>IFERROR(E498*VLOOKUP(D498,FILAMENTI_DB!$A:$J,8,FALSE)+(VLOOKUP(C498,STAMPANTI_DB!$A:$C,3,FALSE)/1000)*F498*SETTINGS!$C$6+F498*VLOOKUP(C498,STAMPANTI_DB!$A:$I,9,FALSE)+SETTINGS!$C$11,"" )</f>
        <v/>
      </c>
      <c r="M498" s="23" t="str">
        <f>IFERROR((E498*VLOOKUP(D498,FILAMENTI_DB!$A:$J,8,FALSE))+((VLOOKUP(C498,STAMPANTI_DB!$A:$C,3,FALSE)/1000)*F498*SETTINGS!$C$6)+(F498*VLOOKUP(C498,STAMPANTI_DB!$A:$I,9,FALSE)),"")</f>
        <v/>
      </c>
    </row>
    <row r="499" spans="8:13" x14ac:dyDescent="0.2">
      <c r="H499" t="str">
        <f>IFERROR(E499*VLOOKUP(D499,FILAMENTI_DB!$A:$J,8,FALSE)+(VLOOKUP(C499,STAMPANTI_DB!$A:$C,3,FALSE)/1000)*F499*SETTINGS!$C$6+F499*VLOOKUP(C499,STAMPANTI_DB!$A:$I,9,FALSE)+SETTINGS!$C$11,"" )</f>
        <v/>
      </c>
      <c r="M499" s="23" t="str">
        <f>IFERROR((E499*VLOOKUP(D499,FILAMENTI_DB!$A:$J,8,FALSE))+((VLOOKUP(C499,STAMPANTI_DB!$A:$C,3,FALSE)/1000)*F499*SETTINGS!$C$6)+(F499*VLOOKUP(C499,STAMPANTI_DB!$A:$I,9,FALSE)),"")</f>
        <v/>
      </c>
    </row>
    <row r="500" spans="8:13" x14ac:dyDescent="0.2">
      <c r="H500" t="str">
        <f>IFERROR(E500*VLOOKUP(D500,FILAMENTI_DB!$A:$J,8,FALSE)+(VLOOKUP(C500,STAMPANTI_DB!$A:$C,3,FALSE)/1000)*F500*SETTINGS!$C$6+F500*VLOOKUP(C500,STAMPANTI_DB!$A:$I,9,FALSE)+SETTINGS!$C$11,"" )</f>
        <v/>
      </c>
      <c r="M500" s="23" t="str">
        <f>IFERROR((E500*VLOOKUP(D500,FILAMENTI_DB!$A:$J,8,FALSE))+((VLOOKUP(C500,STAMPANTI_DB!$A:$C,3,FALSE)/1000)*F500*SETTINGS!$C$6)+(F500*VLOOKUP(C500,STAMPANTI_DB!$A:$I,9,FALSE)),"")</f>
        <v/>
      </c>
    </row>
    <row r="501" spans="8:13" x14ac:dyDescent="0.2">
      <c r="H501" t="str">
        <f>IFERROR(E501*VLOOKUP(D501,FILAMENTI_DB!$A:$J,8,FALSE)+(VLOOKUP(C501,STAMPANTI_DB!$A:$C,3,FALSE)/1000)*F501*SETTINGS!$C$6+F501*VLOOKUP(C501,STAMPANTI_DB!$A:$I,9,FALSE)+SETTINGS!$C$11,"" )</f>
        <v/>
      </c>
      <c r="M501" s="23" t="str">
        <f>IFERROR((E501*VLOOKUP(D501,FILAMENTI_DB!$A:$J,8,FALSE))+((VLOOKUP(C501,STAMPANTI_DB!$A:$C,3,FALSE)/1000)*F501*SETTINGS!$C$6)+(F501*VLOOKUP(C501,STAMPANTI_DB!$A:$I,9,FALSE)),"")</f>
        <v/>
      </c>
    </row>
    <row r="502" spans="8:13" x14ac:dyDescent="0.2">
      <c r="H502" t="str">
        <f>IFERROR(E502*VLOOKUP(D502,FILAMENTI_DB!$A:$J,8,FALSE)+(VLOOKUP(C502,STAMPANTI_DB!$A:$C,3,FALSE)/1000)*F502*SETTINGS!$C$6+F502*VLOOKUP(C502,STAMPANTI_DB!$A:$I,9,FALSE)+SETTINGS!$C$11,"" )</f>
        <v/>
      </c>
      <c r="M502" s="23" t="str">
        <f>IFERROR((E502*VLOOKUP(D502,FILAMENTI_DB!$A:$J,8,FALSE))+((VLOOKUP(C502,STAMPANTI_DB!$A:$C,3,FALSE)/1000)*F502*SETTINGS!$C$6)+(F502*VLOOKUP(C502,STAMPANTI_DB!$A:$I,9,FALSE)),"")</f>
        <v/>
      </c>
    </row>
    <row r="503" spans="8:13" x14ac:dyDescent="0.2">
      <c r="H503" t="str">
        <f>IFERROR(E503*VLOOKUP(D503,FILAMENTI_DB!$A:$J,8,FALSE)+(VLOOKUP(C503,STAMPANTI_DB!$A:$C,3,FALSE)/1000)*F503*SETTINGS!$C$6+F503*VLOOKUP(C503,STAMPANTI_DB!$A:$I,9,FALSE)+SETTINGS!$C$11,"" )</f>
        <v/>
      </c>
      <c r="M503" s="23" t="str">
        <f>IFERROR((E503*VLOOKUP(D503,FILAMENTI_DB!$A:$J,8,FALSE))+((VLOOKUP(C503,STAMPANTI_DB!$A:$C,3,FALSE)/1000)*F503*SETTINGS!$C$6)+(F503*VLOOKUP(C503,STAMPANTI_DB!$A:$I,9,FALSE)),"")</f>
        <v/>
      </c>
    </row>
    <row r="504" spans="8:13" x14ac:dyDescent="0.2">
      <c r="H504" t="str">
        <f>IFERROR(E504*VLOOKUP(D504,FILAMENTI_DB!$A:$J,8,FALSE)+(VLOOKUP(C504,STAMPANTI_DB!$A:$C,3,FALSE)/1000)*F504*SETTINGS!$C$6+F504*VLOOKUP(C504,STAMPANTI_DB!$A:$I,9,FALSE)+SETTINGS!$C$11,"" )</f>
        <v/>
      </c>
      <c r="M504" s="23" t="str">
        <f>IFERROR((E504*VLOOKUP(D504,FILAMENTI_DB!$A:$J,8,FALSE))+((VLOOKUP(C504,STAMPANTI_DB!$A:$C,3,FALSE)/1000)*F504*SETTINGS!$C$6)+(F504*VLOOKUP(C504,STAMPANTI_DB!$A:$I,9,FALSE)),"")</f>
        <v/>
      </c>
    </row>
    <row r="505" spans="8:13" x14ac:dyDescent="0.2">
      <c r="M505" s="23" t="str">
        <f>IFERROR((E505*VLOOKUP(D505,FILAMENTI_DB!$A:$J,8,FALSE))+((VLOOKUP(C505,STAMPANTI_DB!$A:$C,3,FALSE)/1000)*F505*SETTINGS!$C$6)+(F505*VLOOKUP(C505,STAMPANTI_DB!$A:$I,9,FALSE)),"")</f>
        <v/>
      </c>
    </row>
    <row r="506" spans="8:13" x14ac:dyDescent="0.2">
      <c r="M506" s="23" t="str">
        <f>IFERROR((E506*VLOOKUP(D506,FILAMENTI_DB!$A:$J,8,FALSE))+((VLOOKUP(C506,STAMPANTI_DB!$A:$C,3,FALSE)/1000)*F506*SETTINGS!$C$6)+(F506*VLOOKUP(C506,STAMPANTI_DB!$A:$I,9,FALSE)),"")</f>
        <v/>
      </c>
    </row>
    <row r="507" spans="8:13" x14ac:dyDescent="0.2">
      <c r="M507" s="23" t="str">
        <f>IFERROR((E507*VLOOKUP(D507,FILAMENTI_DB!$A:$J,8,FALSE))+((VLOOKUP(C507,STAMPANTI_DB!$A:$C,3,FALSE)/1000)*F507*SETTINGS!$C$6)+(F507*VLOOKUP(C507,STAMPANTI_DB!$A:$I,9,FALSE)),"")</f>
        <v/>
      </c>
    </row>
    <row r="508" spans="8:13" x14ac:dyDescent="0.2">
      <c r="M508" s="23" t="str">
        <f>IFERROR((E508*VLOOKUP(D508,FILAMENTI_DB!$A:$J,8,FALSE))+((VLOOKUP(C508,STAMPANTI_DB!$A:$C,3,FALSE)/1000)*F508*SETTINGS!$C$6)+(F508*VLOOKUP(C508,STAMPANTI_DB!$A:$I,9,FALSE)),"")</f>
        <v/>
      </c>
    </row>
    <row r="509" spans="8:13" x14ac:dyDescent="0.2">
      <c r="M509" s="23" t="str">
        <f>IFERROR((E509*VLOOKUP(D509,FILAMENTI_DB!$A:$J,8,FALSE))+((VLOOKUP(C509,STAMPANTI_DB!$A:$C,3,FALSE)/1000)*F509*SETTINGS!$C$6)+(F509*VLOOKUP(C509,STAMPANTI_DB!$A:$I,9,FALSE)),"")</f>
        <v/>
      </c>
    </row>
    <row r="510" spans="8:13" x14ac:dyDescent="0.2">
      <c r="M510" s="23" t="str">
        <f>IFERROR((E510*VLOOKUP(D510,FILAMENTI_DB!$A:$J,8,FALSE))+((VLOOKUP(C510,STAMPANTI_DB!$A:$C,3,FALSE)/1000)*F510*SETTINGS!$C$6)+(F510*VLOOKUP(C510,STAMPANTI_DB!$A:$I,9,FALSE)),"")</f>
        <v/>
      </c>
    </row>
    <row r="511" spans="8:13" x14ac:dyDescent="0.2">
      <c r="M511" s="23" t="str">
        <f>IFERROR((E511*VLOOKUP(D511,FILAMENTI_DB!$A:$J,8,FALSE))+((VLOOKUP(C511,STAMPANTI_DB!$A:$C,3,FALSE)/1000)*F511*SETTINGS!$C$6)+(F511*VLOOKUP(C511,STAMPANTI_DB!$A:$I,9,FALSE)),"")</f>
        <v/>
      </c>
    </row>
    <row r="512" spans="8:13" x14ac:dyDescent="0.2">
      <c r="M512" s="23" t="str">
        <f>IFERROR((E512*VLOOKUP(D512,FILAMENTI_DB!$A:$J,8,FALSE))+((VLOOKUP(C512,STAMPANTI_DB!$A:$C,3,FALSE)/1000)*F512*SETTINGS!$C$6)+(F512*VLOOKUP(C512,STAMPANTI_DB!$A:$I,9,FALSE)),"")</f>
        <v/>
      </c>
    </row>
    <row r="513" spans="13:13" x14ac:dyDescent="0.2">
      <c r="M513" s="23" t="str">
        <f>IFERROR((E513*VLOOKUP(D513,FILAMENTI_DB!$A:$J,8,FALSE))+((VLOOKUP(C513,STAMPANTI_DB!$A:$C,3,FALSE)/1000)*F513*SETTINGS!$C$6)+(F513*VLOOKUP(C513,STAMPANTI_DB!$A:$I,9,FALSE)),"")</f>
        <v/>
      </c>
    </row>
    <row r="514" spans="13:13" x14ac:dyDescent="0.2">
      <c r="M514" s="23" t="str">
        <f>IFERROR((E514*VLOOKUP(D514,FILAMENTI_DB!$A:$J,8,FALSE))+((VLOOKUP(C514,STAMPANTI_DB!$A:$C,3,FALSE)/1000)*F514*SETTINGS!$C$6)+(F514*VLOOKUP(C514,STAMPANTI_DB!$A:$I,9,FALSE)),"")</f>
        <v/>
      </c>
    </row>
    <row r="515" spans="13:13" x14ac:dyDescent="0.2">
      <c r="M515" s="23" t="str">
        <f>IFERROR((E515*VLOOKUP(D515,FILAMENTI_DB!$A:$J,8,FALSE))+((VLOOKUP(C515,STAMPANTI_DB!$A:$C,3,FALSE)/1000)*F515*SETTINGS!$C$6)+(F515*VLOOKUP(C515,STAMPANTI_DB!$A:$I,9,FALSE)),"")</f>
        <v/>
      </c>
    </row>
    <row r="516" spans="13:13" x14ac:dyDescent="0.2">
      <c r="M516" s="23" t="str">
        <f>IFERROR((E516*VLOOKUP(D516,FILAMENTI_DB!$A:$J,8,FALSE))+((VLOOKUP(C516,STAMPANTI_DB!$A:$C,3,FALSE)/1000)*F516*SETTINGS!$C$6)+(F516*VLOOKUP(C516,STAMPANTI_DB!$A:$I,9,FALSE)),"")</f>
        <v/>
      </c>
    </row>
    <row r="517" spans="13:13" x14ac:dyDescent="0.2">
      <c r="M517" s="23" t="str">
        <f>IFERROR((E517*VLOOKUP(D517,FILAMENTI_DB!$A:$J,8,FALSE))+((VLOOKUP(C517,STAMPANTI_DB!$A:$C,3,FALSE)/1000)*F517*SETTINGS!$C$6)+(F517*VLOOKUP(C517,STAMPANTI_DB!$A:$I,9,FALSE)),"")</f>
        <v/>
      </c>
    </row>
    <row r="518" spans="13:13" x14ac:dyDescent="0.2">
      <c r="M518" s="23" t="str">
        <f>IFERROR((E518*VLOOKUP(D518,FILAMENTI_DB!$A:$J,8,FALSE))+((VLOOKUP(C518,STAMPANTI_DB!$A:$C,3,FALSE)/1000)*F518*SETTINGS!$C$6)+(F518*VLOOKUP(C518,STAMPANTI_DB!$A:$I,9,FALSE)),"")</f>
        <v/>
      </c>
    </row>
    <row r="519" spans="13:13" x14ac:dyDescent="0.2">
      <c r="M519" s="23" t="str">
        <f>IFERROR((E519*VLOOKUP(D519,FILAMENTI_DB!$A:$J,8,FALSE))+((VLOOKUP(C519,STAMPANTI_DB!$A:$C,3,FALSE)/1000)*F519*SETTINGS!$C$6)+(F519*VLOOKUP(C519,STAMPANTI_DB!$A:$I,9,FALSE)),"")</f>
        <v/>
      </c>
    </row>
    <row r="520" spans="13:13" x14ac:dyDescent="0.2">
      <c r="M520" s="23" t="str">
        <f>IFERROR((E520*VLOOKUP(D520,FILAMENTI_DB!$A:$J,8,FALSE))+((VLOOKUP(C520,STAMPANTI_DB!$A:$C,3,FALSE)/1000)*F520*SETTINGS!$C$6)+(F520*VLOOKUP(C520,STAMPANTI_DB!$A:$I,9,FALSE)),"")</f>
        <v/>
      </c>
    </row>
    <row r="521" spans="13:13" x14ac:dyDescent="0.2">
      <c r="M521" s="23" t="str">
        <f>IFERROR((E521*VLOOKUP(D521,FILAMENTI_DB!$A:$J,8,FALSE))+((VLOOKUP(C521,STAMPANTI_DB!$A:$C,3,FALSE)/1000)*F521*SETTINGS!$C$6)+(F521*VLOOKUP(C521,STAMPANTI_DB!$A:$I,9,FALSE)),"")</f>
        <v/>
      </c>
    </row>
    <row r="522" spans="13:13" x14ac:dyDescent="0.2">
      <c r="M522" s="23" t="str">
        <f>IFERROR((E522*VLOOKUP(D522,FILAMENTI_DB!$A:$J,8,FALSE))+((VLOOKUP(C522,STAMPANTI_DB!$A:$C,3,FALSE)/1000)*F522*SETTINGS!$C$6)+(F522*VLOOKUP(C522,STAMPANTI_DB!$A:$I,9,FALSE)),"")</f>
        <v/>
      </c>
    </row>
    <row r="523" spans="13:13" x14ac:dyDescent="0.2">
      <c r="M523" s="23" t="str">
        <f>IFERROR((E523*VLOOKUP(D523,FILAMENTI_DB!$A:$J,8,FALSE))+((VLOOKUP(C523,STAMPANTI_DB!$A:$C,3,FALSE)/1000)*F523*SETTINGS!$C$6)+(F523*VLOOKUP(C523,STAMPANTI_DB!$A:$I,9,FALSE)),"")</f>
        <v/>
      </c>
    </row>
    <row r="524" spans="13:13" x14ac:dyDescent="0.2">
      <c r="M524" s="23" t="str">
        <f>IFERROR((E524*VLOOKUP(D524,FILAMENTI_DB!$A:$J,8,FALSE))+((VLOOKUP(C524,STAMPANTI_DB!$A:$C,3,FALSE)/1000)*F524*SETTINGS!$C$6)+(F524*VLOOKUP(C524,STAMPANTI_DB!$A:$I,9,FALSE)),"")</f>
        <v/>
      </c>
    </row>
    <row r="525" spans="13:13" x14ac:dyDescent="0.2">
      <c r="M525" s="23" t="str">
        <f>IFERROR((E525*VLOOKUP(D525,FILAMENTI_DB!$A:$J,8,FALSE))+((VLOOKUP(C525,STAMPANTI_DB!$A:$C,3,FALSE)/1000)*F525*SETTINGS!$C$6)+(F525*VLOOKUP(C525,STAMPANTI_DB!$A:$I,9,FALSE)),"")</f>
        <v/>
      </c>
    </row>
    <row r="526" spans="13:13" x14ac:dyDescent="0.2">
      <c r="M526" s="23" t="str">
        <f>IFERROR((E526*VLOOKUP(D526,FILAMENTI_DB!$A:$J,8,FALSE))+((VLOOKUP(C526,STAMPANTI_DB!$A:$C,3,FALSE)/1000)*F526*SETTINGS!$C$6)+(F526*VLOOKUP(C526,STAMPANTI_DB!$A:$I,9,FALSE)),"")</f>
        <v/>
      </c>
    </row>
    <row r="527" spans="13:13" x14ac:dyDescent="0.2">
      <c r="M527" s="23" t="str">
        <f>IFERROR((E527*VLOOKUP(D527,FILAMENTI_DB!$A:$J,8,FALSE))+((VLOOKUP(C527,STAMPANTI_DB!$A:$C,3,FALSE)/1000)*F527*SETTINGS!$C$6)+(F527*VLOOKUP(C527,STAMPANTI_DB!$A:$I,9,FALSE)),"")</f>
        <v/>
      </c>
    </row>
    <row r="528" spans="13:13" x14ac:dyDescent="0.2">
      <c r="M528" s="23" t="str">
        <f>IFERROR((E528*VLOOKUP(D528,FILAMENTI_DB!$A:$J,8,FALSE))+((VLOOKUP(C528,STAMPANTI_DB!$A:$C,3,FALSE)/1000)*F528*SETTINGS!$C$6)+(F528*VLOOKUP(C528,STAMPANTI_DB!$A:$I,9,FALSE)),"")</f>
        <v/>
      </c>
    </row>
    <row r="529" spans="13:13" x14ac:dyDescent="0.2">
      <c r="M529" s="23" t="str">
        <f>IFERROR((E529*VLOOKUP(D529,FILAMENTI_DB!$A:$J,8,FALSE))+((VLOOKUP(C529,STAMPANTI_DB!$A:$C,3,FALSE)/1000)*F529*SETTINGS!$C$6)+(F529*VLOOKUP(C529,STAMPANTI_DB!$A:$I,9,FALSE)),"")</f>
        <v/>
      </c>
    </row>
    <row r="530" spans="13:13" x14ac:dyDescent="0.2">
      <c r="M530" s="23" t="str">
        <f>IFERROR((E530*VLOOKUP(D530,FILAMENTI_DB!$A:$J,8,FALSE))+((VLOOKUP(C530,STAMPANTI_DB!$A:$C,3,FALSE)/1000)*F530*SETTINGS!$C$6)+(F530*VLOOKUP(C530,STAMPANTI_DB!$A:$I,9,FALSE)),"")</f>
        <v/>
      </c>
    </row>
    <row r="531" spans="13:13" x14ac:dyDescent="0.2">
      <c r="M531" s="23" t="str">
        <f>IFERROR((E531*VLOOKUP(D531,FILAMENTI_DB!$A:$J,8,FALSE))+((VLOOKUP(C531,STAMPANTI_DB!$A:$C,3,FALSE)/1000)*F531*SETTINGS!$C$6)+(F531*VLOOKUP(C531,STAMPANTI_DB!$A:$I,9,FALSE)),"")</f>
        <v/>
      </c>
    </row>
    <row r="532" spans="13:13" x14ac:dyDescent="0.2">
      <c r="M532" s="23" t="str">
        <f>IFERROR((E532*VLOOKUP(D532,FILAMENTI_DB!$A:$J,8,FALSE))+((VLOOKUP(C532,STAMPANTI_DB!$A:$C,3,FALSE)/1000)*F532*SETTINGS!$C$6)+(F532*VLOOKUP(C532,STAMPANTI_DB!$A:$I,9,FALSE)),"")</f>
        <v/>
      </c>
    </row>
    <row r="533" spans="13:13" x14ac:dyDescent="0.2">
      <c r="M533" s="23" t="str">
        <f>IFERROR((E533*VLOOKUP(D533,FILAMENTI_DB!$A:$J,8,FALSE))+((VLOOKUP(C533,STAMPANTI_DB!$A:$C,3,FALSE)/1000)*F533*SETTINGS!$C$6)+(F533*VLOOKUP(C533,STAMPANTI_DB!$A:$I,9,FALSE)),"")</f>
        <v/>
      </c>
    </row>
    <row r="534" spans="13:13" x14ac:dyDescent="0.2">
      <c r="M534" s="23" t="str">
        <f>IFERROR((E534*VLOOKUP(D534,FILAMENTI_DB!$A:$J,8,FALSE))+((VLOOKUP(C534,STAMPANTI_DB!$A:$C,3,FALSE)/1000)*F534*SETTINGS!$C$6)+(F534*VLOOKUP(C534,STAMPANTI_DB!$A:$I,9,FALSE)),"")</f>
        <v/>
      </c>
    </row>
    <row r="535" spans="13:13" x14ac:dyDescent="0.2">
      <c r="M535" s="23" t="str">
        <f>IFERROR((E535*VLOOKUP(D535,FILAMENTI_DB!$A:$J,8,FALSE))+((VLOOKUP(C535,STAMPANTI_DB!$A:$C,3,FALSE)/1000)*F535*SETTINGS!$C$6)+(F535*VLOOKUP(C535,STAMPANTI_DB!$A:$I,9,FALSE)),"")</f>
        <v/>
      </c>
    </row>
    <row r="536" spans="13:13" x14ac:dyDescent="0.2">
      <c r="M536" s="23" t="str">
        <f>IFERROR((E536*VLOOKUP(D536,FILAMENTI_DB!$A:$J,8,FALSE))+((VLOOKUP(C536,STAMPANTI_DB!$A:$C,3,FALSE)/1000)*F536*SETTINGS!$C$6)+(F536*VLOOKUP(C536,STAMPANTI_DB!$A:$I,9,FALSE)),"")</f>
        <v/>
      </c>
    </row>
    <row r="537" spans="13:13" x14ac:dyDescent="0.2">
      <c r="M537" s="23" t="str">
        <f>IFERROR((E537*VLOOKUP(D537,FILAMENTI_DB!$A:$J,8,FALSE))+((VLOOKUP(C537,STAMPANTI_DB!$A:$C,3,FALSE)/1000)*F537*SETTINGS!$C$6)+(F537*VLOOKUP(C537,STAMPANTI_DB!$A:$I,9,FALSE)),"")</f>
        <v/>
      </c>
    </row>
    <row r="538" spans="13:13" x14ac:dyDescent="0.2">
      <c r="M538" s="23" t="str">
        <f>IFERROR((E538*VLOOKUP(D538,FILAMENTI_DB!$A:$J,8,FALSE))+((VLOOKUP(C538,STAMPANTI_DB!$A:$C,3,FALSE)/1000)*F538*SETTINGS!$C$6)+(F538*VLOOKUP(C538,STAMPANTI_DB!$A:$I,9,FALSE)),"")</f>
        <v/>
      </c>
    </row>
    <row r="539" spans="13:13" x14ac:dyDescent="0.2">
      <c r="M539" s="23" t="str">
        <f>IFERROR((E539*VLOOKUP(D539,FILAMENTI_DB!$A:$J,8,FALSE))+((VLOOKUP(C539,STAMPANTI_DB!$A:$C,3,FALSE)/1000)*F539*SETTINGS!$C$6)+(F539*VLOOKUP(C539,STAMPANTI_DB!$A:$I,9,FALSE)),"")</f>
        <v/>
      </c>
    </row>
    <row r="540" spans="13:13" x14ac:dyDescent="0.2">
      <c r="M540" s="23" t="str">
        <f>IFERROR((E540*VLOOKUP(D540,FILAMENTI_DB!$A:$J,8,FALSE))+((VLOOKUP(C540,STAMPANTI_DB!$A:$C,3,FALSE)/1000)*F540*SETTINGS!$C$6)+(F540*VLOOKUP(C540,STAMPANTI_DB!$A:$I,9,FALSE)),"")</f>
        <v/>
      </c>
    </row>
    <row r="541" spans="13:13" x14ac:dyDescent="0.2">
      <c r="M541" s="23" t="str">
        <f>IFERROR((E541*VLOOKUP(D541,FILAMENTI_DB!$A:$J,8,FALSE))+((VLOOKUP(C541,STAMPANTI_DB!$A:$C,3,FALSE)/1000)*F541*SETTINGS!$C$6)+(F541*VLOOKUP(C541,STAMPANTI_DB!$A:$I,9,FALSE)),"")</f>
        <v/>
      </c>
    </row>
    <row r="542" spans="13:13" x14ac:dyDescent="0.2">
      <c r="M542" s="23" t="str">
        <f>IFERROR((E542*VLOOKUP(D542,FILAMENTI_DB!$A:$J,8,FALSE))+((VLOOKUP(C542,STAMPANTI_DB!$A:$C,3,FALSE)/1000)*F542*SETTINGS!$C$6)+(F542*VLOOKUP(C542,STAMPANTI_DB!$A:$I,9,FALSE)),"")</f>
        <v/>
      </c>
    </row>
    <row r="543" spans="13:13" x14ac:dyDescent="0.2">
      <c r="M543" s="23" t="str">
        <f>IFERROR((E543*VLOOKUP(D543,FILAMENTI_DB!$A:$J,8,FALSE))+((VLOOKUP(C543,STAMPANTI_DB!$A:$C,3,FALSE)/1000)*F543*SETTINGS!$C$6)+(F543*VLOOKUP(C543,STAMPANTI_DB!$A:$I,9,FALSE)),"")</f>
        <v/>
      </c>
    </row>
    <row r="544" spans="13:13" x14ac:dyDescent="0.2">
      <c r="M544" s="23" t="str">
        <f>IFERROR((E544*VLOOKUP(D544,FILAMENTI_DB!$A:$J,8,FALSE))+((VLOOKUP(C544,STAMPANTI_DB!$A:$C,3,FALSE)/1000)*F544*SETTINGS!$C$6)+(F544*VLOOKUP(C544,STAMPANTI_DB!$A:$I,9,FALSE)),"")</f>
        <v/>
      </c>
    </row>
    <row r="545" spans="13:13" x14ac:dyDescent="0.2">
      <c r="M545" s="23" t="str">
        <f>IFERROR((E545*VLOOKUP(D545,FILAMENTI_DB!$A:$J,8,FALSE))+((VLOOKUP(C545,STAMPANTI_DB!$A:$C,3,FALSE)/1000)*F545*SETTINGS!$C$6)+(F545*VLOOKUP(C545,STAMPANTI_DB!$A:$I,9,FALSE)),"")</f>
        <v/>
      </c>
    </row>
    <row r="546" spans="13:13" x14ac:dyDescent="0.2">
      <c r="M546" s="23" t="str">
        <f>IFERROR((E546*VLOOKUP(D546,FILAMENTI_DB!$A:$J,8,FALSE))+((VLOOKUP(C546,STAMPANTI_DB!$A:$C,3,FALSE)/1000)*F546*SETTINGS!$C$6)+(F546*VLOOKUP(C546,STAMPANTI_DB!$A:$I,9,FALSE)),"")</f>
        <v/>
      </c>
    </row>
    <row r="547" spans="13:13" x14ac:dyDescent="0.2">
      <c r="M547" s="23" t="str">
        <f>IFERROR((E547*VLOOKUP(D547,FILAMENTI_DB!$A:$J,8,FALSE))+((VLOOKUP(C547,STAMPANTI_DB!$A:$C,3,FALSE)/1000)*F547*SETTINGS!$C$6)+(F547*VLOOKUP(C547,STAMPANTI_DB!$A:$I,9,FALSE)),"")</f>
        <v/>
      </c>
    </row>
    <row r="548" spans="13:13" x14ac:dyDescent="0.2">
      <c r="M548" s="23" t="str">
        <f>IFERROR((E548*VLOOKUP(D548,FILAMENTI_DB!$A:$J,8,FALSE))+((VLOOKUP(C548,STAMPANTI_DB!$A:$C,3,FALSE)/1000)*F548*SETTINGS!$C$6)+(F548*VLOOKUP(C548,STAMPANTI_DB!$A:$I,9,FALSE)),"")</f>
        <v/>
      </c>
    </row>
    <row r="549" spans="13:13" x14ac:dyDescent="0.2">
      <c r="M549" s="23" t="str">
        <f>IFERROR((E549*VLOOKUP(D549,FILAMENTI_DB!$A:$J,8,FALSE))+((VLOOKUP(C549,STAMPANTI_DB!$A:$C,3,FALSE)/1000)*F549*SETTINGS!$C$6)+(F549*VLOOKUP(C549,STAMPANTI_DB!$A:$I,9,FALSE)),"")</f>
        <v/>
      </c>
    </row>
    <row r="550" spans="13:13" x14ac:dyDescent="0.2">
      <c r="M550" s="23" t="str">
        <f>IFERROR((E550*VLOOKUP(D550,FILAMENTI_DB!$A:$J,8,FALSE))+((VLOOKUP(C550,STAMPANTI_DB!$A:$C,3,FALSE)/1000)*F550*SETTINGS!$C$6)+(F550*VLOOKUP(C550,STAMPANTI_DB!$A:$I,9,FALSE)),"")</f>
        <v/>
      </c>
    </row>
    <row r="551" spans="13:13" x14ac:dyDescent="0.2">
      <c r="M551" s="23" t="str">
        <f>IFERROR((E551*VLOOKUP(D551,FILAMENTI_DB!$A:$J,8,FALSE))+((VLOOKUP(C551,STAMPANTI_DB!$A:$C,3,FALSE)/1000)*F551*SETTINGS!$C$6)+(F551*VLOOKUP(C551,STAMPANTI_DB!$A:$I,9,FALSE)),"")</f>
        <v/>
      </c>
    </row>
    <row r="552" spans="13:13" x14ac:dyDescent="0.2">
      <c r="M552" s="23" t="str">
        <f>IFERROR((E552*VLOOKUP(D552,FILAMENTI_DB!$A:$J,8,FALSE))+((VLOOKUP(C552,STAMPANTI_DB!$A:$C,3,FALSE)/1000)*F552*SETTINGS!$C$6)+(F552*VLOOKUP(C552,STAMPANTI_DB!$A:$I,9,FALSE)),"")</f>
        <v/>
      </c>
    </row>
    <row r="553" spans="13:13" x14ac:dyDescent="0.2">
      <c r="M553" s="23" t="str">
        <f>IFERROR((E553*VLOOKUP(D553,FILAMENTI_DB!$A:$J,8,FALSE))+((VLOOKUP(C553,STAMPANTI_DB!$A:$C,3,FALSE)/1000)*F553*SETTINGS!$C$6)+(F553*VLOOKUP(C553,STAMPANTI_DB!$A:$I,9,FALSE)),"")</f>
        <v/>
      </c>
    </row>
    <row r="554" spans="13:13" x14ac:dyDescent="0.2">
      <c r="M554" s="23" t="str">
        <f>IFERROR((E554*VLOOKUP(D554,FILAMENTI_DB!$A:$J,8,FALSE))+((VLOOKUP(C554,STAMPANTI_DB!$A:$C,3,FALSE)/1000)*F554*SETTINGS!$C$6)+(F554*VLOOKUP(C554,STAMPANTI_DB!$A:$I,9,FALSE)),"")</f>
        <v/>
      </c>
    </row>
    <row r="555" spans="13:13" x14ac:dyDescent="0.2">
      <c r="M555" s="23" t="str">
        <f>IFERROR((E555*VLOOKUP(D555,FILAMENTI_DB!$A:$J,8,FALSE))+((VLOOKUP(C555,STAMPANTI_DB!$A:$C,3,FALSE)/1000)*F555*SETTINGS!$C$6)+(F555*VLOOKUP(C555,STAMPANTI_DB!$A:$I,9,FALSE)),"")</f>
        <v/>
      </c>
    </row>
    <row r="556" spans="13:13" x14ac:dyDescent="0.2">
      <c r="M556" s="23" t="str">
        <f>IFERROR((E556*VLOOKUP(D556,FILAMENTI_DB!$A:$J,8,FALSE))+((VLOOKUP(C556,STAMPANTI_DB!$A:$C,3,FALSE)/1000)*F556*SETTINGS!$C$6)+(F556*VLOOKUP(C556,STAMPANTI_DB!$A:$I,9,FALSE)),"")</f>
        <v/>
      </c>
    </row>
    <row r="557" spans="13:13" x14ac:dyDescent="0.2">
      <c r="M557" s="23" t="str">
        <f>IFERROR((E557*VLOOKUP(D557,FILAMENTI_DB!$A:$J,8,FALSE))+((VLOOKUP(C557,STAMPANTI_DB!$A:$C,3,FALSE)/1000)*F557*SETTINGS!$C$6)+(F557*VLOOKUP(C557,STAMPANTI_DB!$A:$I,9,FALSE)),"")</f>
        <v/>
      </c>
    </row>
    <row r="558" spans="13:13" x14ac:dyDescent="0.2">
      <c r="M558" s="23" t="str">
        <f>IFERROR((E558*VLOOKUP(D558,FILAMENTI_DB!$A:$J,8,FALSE))+((VLOOKUP(C558,STAMPANTI_DB!$A:$C,3,FALSE)/1000)*F558*SETTINGS!$C$6)+(F558*VLOOKUP(C558,STAMPANTI_DB!$A:$I,9,FALSE)),"")</f>
        <v/>
      </c>
    </row>
    <row r="559" spans="13:13" x14ac:dyDescent="0.2">
      <c r="M559" s="23" t="str">
        <f>IFERROR((E559*VLOOKUP(D559,FILAMENTI_DB!$A:$J,8,FALSE))+((VLOOKUP(C559,STAMPANTI_DB!$A:$C,3,FALSE)/1000)*F559*SETTINGS!$C$6)+(F559*VLOOKUP(C559,STAMPANTI_DB!$A:$I,9,FALSE)),"")</f>
        <v/>
      </c>
    </row>
    <row r="560" spans="13:13" x14ac:dyDescent="0.2">
      <c r="M560" s="23" t="str">
        <f>IFERROR((E560*VLOOKUP(D560,FILAMENTI_DB!$A:$J,8,FALSE))+((VLOOKUP(C560,STAMPANTI_DB!$A:$C,3,FALSE)/1000)*F560*SETTINGS!$C$6)+(F560*VLOOKUP(C560,STAMPANTI_DB!$A:$I,9,FALSE)),"")</f>
        <v/>
      </c>
    </row>
    <row r="561" spans="13:13" x14ac:dyDescent="0.2">
      <c r="M561" s="23" t="str">
        <f>IFERROR((E561*VLOOKUP(D561,FILAMENTI_DB!$A:$J,8,FALSE))+((VLOOKUP(C561,STAMPANTI_DB!$A:$C,3,FALSE)/1000)*F561*SETTINGS!$C$6)+(F561*VLOOKUP(C561,STAMPANTI_DB!$A:$I,9,FALSE)),"")</f>
        <v/>
      </c>
    </row>
    <row r="562" spans="13:13" x14ac:dyDescent="0.2">
      <c r="M562" s="23" t="str">
        <f>IFERROR((E562*VLOOKUP(D562,FILAMENTI_DB!$A:$J,8,FALSE))+((VLOOKUP(C562,STAMPANTI_DB!$A:$C,3,FALSE)/1000)*F562*SETTINGS!$C$6)+(F562*VLOOKUP(C562,STAMPANTI_DB!$A:$I,9,FALSE)),"")</f>
        <v/>
      </c>
    </row>
    <row r="563" spans="13:13" x14ac:dyDescent="0.2">
      <c r="M563" s="23" t="str">
        <f>IFERROR((E563*VLOOKUP(D563,FILAMENTI_DB!$A:$J,8,FALSE))+((VLOOKUP(C563,STAMPANTI_DB!$A:$C,3,FALSE)/1000)*F563*SETTINGS!$C$6)+(F563*VLOOKUP(C563,STAMPANTI_DB!$A:$I,9,FALSE)),"")</f>
        <v/>
      </c>
    </row>
    <row r="564" spans="13:13" x14ac:dyDescent="0.2">
      <c r="M564" s="23" t="str">
        <f>IFERROR((E564*VLOOKUP(D564,FILAMENTI_DB!$A:$J,8,FALSE))+((VLOOKUP(C564,STAMPANTI_DB!$A:$C,3,FALSE)/1000)*F564*SETTINGS!$C$6)+(F564*VLOOKUP(C564,STAMPANTI_DB!$A:$I,9,FALSE)),"")</f>
        <v/>
      </c>
    </row>
    <row r="565" spans="13:13" x14ac:dyDescent="0.2">
      <c r="M565" s="23" t="str">
        <f>IFERROR((E565*VLOOKUP(D565,FILAMENTI_DB!$A:$J,8,FALSE))+((VLOOKUP(C565,STAMPANTI_DB!$A:$C,3,FALSE)/1000)*F565*SETTINGS!$C$6)+(F565*VLOOKUP(C565,STAMPANTI_DB!$A:$I,9,FALSE)),"")</f>
        <v/>
      </c>
    </row>
    <row r="566" spans="13:13" x14ac:dyDescent="0.2">
      <c r="M566" s="23" t="str">
        <f>IFERROR((E566*VLOOKUP(D566,FILAMENTI_DB!$A:$J,8,FALSE))+((VLOOKUP(C566,STAMPANTI_DB!$A:$C,3,FALSE)/1000)*F566*SETTINGS!$C$6)+(F566*VLOOKUP(C566,STAMPANTI_DB!$A:$I,9,FALSE)),"")</f>
        <v/>
      </c>
    </row>
    <row r="567" spans="13:13" x14ac:dyDescent="0.2">
      <c r="M567" s="23" t="str">
        <f>IFERROR((E567*VLOOKUP(D567,FILAMENTI_DB!$A:$J,8,FALSE))+((VLOOKUP(C567,STAMPANTI_DB!$A:$C,3,FALSE)/1000)*F567*SETTINGS!$C$6)+(F567*VLOOKUP(C567,STAMPANTI_DB!$A:$I,9,FALSE)),"")</f>
        <v/>
      </c>
    </row>
    <row r="568" spans="13:13" x14ac:dyDescent="0.2">
      <c r="M568" s="23" t="str">
        <f>IFERROR((E568*VLOOKUP(D568,FILAMENTI_DB!$A:$J,8,FALSE))+((VLOOKUP(C568,STAMPANTI_DB!$A:$C,3,FALSE)/1000)*F568*SETTINGS!$C$6)+(F568*VLOOKUP(C568,STAMPANTI_DB!$A:$I,9,FALSE)),"")</f>
        <v/>
      </c>
    </row>
    <row r="569" spans="13:13" x14ac:dyDescent="0.2">
      <c r="M569" s="23" t="str">
        <f>IFERROR((E569*VLOOKUP(D569,FILAMENTI_DB!$A:$J,8,FALSE))+((VLOOKUP(C569,STAMPANTI_DB!$A:$C,3,FALSE)/1000)*F569*SETTINGS!$C$6)+(F569*VLOOKUP(C569,STAMPANTI_DB!$A:$I,9,FALSE)),"")</f>
        <v/>
      </c>
    </row>
    <row r="570" spans="13:13" x14ac:dyDescent="0.2">
      <c r="M570" s="23" t="str">
        <f>IFERROR((E570*VLOOKUP(D570,FILAMENTI_DB!$A:$J,8,FALSE))+((VLOOKUP(C570,STAMPANTI_DB!$A:$C,3,FALSE)/1000)*F570*SETTINGS!$C$6)+(F570*VLOOKUP(C570,STAMPANTI_DB!$A:$I,9,FALSE)),"")</f>
        <v/>
      </c>
    </row>
    <row r="571" spans="13:13" x14ac:dyDescent="0.2">
      <c r="M571" s="23" t="str">
        <f>IFERROR((E571*VLOOKUP(D571,FILAMENTI_DB!$A:$J,8,FALSE))+((VLOOKUP(C571,STAMPANTI_DB!$A:$C,3,FALSE)/1000)*F571*SETTINGS!$C$6)+(F571*VLOOKUP(C571,STAMPANTI_DB!$A:$I,9,FALSE)),"")</f>
        <v/>
      </c>
    </row>
    <row r="572" spans="13:13" x14ac:dyDescent="0.2">
      <c r="M572" s="23" t="str">
        <f>IFERROR((E572*VLOOKUP(D572,FILAMENTI_DB!$A:$J,8,FALSE))+((VLOOKUP(C572,STAMPANTI_DB!$A:$C,3,FALSE)/1000)*F572*SETTINGS!$C$6)+(F572*VLOOKUP(C572,STAMPANTI_DB!$A:$I,9,FALSE)),"")</f>
        <v/>
      </c>
    </row>
    <row r="573" spans="13:13" x14ac:dyDescent="0.2">
      <c r="M573" s="23" t="str">
        <f>IFERROR((E573*VLOOKUP(D573,FILAMENTI_DB!$A:$J,8,FALSE))+((VLOOKUP(C573,STAMPANTI_DB!$A:$C,3,FALSE)/1000)*F573*SETTINGS!$C$6)+(F573*VLOOKUP(C573,STAMPANTI_DB!$A:$I,9,FALSE)),"")</f>
        <v/>
      </c>
    </row>
    <row r="574" spans="13:13" x14ac:dyDescent="0.2">
      <c r="M574" s="23" t="str">
        <f>IFERROR((E574*VLOOKUP(D574,FILAMENTI_DB!$A:$J,8,FALSE))+((VLOOKUP(C574,STAMPANTI_DB!$A:$C,3,FALSE)/1000)*F574*SETTINGS!$C$6)+(F574*VLOOKUP(C574,STAMPANTI_DB!$A:$I,9,FALSE)),"")</f>
        <v/>
      </c>
    </row>
    <row r="575" spans="13:13" x14ac:dyDescent="0.2">
      <c r="M575" s="23" t="str">
        <f>IFERROR((E575*VLOOKUP(D575,FILAMENTI_DB!$A:$J,8,FALSE))+((VLOOKUP(C575,STAMPANTI_DB!$A:$C,3,FALSE)/1000)*F575*SETTINGS!$C$6)+(F575*VLOOKUP(C575,STAMPANTI_DB!$A:$I,9,FALSE)),"")</f>
        <v/>
      </c>
    </row>
    <row r="576" spans="13:13" x14ac:dyDescent="0.2">
      <c r="M576" s="23" t="str">
        <f>IFERROR((E576*VLOOKUP(D576,FILAMENTI_DB!$A:$J,8,FALSE))+((VLOOKUP(C576,STAMPANTI_DB!$A:$C,3,FALSE)/1000)*F576*SETTINGS!$C$6)+(F576*VLOOKUP(C576,STAMPANTI_DB!$A:$I,9,FALSE)),"")</f>
        <v/>
      </c>
    </row>
    <row r="577" spans="13:13" x14ac:dyDescent="0.2">
      <c r="M577" s="23" t="str">
        <f>IFERROR((E577*VLOOKUP(D577,FILAMENTI_DB!$A:$J,8,FALSE))+((VLOOKUP(C577,STAMPANTI_DB!$A:$C,3,FALSE)/1000)*F577*SETTINGS!$C$6)+(F577*VLOOKUP(C577,STAMPANTI_DB!$A:$I,9,FALSE)),"")</f>
        <v/>
      </c>
    </row>
    <row r="578" spans="13:13" x14ac:dyDescent="0.2">
      <c r="M578" s="23" t="str">
        <f>IFERROR((E578*VLOOKUP(D578,FILAMENTI_DB!$A:$J,8,FALSE))+((VLOOKUP(C578,STAMPANTI_DB!$A:$C,3,FALSE)/1000)*F578*SETTINGS!$C$6)+(F578*VLOOKUP(C578,STAMPANTI_DB!$A:$I,9,FALSE)),"")</f>
        <v/>
      </c>
    </row>
    <row r="579" spans="13:13" x14ac:dyDescent="0.2">
      <c r="M579" s="23" t="str">
        <f>IFERROR((E579*VLOOKUP(D579,FILAMENTI_DB!$A:$J,8,FALSE))+((VLOOKUP(C579,STAMPANTI_DB!$A:$C,3,FALSE)/1000)*F579*SETTINGS!$C$6)+(F579*VLOOKUP(C579,STAMPANTI_DB!$A:$I,9,FALSE)),"")</f>
        <v/>
      </c>
    </row>
    <row r="580" spans="13:13" x14ac:dyDescent="0.2">
      <c r="M580" s="23" t="str">
        <f>IFERROR((E580*VLOOKUP(D580,FILAMENTI_DB!$A:$J,8,FALSE))+((VLOOKUP(C580,STAMPANTI_DB!$A:$C,3,FALSE)/1000)*F580*SETTINGS!$C$6)+(F580*VLOOKUP(C580,STAMPANTI_DB!$A:$I,9,FALSE)),"")</f>
        <v/>
      </c>
    </row>
    <row r="581" spans="13:13" x14ac:dyDescent="0.2">
      <c r="M581" s="23" t="str">
        <f>IFERROR((E581*VLOOKUP(D581,FILAMENTI_DB!$A:$J,8,FALSE))+((VLOOKUP(C581,STAMPANTI_DB!$A:$C,3,FALSE)/1000)*F581*SETTINGS!$C$6)+(F581*VLOOKUP(C581,STAMPANTI_DB!$A:$I,9,FALSE)),"")</f>
        <v/>
      </c>
    </row>
    <row r="582" spans="13:13" x14ac:dyDescent="0.2">
      <c r="M582" s="23" t="str">
        <f>IFERROR((E582*VLOOKUP(D582,FILAMENTI_DB!$A:$J,8,FALSE))+((VLOOKUP(C582,STAMPANTI_DB!$A:$C,3,FALSE)/1000)*F582*SETTINGS!$C$6)+(F582*VLOOKUP(C582,STAMPANTI_DB!$A:$I,9,FALSE)),"")</f>
        <v/>
      </c>
    </row>
    <row r="583" spans="13:13" x14ac:dyDescent="0.2">
      <c r="M583" s="23" t="str">
        <f>IFERROR((E583*VLOOKUP(D583,FILAMENTI_DB!$A:$J,8,FALSE))+((VLOOKUP(C583,STAMPANTI_DB!$A:$C,3,FALSE)/1000)*F583*SETTINGS!$C$6)+(F583*VLOOKUP(C583,STAMPANTI_DB!$A:$I,9,FALSE)),"")</f>
        <v/>
      </c>
    </row>
    <row r="584" spans="13:13" x14ac:dyDescent="0.2">
      <c r="M584" s="23" t="str">
        <f>IFERROR((E584*VLOOKUP(D584,FILAMENTI_DB!$A:$J,8,FALSE))+((VLOOKUP(C584,STAMPANTI_DB!$A:$C,3,FALSE)/1000)*F584*SETTINGS!$C$6)+(F584*VLOOKUP(C584,STAMPANTI_DB!$A:$I,9,FALSE)),"")</f>
        <v/>
      </c>
    </row>
    <row r="585" spans="13:13" x14ac:dyDescent="0.2">
      <c r="M585" s="23" t="str">
        <f>IFERROR((E585*VLOOKUP(D585,FILAMENTI_DB!$A:$J,8,FALSE))+((VLOOKUP(C585,STAMPANTI_DB!$A:$C,3,FALSE)/1000)*F585*SETTINGS!$C$6)+(F585*VLOOKUP(C585,STAMPANTI_DB!$A:$I,9,FALSE)),"")</f>
        <v/>
      </c>
    </row>
    <row r="586" spans="13:13" x14ac:dyDescent="0.2">
      <c r="M586" s="23" t="str">
        <f>IFERROR((E586*VLOOKUP(D586,FILAMENTI_DB!$A:$J,8,FALSE))+((VLOOKUP(C586,STAMPANTI_DB!$A:$C,3,FALSE)/1000)*F586*SETTINGS!$C$6)+(F586*VLOOKUP(C586,STAMPANTI_DB!$A:$I,9,FALSE)),"")</f>
        <v/>
      </c>
    </row>
    <row r="587" spans="13:13" x14ac:dyDescent="0.2">
      <c r="M587" s="23" t="str">
        <f>IFERROR((E587*VLOOKUP(D587,FILAMENTI_DB!$A:$J,8,FALSE))+((VLOOKUP(C587,STAMPANTI_DB!$A:$C,3,FALSE)/1000)*F587*SETTINGS!$C$6)+(F587*VLOOKUP(C587,STAMPANTI_DB!$A:$I,9,FALSE)),"")</f>
        <v/>
      </c>
    </row>
    <row r="588" spans="13:13" x14ac:dyDescent="0.2">
      <c r="M588" s="23" t="str">
        <f>IFERROR((E588*VLOOKUP(D588,FILAMENTI_DB!$A:$J,8,FALSE))+((VLOOKUP(C588,STAMPANTI_DB!$A:$C,3,FALSE)/1000)*F588*SETTINGS!$C$6)+(F588*VLOOKUP(C588,STAMPANTI_DB!$A:$I,9,FALSE)),"")</f>
        <v/>
      </c>
    </row>
    <row r="589" spans="13:13" x14ac:dyDescent="0.2">
      <c r="M589" s="23" t="str">
        <f>IFERROR((E589*VLOOKUP(D589,FILAMENTI_DB!$A:$J,8,FALSE))+((VLOOKUP(C589,STAMPANTI_DB!$A:$C,3,FALSE)/1000)*F589*SETTINGS!$C$6)+(F589*VLOOKUP(C589,STAMPANTI_DB!$A:$I,9,FALSE)),"")</f>
        <v/>
      </c>
    </row>
    <row r="590" spans="13:13" x14ac:dyDescent="0.2">
      <c r="M590" s="23" t="str">
        <f>IFERROR((E590*VLOOKUP(D590,FILAMENTI_DB!$A:$J,8,FALSE))+((VLOOKUP(C590,STAMPANTI_DB!$A:$C,3,FALSE)/1000)*F590*SETTINGS!$C$6)+(F590*VLOOKUP(C590,STAMPANTI_DB!$A:$I,9,FALSE)),"")</f>
        <v/>
      </c>
    </row>
    <row r="591" spans="13:13" x14ac:dyDescent="0.2">
      <c r="M591" s="23" t="str">
        <f>IFERROR((E591*VLOOKUP(D591,FILAMENTI_DB!$A:$J,8,FALSE))+((VLOOKUP(C591,STAMPANTI_DB!$A:$C,3,FALSE)/1000)*F591*SETTINGS!$C$6)+(F591*VLOOKUP(C591,STAMPANTI_DB!$A:$I,9,FALSE)),"")</f>
        <v/>
      </c>
    </row>
    <row r="592" spans="13:13" x14ac:dyDescent="0.2">
      <c r="M592" s="23" t="str">
        <f>IFERROR((E592*VLOOKUP(D592,FILAMENTI_DB!$A:$J,8,FALSE))+((VLOOKUP(C592,STAMPANTI_DB!$A:$C,3,FALSE)/1000)*F592*SETTINGS!$C$6)+(F592*VLOOKUP(C592,STAMPANTI_DB!$A:$I,9,FALSE)),"")</f>
        <v/>
      </c>
    </row>
    <row r="593" spans="13:13" x14ac:dyDescent="0.2">
      <c r="M593" s="23" t="str">
        <f>IFERROR((E593*VLOOKUP(D593,FILAMENTI_DB!$A:$J,8,FALSE))+((VLOOKUP(C593,STAMPANTI_DB!$A:$C,3,FALSE)/1000)*F593*SETTINGS!$C$6)+(F593*VLOOKUP(C593,STAMPANTI_DB!$A:$I,9,FALSE)),"")</f>
        <v/>
      </c>
    </row>
    <row r="594" spans="13:13" x14ac:dyDescent="0.2">
      <c r="M594" s="23" t="str">
        <f>IFERROR((E594*VLOOKUP(D594,FILAMENTI_DB!$A:$J,8,FALSE))+((VLOOKUP(C594,STAMPANTI_DB!$A:$C,3,FALSE)/1000)*F594*SETTINGS!$C$6)+(F594*VLOOKUP(C594,STAMPANTI_DB!$A:$I,9,FALSE)),"")</f>
        <v/>
      </c>
    </row>
    <row r="595" spans="13:13" x14ac:dyDescent="0.2">
      <c r="M595" s="23" t="str">
        <f>IFERROR((E595*VLOOKUP(D595,FILAMENTI_DB!$A:$J,8,FALSE))+((VLOOKUP(C595,STAMPANTI_DB!$A:$C,3,FALSE)/1000)*F595*SETTINGS!$C$6)+(F595*VLOOKUP(C595,STAMPANTI_DB!$A:$I,9,FALSE)),"")</f>
        <v/>
      </c>
    </row>
    <row r="596" spans="13:13" x14ac:dyDescent="0.2">
      <c r="M596" s="23" t="str">
        <f>IFERROR((E596*VLOOKUP(D596,FILAMENTI_DB!$A:$J,8,FALSE))+((VLOOKUP(C596,STAMPANTI_DB!$A:$C,3,FALSE)/1000)*F596*SETTINGS!$C$6)+(F596*VLOOKUP(C596,STAMPANTI_DB!$A:$I,9,FALSE)),"")</f>
        <v/>
      </c>
    </row>
    <row r="597" spans="13:13" x14ac:dyDescent="0.2">
      <c r="M597" s="23" t="str">
        <f>IFERROR((E597*VLOOKUP(D597,FILAMENTI_DB!$A:$J,8,FALSE))+((VLOOKUP(C597,STAMPANTI_DB!$A:$C,3,FALSE)/1000)*F597*SETTINGS!$C$6)+(F597*VLOOKUP(C597,STAMPANTI_DB!$A:$I,9,FALSE)),"")</f>
        <v/>
      </c>
    </row>
    <row r="598" spans="13:13" x14ac:dyDescent="0.2">
      <c r="M598" s="23" t="str">
        <f>IFERROR((E598*VLOOKUP(D598,FILAMENTI_DB!$A:$J,8,FALSE))+((VLOOKUP(C598,STAMPANTI_DB!$A:$C,3,FALSE)/1000)*F598*SETTINGS!$C$6)+(F598*VLOOKUP(C598,STAMPANTI_DB!$A:$I,9,FALSE)),"")</f>
        <v/>
      </c>
    </row>
    <row r="599" spans="13:13" x14ac:dyDescent="0.2">
      <c r="M599" s="23" t="str">
        <f>IFERROR((E599*VLOOKUP(D599,FILAMENTI_DB!$A:$J,8,FALSE))+((VLOOKUP(C599,STAMPANTI_DB!$A:$C,3,FALSE)/1000)*F599*SETTINGS!$C$6)+(F599*VLOOKUP(C599,STAMPANTI_DB!$A:$I,9,FALSE)),"")</f>
        <v/>
      </c>
    </row>
    <row r="600" spans="13:13" x14ac:dyDescent="0.2">
      <c r="M600" s="23" t="str">
        <f>IFERROR((E600*VLOOKUP(D600,FILAMENTI_DB!$A:$J,8,FALSE))+((VLOOKUP(C600,STAMPANTI_DB!$A:$C,3,FALSE)/1000)*F600*SETTINGS!$C$6)+(F600*VLOOKUP(C600,STAMPANTI_DB!$A:$I,9,FALSE)),"")</f>
        <v/>
      </c>
    </row>
    <row r="601" spans="13:13" x14ac:dyDescent="0.2">
      <c r="M601" s="23" t="str">
        <f>IFERROR((E601*VLOOKUP(D601,FILAMENTI_DB!$A:$J,8,FALSE))+((VLOOKUP(C601,STAMPANTI_DB!$A:$C,3,FALSE)/1000)*F601*SETTINGS!$C$6)+(F601*VLOOKUP(C601,STAMPANTI_DB!$A:$I,9,FALSE)),"")</f>
        <v/>
      </c>
    </row>
    <row r="602" spans="13:13" x14ac:dyDescent="0.2">
      <c r="M602" s="23" t="str">
        <f>IFERROR((E602*VLOOKUP(D602,FILAMENTI_DB!$A:$J,8,FALSE))+((VLOOKUP(C602,STAMPANTI_DB!$A:$C,3,FALSE)/1000)*F602*SETTINGS!$C$6)+(F602*VLOOKUP(C602,STAMPANTI_DB!$A:$I,9,FALSE)),"")</f>
        <v/>
      </c>
    </row>
    <row r="603" spans="13:13" x14ac:dyDescent="0.2">
      <c r="M603" s="23" t="str">
        <f>IFERROR((E603*VLOOKUP(D603,FILAMENTI_DB!$A:$J,8,FALSE))+((VLOOKUP(C603,STAMPANTI_DB!$A:$C,3,FALSE)/1000)*F603*SETTINGS!$C$6)+(F603*VLOOKUP(C603,STAMPANTI_DB!$A:$I,9,FALSE)),"")</f>
        <v/>
      </c>
    </row>
    <row r="604" spans="13:13" x14ac:dyDescent="0.2">
      <c r="M604" s="23" t="str">
        <f>IFERROR((E604*VLOOKUP(D604,FILAMENTI_DB!$A:$J,8,FALSE))+((VLOOKUP(C604,STAMPANTI_DB!$A:$C,3,FALSE)/1000)*F604*SETTINGS!$C$6)+(F604*VLOOKUP(C604,STAMPANTI_DB!$A:$I,9,FALSE)),"")</f>
        <v/>
      </c>
    </row>
    <row r="605" spans="13:13" x14ac:dyDescent="0.2">
      <c r="M605" s="23" t="str">
        <f>IFERROR((E605*VLOOKUP(D605,FILAMENTI_DB!$A:$J,8,FALSE))+((VLOOKUP(C605,STAMPANTI_DB!$A:$C,3,FALSE)/1000)*F605*SETTINGS!$C$6)+(F605*VLOOKUP(C605,STAMPANTI_DB!$A:$I,9,FALSE)),"")</f>
        <v/>
      </c>
    </row>
    <row r="606" spans="13:13" x14ac:dyDescent="0.2">
      <c r="M606" s="23" t="str">
        <f>IFERROR((E606*VLOOKUP(D606,FILAMENTI_DB!$A:$J,8,FALSE))+((VLOOKUP(C606,STAMPANTI_DB!$A:$C,3,FALSE)/1000)*F606*SETTINGS!$C$6)+(F606*VLOOKUP(C606,STAMPANTI_DB!$A:$I,9,FALSE)),"")</f>
        <v/>
      </c>
    </row>
    <row r="607" spans="13:13" x14ac:dyDescent="0.2">
      <c r="M607" s="23" t="str">
        <f>IFERROR((E607*VLOOKUP(D607,FILAMENTI_DB!$A:$J,8,FALSE))+((VLOOKUP(C607,STAMPANTI_DB!$A:$C,3,FALSE)/1000)*F607*SETTINGS!$C$6)+(F607*VLOOKUP(C607,STAMPANTI_DB!$A:$I,9,FALSE)),"")</f>
        <v/>
      </c>
    </row>
    <row r="608" spans="13:13" x14ac:dyDescent="0.2">
      <c r="M608" s="23" t="str">
        <f>IFERROR((E608*VLOOKUP(D608,FILAMENTI_DB!$A:$J,8,FALSE))+((VLOOKUP(C608,STAMPANTI_DB!$A:$C,3,FALSE)/1000)*F608*SETTINGS!$C$6)+(F608*VLOOKUP(C608,STAMPANTI_DB!$A:$I,9,FALSE)),"")</f>
        <v/>
      </c>
    </row>
    <row r="609" spans="13:13" x14ac:dyDescent="0.2">
      <c r="M609" s="23" t="str">
        <f>IFERROR((E609*VLOOKUP(D609,FILAMENTI_DB!$A:$J,8,FALSE))+((VLOOKUP(C609,STAMPANTI_DB!$A:$C,3,FALSE)/1000)*F609*SETTINGS!$C$6)+(F609*VLOOKUP(C609,STAMPANTI_DB!$A:$I,9,FALSE)),"")</f>
        <v/>
      </c>
    </row>
    <row r="610" spans="13:13" x14ac:dyDescent="0.2">
      <c r="M610" s="23" t="str">
        <f>IFERROR((E610*VLOOKUP(D610,FILAMENTI_DB!$A:$J,8,FALSE))+((VLOOKUP(C610,STAMPANTI_DB!$A:$C,3,FALSE)/1000)*F610*SETTINGS!$C$6)+(F610*VLOOKUP(C610,STAMPANTI_DB!$A:$I,9,FALSE)),"")</f>
        <v/>
      </c>
    </row>
    <row r="611" spans="13:13" x14ac:dyDescent="0.2">
      <c r="M611" s="23" t="str">
        <f>IFERROR((E611*VLOOKUP(D611,FILAMENTI_DB!$A:$J,8,FALSE))+((VLOOKUP(C611,STAMPANTI_DB!$A:$C,3,FALSE)/1000)*F611*SETTINGS!$C$6)+(F611*VLOOKUP(C611,STAMPANTI_DB!$A:$I,9,FALSE)),"")</f>
        <v/>
      </c>
    </row>
    <row r="612" spans="13:13" x14ac:dyDescent="0.2">
      <c r="M612" s="23" t="str">
        <f>IFERROR((E612*VLOOKUP(D612,FILAMENTI_DB!$A:$J,8,FALSE))+((VLOOKUP(C612,STAMPANTI_DB!$A:$C,3,FALSE)/1000)*F612*SETTINGS!$C$6)+(F612*VLOOKUP(C612,STAMPANTI_DB!$A:$I,9,FALSE)),"")</f>
        <v/>
      </c>
    </row>
    <row r="613" spans="13:13" x14ac:dyDescent="0.2">
      <c r="M613" s="23" t="str">
        <f>IFERROR((E613*VLOOKUP(D613,FILAMENTI_DB!$A:$J,8,FALSE))+((VLOOKUP(C613,STAMPANTI_DB!$A:$C,3,FALSE)/1000)*F613*SETTINGS!$C$6)+(F613*VLOOKUP(C613,STAMPANTI_DB!$A:$I,9,FALSE)),"")</f>
        <v/>
      </c>
    </row>
    <row r="614" spans="13:13" x14ac:dyDescent="0.2">
      <c r="M614" s="23" t="str">
        <f>IFERROR((E614*VLOOKUP(D614,FILAMENTI_DB!$A:$J,8,FALSE))+((VLOOKUP(C614,STAMPANTI_DB!$A:$C,3,FALSE)/1000)*F614*SETTINGS!$C$6)+(F614*VLOOKUP(C614,STAMPANTI_DB!$A:$I,9,FALSE)),"")</f>
        <v/>
      </c>
    </row>
    <row r="615" spans="13:13" x14ac:dyDescent="0.2">
      <c r="M615" s="23" t="str">
        <f>IFERROR((E615*VLOOKUP(D615,FILAMENTI_DB!$A:$J,8,FALSE))+((VLOOKUP(C615,STAMPANTI_DB!$A:$C,3,FALSE)/1000)*F615*SETTINGS!$C$6)+(F615*VLOOKUP(C615,STAMPANTI_DB!$A:$I,9,FALSE)),"")</f>
        <v/>
      </c>
    </row>
    <row r="616" spans="13:13" x14ac:dyDescent="0.2">
      <c r="M616" s="23" t="str">
        <f>IFERROR((E616*VLOOKUP(D616,FILAMENTI_DB!$A:$J,8,FALSE))+((VLOOKUP(C616,STAMPANTI_DB!$A:$C,3,FALSE)/1000)*F616*SETTINGS!$C$6)+(F616*VLOOKUP(C616,STAMPANTI_DB!$A:$I,9,FALSE)),"")</f>
        <v/>
      </c>
    </row>
    <row r="617" spans="13:13" x14ac:dyDescent="0.2">
      <c r="M617" s="23" t="str">
        <f>IFERROR((E617*VLOOKUP(D617,FILAMENTI_DB!$A:$J,8,FALSE))+((VLOOKUP(C617,STAMPANTI_DB!$A:$C,3,FALSE)/1000)*F617*SETTINGS!$C$6)+(F617*VLOOKUP(C617,STAMPANTI_DB!$A:$I,9,FALSE)),"")</f>
        <v/>
      </c>
    </row>
    <row r="618" spans="13:13" x14ac:dyDescent="0.2">
      <c r="M618" s="23" t="str">
        <f>IFERROR((E618*VLOOKUP(D618,FILAMENTI_DB!$A:$J,8,FALSE))+((VLOOKUP(C618,STAMPANTI_DB!$A:$C,3,FALSE)/1000)*F618*SETTINGS!$C$6)+(F618*VLOOKUP(C618,STAMPANTI_DB!$A:$I,9,FALSE)),"")</f>
        <v/>
      </c>
    </row>
    <row r="619" spans="13:13" x14ac:dyDescent="0.2">
      <c r="M619" s="23" t="str">
        <f>IFERROR((E619*VLOOKUP(D619,FILAMENTI_DB!$A:$J,8,FALSE))+((VLOOKUP(C619,STAMPANTI_DB!$A:$C,3,FALSE)/1000)*F619*SETTINGS!$C$6)+(F619*VLOOKUP(C619,STAMPANTI_DB!$A:$I,9,FALSE)),"")</f>
        <v/>
      </c>
    </row>
    <row r="620" spans="13:13" x14ac:dyDescent="0.2">
      <c r="M620" s="23" t="str">
        <f>IFERROR((E620*VLOOKUP(D620,FILAMENTI_DB!$A:$J,8,FALSE))+((VLOOKUP(C620,STAMPANTI_DB!$A:$C,3,FALSE)/1000)*F620*SETTINGS!$C$6)+(F620*VLOOKUP(C620,STAMPANTI_DB!$A:$I,9,FALSE)),"")</f>
        <v/>
      </c>
    </row>
    <row r="621" spans="13:13" x14ac:dyDescent="0.2">
      <c r="M621" s="23" t="str">
        <f>IFERROR((E621*VLOOKUP(D621,FILAMENTI_DB!$A:$J,8,FALSE))+((VLOOKUP(C621,STAMPANTI_DB!$A:$C,3,FALSE)/1000)*F621*SETTINGS!$C$6)+(F621*VLOOKUP(C621,STAMPANTI_DB!$A:$I,9,FALSE)),"")</f>
        <v/>
      </c>
    </row>
    <row r="622" spans="13:13" x14ac:dyDescent="0.2">
      <c r="M622" s="23" t="str">
        <f>IFERROR((E622*VLOOKUP(D622,FILAMENTI_DB!$A:$J,8,FALSE))+((VLOOKUP(C622,STAMPANTI_DB!$A:$C,3,FALSE)/1000)*F622*SETTINGS!$C$6)+(F622*VLOOKUP(C622,STAMPANTI_DB!$A:$I,9,FALSE)),"")</f>
        <v/>
      </c>
    </row>
    <row r="623" spans="13:13" x14ac:dyDescent="0.2">
      <c r="M623" s="23" t="str">
        <f>IFERROR((E623*VLOOKUP(D623,FILAMENTI_DB!$A:$J,8,FALSE))+((VLOOKUP(C623,STAMPANTI_DB!$A:$C,3,FALSE)/1000)*F623*SETTINGS!$C$6)+(F623*VLOOKUP(C623,STAMPANTI_DB!$A:$I,9,FALSE)),"")</f>
        <v/>
      </c>
    </row>
    <row r="624" spans="13:13" x14ac:dyDescent="0.2">
      <c r="M624" s="23" t="str">
        <f>IFERROR((E624*VLOOKUP(D624,FILAMENTI_DB!$A:$J,8,FALSE))+((VLOOKUP(C624,STAMPANTI_DB!$A:$C,3,FALSE)/1000)*F624*SETTINGS!$C$6)+(F624*VLOOKUP(C624,STAMPANTI_DB!$A:$I,9,FALSE)),"")</f>
        <v/>
      </c>
    </row>
    <row r="625" spans="13:13" x14ac:dyDescent="0.2">
      <c r="M625" s="23" t="str">
        <f>IFERROR((E625*VLOOKUP(D625,FILAMENTI_DB!$A:$J,8,FALSE))+((VLOOKUP(C625,STAMPANTI_DB!$A:$C,3,FALSE)/1000)*F625*SETTINGS!$C$6)+(F625*VLOOKUP(C625,STAMPANTI_DB!$A:$I,9,FALSE)),"")</f>
        <v/>
      </c>
    </row>
    <row r="626" spans="13:13" x14ac:dyDescent="0.2">
      <c r="M626" s="23" t="str">
        <f>IFERROR((E626*VLOOKUP(D626,FILAMENTI_DB!$A:$J,8,FALSE))+((VLOOKUP(C626,STAMPANTI_DB!$A:$C,3,FALSE)/1000)*F626*SETTINGS!$C$6)+(F626*VLOOKUP(C626,STAMPANTI_DB!$A:$I,9,FALSE)),"")</f>
        <v/>
      </c>
    </row>
    <row r="627" spans="13:13" x14ac:dyDescent="0.2">
      <c r="M627" s="23" t="str">
        <f>IFERROR((E627*VLOOKUP(D627,FILAMENTI_DB!$A:$J,8,FALSE))+((VLOOKUP(C627,STAMPANTI_DB!$A:$C,3,FALSE)/1000)*F627*SETTINGS!$C$6)+(F627*VLOOKUP(C627,STAMPANTI_DB!$A:$I,9,FALSE)),"")</f>
        <v/>
      </c>
    </row>
    <row r="628" spans="13:13" x14ac:dyDescent="0.2">
      <c r="M628" s="23" t="str">
        <f>IFERROR((E628*VLOOKUP(D628,FILAMENTI_DB!$A:$J,8,FALSE))+((VLOOKUP(C628,STAMPANTI_DB!$A:$C,3,FALSE)/1000)*F628*SETTINGS!$C$6)+(F628*VLOOKUP(C628,STAMPANTI_DB!$A:$I,9,FALSE)),"")</f>
        <v/>
      </c>
    </row>
    <row r="629" spans="13:13" x14ac:dyDescent="0.2">
      <c r="M629" s="23" t="str">
        <f>IFERROR((E629*VLOOKUP(D629,FILAMENTI_DB!$A:$J,8,FALSE))+((VLOOKUP(C629,STAMPANTI_DB!$A:$C,3,FALSE)/1000)*F629*SETTINGS!$C$6)+(F629*VLOOKUP(C629,STAMPANTI_DB!$A:$I,9,FALSE)),"")</f>
        <v/>
      </c>
    </row>
    <row r="630" spans="13:13" x14ac:dyDescent="0.2">
      <c r="M630" s="23" t="str">
        <f>IFERROR((E630*VLOOKUP(D630,FILAMENTI_DB!$A:$J,8,FALSE))+((VLOOKUP(C630,STAMPANTI_DB!$A:$C,3,FALSE)/1000)*F630*SETTINGS!$C$6)+(F630*VLOOKUP(C630,STAMPANTI_DB!$A:$I,9,FALSE)),"")</f>
        <v/>
      </c>
    </row>
    <row r="631" spans="13:13" x14ac:dyDescent="0.2">
      <c r="M631" s="23" t="str">
        <f>IFERROR((E631*VLOOKUP(D631,FILAMENTI_DB!$A:$J,8,FALSE))+((VLOOKUP(C631,STAMPANTI_DB!$A:$C,3,FALSE)/1000)*F631*SETTINGS!$C$6)+(F631*VLOOKUP(C631,STAMPANTI_DB!$A:$I,9,FALSE)),"")</f>
        <v/>
      </c>
    </row>
    <row r="632" spans="13:13" x14ac:dyDescent="0.2">
      <c r="M632" s="23" t="str">
        <f>IFERROR((E632*VLOOKUP(D632,FILAMENTI_DB!$A:$J,8,FALSE))+((VLOOKUP(C632,STAMPANTI_DB!$A:$C,3,FALSE)/1000)*F632*SETTINGS!$C$6)+(F632*VLOOKUP(C632,STAMPANTI_DB!$A:$I,9,FALSE)),"")</f>
        <v/>
      </c>
    </row>
    <row r="633" spans="13:13" x14ac:dyDescent="0.2">
      <c r="M633" s="23" t="str">
        <f>IFERROR((E633*VLOOKUP(D633,FILAMENTI_DB!$A:$J,8,FALSE))+((VLOOKUP(C633,STAMPANTI_DB!$A:$C,3,FALSE)/1000)*F633*SETTINGS!$C$6)+(F633*VLOOKUP(C633,STAMPANTI_DB!$A:$I,9,FALSE)),"")</f>
        <v/>
      </c>
    </row>
    <row r="634" spans="13:13" x14ac:dyDescent="0.2">
      <c r="M634" s="23" t="str">
        <f>IFERROR((E634*VLOOKUP(D634,FILAMENTI_DB!$A:$J,8,FALSE))+((VLOOKUP(C634,STAMPANTI_DB!$A:$C,3,FALSE)/1000)*F634*SETTINGS!$C$6)+(F634*VLOOKUP(C634,STAMPANTI_DB!$A:$I,9,FALSE)),"")</f>
        <v/>
      </c>
    </row>
    <row r="635" spans="13:13" x14ac:dyDescent="0.2">
      <c r="M635" s="23" t="str">
        <f>IFERROR((E635*VLOOKUP(D635,FILAMENTI_DB!$A:$J,8,FALSE))+((VLOOKUP(C635,STAMPANTI_DB!$A:$C,3,FALSE)/1000)*F635*SETTINGS!$C$6)+(F635*VLOOKUP(C635,STAMPANTI_DB!$A:$I,9,FALSE)),"")</f>
        <v/>
      </c>
    </row>
    <row r="636" spans="13:13" x14ac:dyDescent="0.2">
      <c r="M636" s="23" t="str">
        <f>IFERROR((E636*VLOOKUP(D636,FILAMENTI_DB!$A:$J,8,FALSE))+((VLOOKUP(C636,STAMPANTI_DB!$A:$C,3,FALSE)/1000)*F636*SETTINGS!$C$6)+(F636*VLOOKUP(C636,STAMPANTI_DB!$A:$I,9,FALSE)),"")</f>
        <v/>
      </c>
    </row>
    <row r="637" spans="13:13" x14ac:dyDescent="0.2">
      <c r="M637" s="23" t="str">
        <f>IFERROR((E637*VLOOKUP(D637,FILAMENTI_DB!$A:$J,8,FALSE))+((VLOOKUP(C637,STAMPANTI_DB!$A:$C,3,FALSE)/1000)*F637*SETTINGS!$C$6)+(F637*VLOOKUP(C637,STAMPANTI_DB!$A:$I,9,FALSE)),"")</f>
        <v/>
      </c>
    </row>
    <row r="638" spans="13:13" x14ac:dyDescent="0.2">
      <c r="M638" s="23" t="str">
        <f>IFERROR((E638*VLOOKUP(D638,FILAMENTI_DB!$A:$J,8,FALSE))+((VLOOKUP(C638,STAMPANTI_DB!$A:$C,3,FALSE)/1000)*F638*SETTINGS!$C$6)+(F638*VLOOKUP(C638,STAMPANTI_DB!$A:$I,9,FALSE)),"")</f>
        <v/>
      </c>
    </row>
    <row r="639" spans="13:13" x14ac:dyDescent="0.2">
      <c r="M639" s="23" t="str">
        <f>IFERROR((E639*VLOOKUP(D639,FILAMENTI_DB!$A:$J,8,FALSE))+((VLOOKUP(C639,STAMPANTI_DB!$A:$C,3,FALSE)/1000)*F639*SETTINGS!$C$6)+(F639*VLOOKUP(C639,STAMPANTI_DB!$A:$I,9,FALSE)),"")</f>
        <v/>
      </c>
    </row>
    <row r="640" spans="13:13" x14ac:dyDescent="0.2">
      <c r="M640" s="23" t="str">
        <f>IFERROR((E640*VLOOKUP(D640,FILAMENTI_DB!$A:$J,8,FALSE))+((VLOOKUP(C640,STAMPANTI_DB!$A:$C,3,FALSE)/1000)*F640*SETTINGS!$C$6)+(F640*VLOOKUP(C640,STAMPANTI_DB!$A:$I,9,FALSE)),"")</f>
        <v/>
      </c>
    </row>
    <row r="641" spans="13:13" x14ac:dyDescent="0.2">
      <c r="M641" s="23" t="str">
        <f>IFERROR((E641*VLOOKUP(D641,FILAMENTI_DB!$A:$J,8,FALSE))+((VLOOKUP(C641,STAMPANTI_DB!$A:$C,3,FALSE)/1000)*F641*SETTINGS!$C$6)+(F641*VLOOKUP(C641,STAMPANTI_DB!$A:$I,9,FALSE)),"")</f>
        <v/>
      </c>
    </row>
    <row r="642" spans="13:13" x14ac:dyDescent="0.2">
      <c r="M642" s="23" t="str">
        <f>IFERROR((E642*VLOOKUP(D642,FILAMENTI_DB!$A:$J,8,FALSE))+((VLOOKUP(C642,STAMPANTI_DB!$A:$C,3,FALSE)/1000)*F642*SETTINGS!$C$6)+(F642*VLOOKUP(C642,STAMPANTI_DB!$A:$I,9,FALSE)),"")</f>
        <v/>
      </c>
    </row>
    <row r="643" spans="13:13" x14ac:dyDescent="0.2">
      <c r="M643" s="23" t="str">
        <f>IFERROR((E643*VLOOKUP(D643,FILAMENTI_DB!$A:$J,8,FALSE))+((VLOOKUP(C643,STAMPANTI_DB!$A:$C,3,FALSE)/1000)*F643*SETTINGS!$C$6)+(F643*VLOOKUP(C643,STAMPANTI_DB!$A:$I,9,FALSE)),"")</f>
        <v/>
      </c>
    </row>
    <row r="644" spans="13:13" x14ac:dyDescent="0.2">
      <c r="M644" s="23" t="str">
        <f>IFERROR((E644*VLOOKUP(D644,FILAMENTI_DB!$A:$J,8,FALSE))+((VLOOKUP(C644,STAMPANTI_DB!$A:$C,3,FALSE)/1000)*F644*SETTINGS!$C$6)+(F644*VLOOKUP(C644,STAMPANTI_DB!$A:$I,9,FALSE)),"")</f>
        <v/>
      </c>
    </row>
    <row r="645" spans="13:13" x14ac:dyDescent="0.2">
      <c r="M645" s="23" t="str">
        <f>IFERROR((E645*VLOOKUP(D645,FILAMENTI_DB!$A:$J,8,FALSE))+((VLOOKUP(C645,STAMPANTI_DB!$A:$C,3,FALSE)/1000)*F645*SETTINGS!$C$6)+(F645*VLOOKUP(C645,STAMPANTI_DB!$A:$I,9,FALSE)),"")</f>
        <v/>
      </c>
    </row>
    <row r="646" spans="13:13" x14ac:dyDescent="0.2">
      <c r="M646" s="23" t="str">
        <f>IFERROR((E646*VLOOKUP(D646,FILAMENTI_DB!$A:$J,8,FALSE))+((VLOOKUP(C646,STAMPANTI_DB!$A:$C,3,FALSE)/1000)*F646*SETTINGS!$C$6)+(F646*VLOOKUP(C646,STAMPANTI_DB!$A:$I,9,FALSE)),"")</f>
        <v/>
      </c>
    </row>
    <row r="647" spans="13:13" x14ac:dyDescent="0.2">
      <c r="M647" s="23" t="str">
        <f>IFERROR((E647*VLOOKUP(D647,FILAMENTI_DB!$A:$J,8,FALSE))+((VLOOKUP(C647,STAMPANTI_DB!$A:$C,3,FALSE)/1000)*F647*SETTINGS!$C$6)+(F647*VLOOKUP(C647,STAMPANTI_DB!$A:$I,9,FALSE)),"")</f>
        <v/>
      </c>
    </row>
    <row r="648" spans="13:13" x14ac:dyDescent="0.2">
      <c r="M648" s="23" t="str">
        <f>IFERROR((E648*VLOOKUP(D648,FILAMENTI_DB!$A:$J,8,FALSE))+((VLOOKUP(C648,STAMPANTI_DB!$A:$C,3,FALSE)/1000)*F648*SETTINGS!$C$6)+(F648*VLOOKUP(C648,STAMPANTI_DB!$A:$I,9,FALSE)),"")</f>
        <v/>
      </c>
    </row>
    <row r="649" spans="13:13" x14ac:dyDescent="0.2">
      <c r="M649" s="23" t="str">
        <f>IFERROR((E649*VLOOKUP(D649,FILAMENTI_DB!$A:$J,8,FALSE))+((VLOOKUP(C649,STAMPANTI_DB!$A:$C,3,FALSE)/1000)*F649*SETTINGS!$C$6)+(F649*VLOOKUP(C649,STAMPANTI_DB!$A:$I,9,FALSE)),"")</f>
        <v/>
      </c>
    </row>
    <row r="650" spans="13:13" x14ac:dyDescent="0.2">
      <c r="M650" s="23" t="str">
        <f>IFERROR((E650*VLOOKUP(D650,FILAMENTI_DB!$A:$J,8,FALSE))+((VLOOKUP(C650,STAMPANTI_DB!$A:$C,3,FALSE)/1000)*F650*SETTINGS!$C$6)+(F650*VLOOKUP(C650,STAMPANTI_DB!$A:$I,9,FALSE)),"")</f>
        <v/>
      </c>
    </row>
    <row r="651" spans="13:13" x14ac:dyDescent="0.2">
      <c r="M651" s="23" t="str">
        <f>IFERROR((E651*VLOOKUP(D651,FILAMENTI_DB!$A:$J,8,FALSE))+((VLOOKUP(C651,STAMPANTI_DB!$A:$C,3,FALSE)/1000)*F651*SETTINGS!$C$6)+(F651*VLOOKUP(C651,STAMPANTI_DB!$A:$I,9,FALSE)),"")</f>
        <v/>
      </c>
    </row>
    <row r="652" spans="13:13" x14ac:dyDescent="0.2">
      <c r="M652" s="23" t="str">
        <f>IFERROR((E652*VLOOKUP(D652,FILAMENTI_DB!$A:$J,8,FALSE))+((VLOOKUP(C652,STAMPANTI_DB!$A:$C,3,FALSE)/1000)*F652*SETTINGS!$C$6)+(F652*VLOOKUP(C652,STAMPANTI_DB!$A:$I,9,FALSE)),"")</f>
        <v/>
      </c>
    </row>
    <row r="653" spans="13:13" x14ac:dyDescent="0.2">
      <c r="M653" s="23" t="str">
        <f>IFERROR((E653*VLOOKUP(D653,FILAMENTI_DB!$A:$J,8,FALSE))+((VLOOKUP(C653,STAMPANTI_DB!$A:$C,3,FALSE)/1000)*F653*SETTINGS!$C$6)+(F653*VLOOKUP(C653,STAMPANTI_DB!$A:$I,9,FALSE)),"")</f>
        <v/>
      </c>
    </row>
    <row r="654" spans="13:13" x14ac:dyDescent="0.2">
      <c r="M654" s="23" t="str">
        <f>IFERROR((E654*VLOOKUP(D654,FILAMENTI_DB!$A:$J,8,FALSE))+((VLOOKUP(C654,STAMPANTI_DB!$A:$C,3,FALSE)/1000)*F654*SETTINGS!$C$6)+(F654*VLOOKUP(C654,STAMPANTI_DB!$A:$I,9,FALSE)),"")</f>
        <v/>
      </c>
    </row>
    <row r="655" spans="13:13" x14ac:dyDescent="0.2">
      <c r="M655" s="23" t="str">
        <f>IFERROR((E655*VLOOKUP(D655,FILAMENTI_DB!$A:$J,8,FALSE))+((VLOOKUP(C655,STAMPANTI_DB!$A:$C,3,FALSE)/1000)*F655*SETTINGS!$C$6)+(F655*VLOOKUP(C655,STAMPANTI_DB!$A:$I,9,FALSE)),"")</f>
        <v/>
      </c>
    </row>
    <row r="656" spans="13:13" x14ac:dyDescent="0.2">
      <c r="M656" s="23" t="str">
        <f>IFERROR((E656*VLOOKUP(D656,FILAMENTI_DB!$A:$J,8,FALSE))+((VLOOKUP(C656,STAMPANTI_DB!$A:$C,3,FALSE)/1000)*F656*SETTINGS!$C$6)+(F656*VLOOKUP(C656,STAMPANTI_DB!$A:$I,9,FALSE)),"")</f>
        <v/>
      </c>
    </row>
    <row r="657" spans="13:13" x14ac:dyDescent="0.2">
      <c r="M657" s="23" t="str">
        <f>IFERROR((E657*VLOOKUP(D657,FILAMENTI_DB!$A:$J,8,FALSE))+((VLOOKUP(C657,STAMPANTI_DB!$A:$C,3,FALSE)/1000)*F657*SETTINGS!$C$6)+(F657*VLOOKUP(C657,STAMPANTI_DB!$A:$I,9,FALSE)),"")</f>
        <v/>
      </c>
    </row>
    <row r="658" spans="13:13" x14ac:dyDescent="0.2">
      <c r="M658" s="23" t="str">
        <f>IFERROR((E658*VLOOKUP(D658,FILAMENTI_DB!$A:$J,8,FALSE))+((VLOOKUP(C658,STAMPANTI_DB!$A:$C,3,FALSE)/1000)*F658*SETTINGS!$C$6)+(F658*VLOOKUP(C658,STAMPANTI_DB!$A:$I,9,FALSE)),"")</f>
        <v/>
      </c>
    </row>
    <row r="659" spans="13:13" x14ac:dyDescent="0.2">
      <c r="M659" s="23" t="str">
        <f>IFERROR((E659*VLOOKUP(D659,FILAMENTI_DB!$A:$J,8,FALSE))+((VLOOKUP(C659,STAMPANTI_DB!$A:$C,3,FALSE)/1000)*F659*SETTINGS!$C$6)+(F659*VLOOKUP(C659,STAMPANTI_DB!$A:$I,9,FALSE)),"")</f>
        <v/>
      </c>
    </row>
    <row r="660" spans="13:13" x14ac:dyDescent="0.2">
      <c r="M660" s="23" t="str">
        <f>IFERROR((E660*VLOOKUP(D660,FILAMENTI_DB!$A:$J,8,FALSE))+((VLOOKUP(C660,STAMPANTI_DB!$A:$C,3,FALSE)/1000)*F660*SETTINGS!$C$6)+(F660*VLOOKUP(C660,STAMPANTI_DB!$A:$I,9,FALSE)),"")</f>
        <v/>
      </c>
    </row>
    <row r="661" spans="13:13" x14ac:dyDescent="0.2">
      <c r="M661" s="23" t="str">
        <f>IFERROR((E661*VLOOKUP(D661,FILAMENTI_DB!$A:$J,8,FALSE))+((VLOOKUP(C661,STAMPANTI_DB!$A:$C,3,FALSE)/1000)*F661*SETTINGS!$C$6)+(F661*VLOOKUP(C661,STAMPANTI_DB!$A:$I,9,FALSE)),"")</f>
        <v/>
      </c>
    </row>
    <row r="662" spans="13:13" x14ac:dyDescent="0.2">
      <c r="M662" s="23" t="str">
        <f>IFERROR((E662*VLOOKUP(D662,FILAMENTI_DB!$A:$J,8,FALSE))+((VLOOKUP(C662,STAMPANTI_DB!$A:$C,3,FALSE)/1000)*F662*SETTINGS!$C$6)+(F662*VLOOKUP(C662,STAMPANTI_DB!$A:$I,9,FALSE)),"")</f>
        <v/>
      </c>
    </row>
    <row r="663" spans="13:13" x14ac:dyDescent="0.2">
      <c r="M663" s="23" t="str">
        <f>IFERROR((E663*VLOOKUP(D663,FILAMENTI_DB!$A:$J,8,FALSE))+((VLOOKUP(C663,STAMPANTI_DB!$A:$C,3,FALSE)/1000)*F663*SETTINGS!$C$6)+(F663*VLOOKUP(C663,STAMPANTI_DB!$A:$I,9,FALSE)),"")</f>
        <v/>
      </c>
    </row>
    <row r="664" spans="13:13" x14ac:dyDescent="0.2">
      <c r="M664" s="23" t="str">
        <f>IFERROR((E664*VLOOKUP(D664,FILAMENTI_DB!$A:$J,8,FALSE))+((VLOOKUP(C664,STAMPANTI_DB!$A:$C,3,FALSE)/1000)*F664*SETTINGS!$C$6)+(F664*VLOOKUP(C664,STAMPANTI_DB!$A:$I,9,FALSE)),"")</f>
        <v/>
      </c>
    </row>
    <row r="665" spans="13:13" x14ac:dyDescent="0.2">
      <c r="M665" s="23" t="str">
        <f>IFERROR((E665*VLOOKUP(D665,FILAMENTI_DB!$A:$J,8,FALSE))+((VLOOKUP(C665,STAMPANTI_DB!$A:$C,3,FALSE)/1000)*F665*SETTINGS!$C$6)+(F665*VLOOKUP(C665,STAMPANTI_DB!$A:$I,9,FALSE)),"")</f>
        <v/>
      </c>
    </row>
    <row r="666" spans="13:13" x14ac:dyDescent="0.2">
      <c r="M666" s="23" t="str">
        <f>IFERROR((E666*VLOOKUP(D666,FILAMENTI_DB!$A:$J,8,FALSE))+((VLOOKUP(C666,STAMPANTI_DB!$A:$C,3,FALSE)/1000)*F666*SETTINGS!$C$6)+(F666*VLOOKUP(C666,STAMPANTI_DB!$A:$I,9,FALSE)),"")</f>
        <v/>
      </c>
    </row>
    <row r="667" spans="13:13" x14ac:dyDescent="0.2">
      <c r="M667" s="23" t="str">
        <f>IFERROR((E667*VLOOKUP(D667,FILAMENTI_DB!$A:$J,8,FALSE))+((VLOOKUP(C667,STAMPANTI_DB!$A:$C,3,FALSE)/1000)*F667*SETTINGS!$C$6)+(F667*VLOOKUP(C667,STAMPANTI_DB!$A:$I,9,FALSE)),"")</f>
        <v/>
      </c>
    </row>
    <row r="668" spans="13:13" x14ac:dyDescent="0.2">
      <c r="M668" s="23" t="str">
        <f>IFERROR((E668*VLOOKUP(D668,FILAMENTI_DB!$A:$J,8,FALSE))+((VLOOKUP(C668,STAMPANTI_DB!$A:$C,3,FALSE)/1000)*F668*SETTINGS!$C$6)+(F668*VLOOKUP(C668,STAMPANTI_DB!$A:$I,9,FALSE)),"")</f>
        <v/>
      </c>
    </row>
    <row r="669" spans="13:13" x14ac:dyDescent="0.2">
      <c r="M669" s="23" t="str">
        <f>IFERROR((E669*VLOOKUP(D669,FILAMENTI_DB!$A:$J,8,FALSE))+((VLOOKUP(C669,STAMPANTI_DB!$A:$C,3,FALSE)/1000)*F669*SETTINGS!$C$6)+(F669*VLOOKUP(C669,STAMPANTI_DB!$A:$I,9,FALSE)),"")</f>
        <v/>
      </c>
    </row>
    <row r="670" spans="13:13" x14ac:dyDescent="0.2">
      <c r="M670" s="23" t="str">
        <f>IFERROR((E670*VLOOKUP(D670,FILAMENTI_DB!$A:$J,8,FALSE))+((VLOOKUP(C670,STAMPANTI_DB!$A:$C,3,FALSE)/1000)*F670*SETTINGS!$C$6)+(F670*VLOOKUP(C670,STAMPANTI_DB!$A:$I,9,FALSE)),"")</f>
        <v/>
      </c>
    </row>
    <row r="671" spans="13:13" x14ac:dyDescent="0.2">
      <c r="M671" s="23" t="str">
        <f>IFERROR((E671*VLOOKUP(D671,FILAMENTI_DB!$A:$J,8,FALSE))+((VLOOKUP(C671,STAMPANTI_DB!$A:$C,3,FALSE)/1000)*F671*SETTINGS!$C$6)+(F671*VLOOKUP(C671,STAMPANTI_DB!$A:$I,9,FALSE)),"")</f>
        <v/>
      </c>
    </row>
    <row r="672" spans="13:13" x14ac:dyDescent="0.2">
      <c r="M672" s="23" t="str">
        <f>IFERROR((E672*VLOOKUP(D672,FILAMENTI_DB!$A:$J,8,FALSE))+((VLOOKUP(C672,STAMPANTI_DB!$A:$C,3,FALSE)/1000)*F672*SETTINGS!$C$6)+(F672*VLOOKUP(C672,STAMPANTI_DB!$A:$I,9,FALSE)),"")</f>
        <v/>
      </c>
    </row>
    <row r="673" spans="13:13" x14ac:dyDescent="0.2">
      <c r="M673" s="23" t="str">
        <f>IFERROR((E673*VLOOKUP(D673,FILAMENTI_DB!$A:$J,8,FALSE))+((VLOOKUP(C673,STAMPANTI_DB!$A:$C,3,FALSE)/1000)*F673*SETTINGS!$C$6)+(F673*VLOOKUP(C673,STAMPANTI_DB!$A:$I,9,FALSE)),"")</f>
        <v/>
      </c>
    </row>
    <row r="674" spans="13:13" x14ac:dyDescent="0.2">
      <c r="M674" s="23" t="str">
        <f>IFERROR((E674*VLOOKUP(D674,FILAMENTI_DB!$A:$J,8,FALSE))+((VLOOKUP(C674,STAMPANTI_DB!$A:$C,3,FALSE)/1000)*F674*SETTINGS!$C$6)+(F674*VLOOKUP(C674,STAMPANTI_DB!$A:$I,9,FALSE)),"")</f>
        <v/>
      </c>
    </row>
    <row r="675" spans="13:13" x14ac:dyDescent="0.2">
      <c r="M675" s="23" t="str">
        <f>IFERROR((E675*VLOOKUP(D675,FILAMENTI_DB!$A:$J,8,FALSE))+((VLOOKUP(C675,STAMPANTI_DB!$A:$C,3,FALSE)/1000)*F675*SETTINGS!$C$6)+(F675*VLOOKUP(C675,STAMPANTI_DB!$A:$I,9,FALSE)),"")</f>
        <v/>
      </c>
    </row>
    <row r="676" spans="13:13" x14ac:dyDescent="0.2">
      <c r="M676" s="23" t="str">
        <f>IFERROR((E676*VLOOKUP(D676,FILAMENTI_DB!$A:$J,8,FALSE))+((VLOOKUP(C676,STAMPANTI_DB!$A:$C,3,FALSE)/1000)*F676*SETTINGS!$C$6)+(F676*VLOOKUP(C676,STAMPANTI_DB!$A:$I,9,FALSE)),"")</f>
        <v/>
      </c>
    </row>
    <row r="677" spans="13:13" x14ac:dyDescent="0.2">
      <c r="M677" s="23" t="str">
        <f>IFERROR((E677*VLOOKUP(D677,FILAMENTI_DB!$A:$J,8,FALSE))+((VLOOKUP(C677,STAMPANTI_DB!$A:$C,3,FALSE)/1000)*F677*SETTINGS!$C$6)+(F677*VLOOKUP(C677,STAMPANTI_DB!$A:$I,9,FALSE)),"")</f>
        <v/>
      </c>
    </row>
    <row r="678" spans="13:13" x14ac:dyDescent="0.2">
      <c r="M678" s="23" t="str">
        <f>IFERROR((E678*VLOOKUP(D678,FILAMENTI_DB!$A:$J,8,FALSE))+((VLOOKUP(C678,STAMPANTI_DB!$A:$C,3,FALSE)/1000)*F678*SETTINGS!$C$6)+(F678*VLOOKUP(C678,STAMPANTI_DB!$A:$I,9,FALSE)),"")</f>
        <v/>
      </c>
    </row>
    <row r="679" spans="13:13" x14ac:dyDescent="0.2">
      <c r="M679" s="23" t="str">
        <f>IFERROR((E679*VLOOKUP(D679,FILAMENTI_DB!$A:$J,8,FALSE))+((VLOOKUP(C679,STAMPANTI_DB!$A:$C,3,FALSE)/1000)*F679*SETTINGS!$C$6)+(F679*VLOOKUP(C679,STAMPANTI_DB!$A:$I,9,FALSE)),"")</f>
        <v/>
      </c>
    </row>
    <row r="680" spans="13:13" x14ac:dyDescent="0.2">
      <c r="M680" s="23" t="str">
        <f>IFERROR((E680*VLOOKUP(D680,FILAMENTI_DB!$A:$J,8,FALSE))+((VLOOKUP(C680,STAMPANTI_DB!$A:$C,3,FALSE)/1000)*F680*SETTINGS!$C$6)+(F680*VLOOKUP(C680,STAMPANTI_DB!$A:$I,9,FALSE)),"")</f>
        <v/>
      </c>
    </row>
    <row r="681" spans="13:13" x14ac:dyDescent="0.2">
      <c r="M681" s="23" t="str">
        <f>IFERROR((E681*VLOOKUP(D681,FILAMENTI_DB!$A:$J,8,FALSE))+((VLOOKUP(C681,STAMPANTI_DB!$A:$C,3,FALSE)/1000)*F681*SETTINGS!$C$6)+(F681*VLOOKUP(C681,STAMPANTI_DB!$A:$I,9,FALSE)),"")</f>
        <v/>
      </c>
    </row>
    <row r="682" spans="13:13" x14ac:dyDescent="0.2">
      <c r="M682" s="23" t="str">
        <f>IFERROR((E682*VLOOKUP(D682,FILAMENTI_DB!$A:$J,8,FALSE))+((VLOOKUP(C682,STAMPANTI_DB!$A:$C,3,FALSE)/1000)*F682*SETTINGS!$C$6)+(F682*VLOOKUP(C682,STAMPANTI_DB!$A:$I,9,FALSE)),"")</f>
        <v/>
      </c>
    </row>
    <row r="683" spans="13:13" x14ac:dyDescent="0.2">
      <c r="M683" s="23" t="str">
        <f>IFERROR((E683*VLOOKUP(D683,FILAMENTI_DB!$A:$J,8,FALSE))+((VLOOKUP(C683,STAMPANTI_DB!$A:$C,3,FALSE)/1000)*F683*SETTINGS!$C$6)+(F683*VLOOKUP(C683,STAMPANTI_DB!$A:$I,9,FALSE)),"")</f>
        <v/>
      </c>
    </row>
    <row r="684" spans="13:13" x14ac:dyDescent="0.2">
      <c r="M684" s="23" t="str">
        <f>IFERROR((E684*VLOOKUP(D684,FILAMENTI_DB!$A:$J,8,FALSE))+((VLOOKUP(C684,STAMPANTI_DB!$A:$C,3,FALSE)/1000)*F684*SETTINGS!$C$6)+(F684*VLOOKUP(C684,STAMPANTI_DB!$A:$I,9,FALSE)),"")</f>
        <v/>
      </c>
    </row>
    <row r="685" spans="13:13" x14ac:dyDescent="0.2">
      <c r="M685" s="23" t="str">
        <f>IFERROR((E685*VLOOKUP(D685,FILAMENTI_DB!$A:$J,8,FALSE))+((VLOOKUP(C685,STAMPANTI_DB!$A:$C,3,FALSE)/1000)*F685*SETTINGS!$C$6)+(F685*VLOOKUP(C685,STAMPANTI_DB!$A:$I,9,FALSE)),"")</f>
        <v/>
      </c>
    </row>
    <row r="686" spans="13:13" x14ac:dyDescent="0.2">
      <c r="M686" s="23" t="str">
        <f>IFERROR((E686*VLOOKUP(D686,FILAMENTI_DB!$A:$J,8,FALSE))+((VLOOKUP(C686,STAMPANTI_DB!$A:$C,3,FALSE)/1000)*F686*SETTINGS!$C$6)+(F686*VLOOKUP(C686,STAMPANTI_DB!$A:$I,9,FALSE)),"")</f>
        <v/>
      </c>
    </row>
    <row r="687" spans="13:13" x14ac:dyDescent="0.2">
      <c r="M687" s="23" t="str">
        <f>IFERROR((E687*VLOOKUP(D687,FILAMENTI_DB!$A:$J,8,FALSE))+((VLOOKUP(C687,STAMPANTI_DB!$A:$C,3,FALSE)/1000)*F687*SETTINGS!$C$6)+(F687*VLOOKUP(C687,STAMPANTI_DB!$A:$I,9,FALSE)),"")</f>
        <v/>
      </c>
    </row>
    <row r="688" spans="13:13" x14ac:dyDescent="0.2">
      <c r="M688" s="23" t="str">
        <f>IFERROR((E688*VLOOKUP(D688,FILAMENTI_DB!$A:$J,8,FALSE))+((VLOOKUP(C688,STAMPANTI_DB!$A:$C,3,FALSE)/1000)*F688*SETTINGS!$C$6)+(F688*VLOOKUP(C688,STAMPANTI_DB!$A:$I,9,FALSE)),"")</f>
        <v/>
      </c>
    </row>
    <row r="689" spans="13:13" x14ac:dyDescent="0.2">
      <c r="M689" s="23" t="str">
        <f>IFERROR((E689*VLOOKUP(D689,FILAMENTI_DB!$A:$J,8,FALSE))+((VLOOKUP(C689,STAMPANTI_DB!$A:$C,3,FALSE)/1000)*F689*SETTINGS!$C$6)+(F689*VLOOKUP(C689,STAMPANTI_DB!$A:$I,9,FALSE)),"")</f>
        <v/>
      </c>
    </row>
    <row r="690" spans="13:13" x14ac:dyDescent="0.2">
      <c r="M690" s="23" t="str">
        <f>IFERROR((E690*VLOOKUP(D690,FILAMENTI_DB!$A:$J,8,FALSE))+((VLOOKUP(C690,STAMPANTI_DB!$A:$C,3,FALSE)/1000)*F690*SETTINGS!$C$6)+(F690*VLOOKUP(C690,STAMPANTI_DB!$A:$I,9,FALSE)),"")</f>
        <v/>
      </c>
    </row>
    <row r="691" spans="13:13" x14ac:dyDescent="0.2">
      <c r="M691" s="23" t="str">
        <f>IFERROR((E691*VLOOKUP(D691,FILAMENTI_DB!$A:$J,8,FALSE))+((VLOOKUP(C691,STAMPANTI_DB!$A:$C,3,FALSE)/1000)*F691*SETTINGS!$C$6)+(F691*VLOOKUP(C691,STAMPANTI_DB!$A:$I,9,FALSE)),"")</f>
        <v/>
      </c>
    </row>
    <row r="692" spans="13:13" x14ac:dyDescent="0.2">
      <c r="M692" s="23" t="str">
        <f>IFERROR((E692*VLOOKUP(D692,FILAMENTI_DB!$A:$J,8,FALSE))+((VLOOKUP(C692,STAMPANTI_DB!$A:$C,3,FALSE)/1000)*F692*SETTINGS!$C$6)+(F692*VLOOKUP(C692,STAMPANTI_DB!$A:$I,9,FALSE)),"")</f>
        <v/>
      </c>
    </row>
    <row r="693" spans="13:13" x14ac:dyDescent="0.2">
      <c r="M693" s="23" t="str">
        <f>IFERROR((E693*VLOOKUP(D693,FILAMENTI_DB!$A:$J,8,FALSE))+((VLOOKUP(C693,STAMPANTI_DB!$A:$C,3,FALSE)/1000)*F693*SETTINGS!$C$6)+(F693*VLOOKUP(C693,STAMPANTI_DB!$A:$I,9,FALSE)),"")</f>
        <v/>
      </c>
    </row>
    <row r="694" spans="13:13" x14ac:dyDescent="0.2">
      <c r="M694" s="23" t="str">
        <f>IFERROR((E694*VLOOKUP(D694,FILAMENTI_DB!$A:$J,8,FALSE))+((VLOOKUP(C694,STAMPANTI_DB!$A:$C,3,FALSE)/1000)*F694*SETTINGS!$C$6)+(F694*VLOOKUP(C694,STAMPANTI_DB!$A:$I,9,FALSE)),"")</f>
        <v/>
      </c>
    </row>
    <row r="695" spans="13:13" x14ac:dyDescent="0.2">
      <c r="M695" s="23" t="str">
        <f>IFERROR((E695*VLOOKUP(D695,FILAMENTI_DB!$A:$J,8,FALSE))+((VLOOKUP(C695,STAMPANTI_DB!$A:$C,3,FALSE)/1000)*F695*SETTINGS!$C$6)+(F695*VLOOKUP(C695,STAMPANTI_DB!$A:$I,9,FALSE)),"")</f>
        <v/>
      </c>
    </row>
    <row r="696" spans="13:13" x14ac:dyDescent="0.2">
      <c r="M696" s="23" t="str">
        <f>IFERROR((E696*VLOOKUP(D696,FILAMENTI_DB!$A:$J,8,FALSE))+((VLOOKUP(C696,STAMPANTI_DB!$A:$C,3,FALSE)/1000)*F696*SETTINGS!$C$6)+(F696*VLOOKUP(C696,STAMPANTI_DB!$A:$I,9,FALSE)),"")</f>
        <v/>
      </c>
    </row>
    <row r="697" spans="13:13" x14ac:dyDescent="0.2">
      <c r="M697" s="23" t="str">
        <f>IFERROR((E697*VLOOKUP(D697,FILAMENTI_DB!$A:$J,8,FALSE))+((VLOOKUP(C697,STAMPANTI_DB!$A:$C,3,FALSE)/1000)*F697*SETTINGS!$C$6)+(F697*VLOOKUP(C697,STAMPANTI_DB!$A:$I,9,FALSE)),"")</f>
        <v/>
      </c>
    </row>
    <row r="698" spans="13:13" x14ac:dyDescent="0.2">
      <c r="M698" s="23" t="str">
        <f>IFERROR((E698*VLOOKUP(D698,FILAMENTI_DB!$A:$J,8,FALSE))+((VLOOKUP(C698,STAMPANTI_DB!$A:$C,3,FALSE)/1000)*F698*SETTINGS!$C$6)+(F698*VLOOKUP(C698,STAMPANTI_DB!$A:$I,9,FALSE)),"")</f>
        <v/>
      </c>
    </row>
    <row r="699" spans="13:13" x14ac:dyDescent="0.2">
      <c r="M699" s="23" t="str">
        <f>IFERROR((E699*VLOOKUP(D699,FILAMENTI_DB!$A:$J,8,FALSE))+((VLOOKUP(C699,STAMPANTI_DB!$A:$C,3,FALSE)/1000)*F699*SETTINGS!$C$6)+(F699*VLOOKUP(C699,STAMPANTI_DB!$A:$I,9,FALSE)),"")</f>
        <v/>
      </c>
    </row>
    <row r="700" spans="13:13" x14ac:dyDescent="0.2">
      <c r="M700" s="23" t="str">
        <f>IFERROR((E700*VLOOKUP(D700,FILAMENTI_DB!$A:$J,8,FALSE))+((VLOOKUP(C700,STAMPANTI_DB!$A:$C,3,FALSE)/1000)*F700*SETTINGS!$C$6)+(F700*VLOOKUP(C700,STAMPANTI_DB!$A:$I,9,FALSE)),"")</f>
        <v/>
      </c>
    </row>
    <row r="701" spans="13:13" x14ac:dyDescent="0.2">
      <c r="M701" s="23" t="str">
        <f>IFERROR((E701*VLOOKUP(D701,FILAMENTI_DB!$A:$J,8,FALSE))+((VLOOKUP(C701,STAMPANTI_DB!$A:$C,3,FALSE)/1000)*F701*SETTINGS!$C$6)+(F701*VLOOKUP(C701,STAMPANTI_DB!$A:$I,9,FALSE)),"")</f>
        <v/>
      </c>
    </row>
    <row r="702" spans="13:13" x14ac:dyDescent="0.2">
      <c r="M702" s="23" t="str">
        <f>IFERROR((E702*VLOOKUP(D702,FILAMENTI_DB!$A:$J,8,FALSE))+((VLOOKUP(C702,STAMPANTI_DB!$A:$C,3,FALSE)/1000)*F702*SETTINGS!$C$6)+(F702*VLOOKUP(C702,STAMPANTI_DB!$A:$I,9,FALSE)),"")</f>
        <v/>
      </c>
    </row>
    <row r="703" spans="13:13" x14ac:dyDescent="0.2">
      <c r="M703" s="23" t="str">
        <f>IFERROR((E703*VLOOKUP(D703,FILAMENTI_DB!$A:$J,8,FALSE))+((VLOOKUP(C703,STAMPANTI_DB!$A:$C,3,FALSE)/1000)*F703*SETTINGS!$C$6)+(F703*VLOOKUP(C703,STAMPANTI_DB!$A:$I,9,FALSE)),"")</f>
        <v/>
      </c>
    </row>
    <row r="704" spans="13:13" x14ac:dyDescent="0.2">
      <c r="M704" s="23" t="str">
        <f>IFERROR((E704*VLOOKUP(D704,FILAMENTI_DB!$A:$J,8,FALSE))+((VLOOKUP(C704,STAMPANTI_DB!$A:$C,3,FALSE)/1000)*F704*SETTINGS!$C$6)+(F704*VLOOKUP(C704,STAMPANTI_DB!$A:$I,9,FALSE)),"")</f>
        <v/>
      </c>
    </row>
    <row r="705" spans="13:13" x14ac:dyDescent="0.2">
      <c r="M705" s="23" t="str">
        <f>IFERROR((E705*VLOOKUP(D705,FILAMENTI_DB!$A:$J,8,FALSE))+((VLOOKUP(C705,STAMPANTI_DB!$A:$C,3,FALSE)/1000)*F705*SETTINGS!$C$6)+(F705*VLOOKUP(C705,STAMPANTI_DB!$A:$I,9,FALSE)),"")</f>
        <v/>
      </c>
    </row>
    <row r="706" spans="13:13" x14ac:dyDescent="0.2">
      <c r="M706" s="23" t="str">
        <f>IFERROR((E706*VLOOKUP(D706,FILAMENTI_DB!$A:$J,8,FALSE))+((VLOOKUP(C706,STAMPANTI_DB!$A:$C,3,FALSE)/1000)*F706*SETTINGS!$C$6)+(F706*VLOOKUP(C706,STAMPANTI_DB!$A:$I,9,FALSE)),"")</f>
        <v/>
      </c>
    </row>
    <row r="707" spans="13:13" x14ac:dyDescent="0.2">
      <c r="M707" s="23" t="str">
        <f>IFERROR((E707*VLOOKUP(D707,FILAMENTI_DB!$A:$J,8,FALSE))+((VLOOKUP(C707,STAMPANTI_DB!$A:$C,3,FALSE)/1000)*F707*SETTINGS!$C$6)+(F707*VLOOKUP(C707,STAMPANTI_DB!$A:$I,9,FALSE)),"")</f>
        <v/>
      </c>
    </row>
    <row r="708" spans="13:13" x14ac:dyDescent="0.2">
      <c r="M708" s="23" t="str">
        <f>IFERROR((E708*VLOOKUP(D708,FILAMENTI_DB!$A:$J,8,FALSE))+((VLOOKUP(C708,STAMPANTI_DB!$A:$C,3,FALSE)/1000)*F708*SETTINGS!$C$6)+(F708*VLOOKUP(C708,STAMPANTI_DB!$A:$I,9,FALSE)),"")</f>
        <v/>
      </c>
    </row>
    <row r="709" spans="13:13" x14ac:dyDescent="0.2">
      <c r="M709" s="23" t="str">
        <f>IFERROR((E709*VLOOKUP(D709,FILAMENTI_DB!$A:$J,8,FALSE))+((VLOOKUP(C709,STAMPANTI_DB!$A:$C,3,FALSE)/1000)*F709*SETTINGS!$C$6)+(F709*VLOOKUP(C709,STAMPANTI_DB!$A:$I,9,FALSE)),"")</f>
        <v/>
      </c>
    </row>
    <row r="710" spans="13:13" x14ac:dyDescent="0.2">
      <c r="M710" s="23" t="str">
        <f>IFERROR((E710*VLOOKUP(D710,FILAMENTI_DB!$A:$J,8,FALSE))+((VLOOKUP(C710,STAMPANTI_DB!$A:$C,3,FALSE)/1000)*F710*SETTINGS!$C$6)+(F710*VLOOKUP(C710,STAMPANTI_DB!$A:$I,9,FALSE)),"")</f>
        <v/>
      </c>
    </row>
    <row r="711" spans="13:13" x14ac:dyDescent="0.2">
      <c r="M711" s="23" t="str">
        <f>IFERROR((E711*VLOOKUP(D711,FILAMENTI_DB!$A:$J,8,FALSE))+((VLOOKUP(C711,STAMPANTI_DB!$A:$C,3,FALSE)/1000)*F711*SETTINGS!$C$6)+(F711*VLOOKUP(C711,STAMPANTI_DB!$A:$I,9,FALSE)),"")</f>
        <v/>
      </c>
    </row>
    <row r="712" spans="13:13" x14ac:dyDescent="0.2">
      <c r="M712" s="23" t="str">
        <f>IFERROR((E712*VLOOKUP(D712,FILAMENTI_DB!$A:$J,8,FALSE))+((VLOOKUP(C712,STAMPANTI_DB!$A:$C,3,FALSE)/1000)*F712*SETTINGS!$C$6)+(F712*VLOOKUP(C712,STAMPANTI_DB!$A:$I,9,FALSE)),"")</f>
        <v/>
      </c>
    </row>
    <row r="713" spans="13:13" x14ac:dyDescent="0.2">
      <c r="M713" s="23" t="str">
        <f>IFERROR((E713*VLOOKUP(D713,FILAMENTI_DB!$A:$J,8,FALSE))+((VLOOKUP(C713,STAMPANTI_DB!$A:$C,3,FALSE)/1000)*F713*SETTINGS!$C$6)+(F713*VLOOKUP(C713,STAMPANTI_DB!$A:$I,9,FALSE)),"")</f>
        <v/>
      </c>
    </row>
    <row r="714" spans="13:13" x14ac:dyDescent="0.2">
      <c r="M714" s="23" t="str">
        <f>IFERROR((E714*VLOOKUP(D714,FILAMENTI_DB!$A:$J,8,FALSE))+((VLOOKUP(C714,STAMPANTI_DB!$A:$C,3,FALSE)/1000)*F714*SETTINGS!$C$6)+(F714*VLOOKUP(C714,STAMPANTI_DB!$A:$I,9,FALSE)),"")</f>
        <v/>
      </c>
    </row>
    <row r="715" spans="13:13" x14ac:dyDescent="0.2">
      <c r="M715" s="23" t="str">
        <f>IFERROR((E715*VLOOKUP(D715,FILAMENTI_DB!$A:$J,8,FALSE))+((VLOOKUP(C715,STAMPANTI_DB!$A:$C,3,FALSE)/1000)*F715*SETTINGS!$C$6)+(F715*VLOOKUP(C715,STAMPANTI_DB!$A:$I,9,FALSE)),"")</f>
        <v/>
      </c>
    </row>
    <row r="716" spans="13:13" x14ac:dyDescent="0.2">
      <c r="M716" s="23" t="str">
        <f>IFERROR((E716*VLOOKUP(D716,FILAMENTI_DB!$A:$J,8,FALSE))+((VLOOKUP(C716,STAMPANTI_DB!$A:$C,3,FALSE)/1000)*F716*SETTINGS!$C$6)+(F716*VLOOKUP(C716,STAMPANTI_DB!$A:$I,9,FALSE)),"")</f>
        <v/>
      </c>
    </row>
    <row r="717" spans="13:13" x14ac:dyDescent="0.2">
      <c r="M717" s="23" t="str">
        <f>IFERROR((E717*VLOOKUP(D717,FILAMENTI_DB!$A:$J,8,FALSE))+((VLOOKUP(C717,STAMPANTI_DB!$A:$C,3,FALSE)/1000)*F717*SETTINGS!$C$6)+(F717*VLOOKUP(C717,STAMPANTI_DB!$A:$I,9,FALSE)),"")</f>
        <v/>
      </c>
    </row>
    <row r="718" spans="13:13" x14ac:dyDescent="0.2">
      <c r="M718" s="23" t="str">
        <f>IFERROR((E718*VLOOKUP(D718,FILAMENTI_DB!$A:$J,8,FALSE))+((VLOOKUP(C718,STAMPANTI_DB!$A:$C,3,FALSE)/1000)*F718*SETTINGS!$C$6)+(F718*VLOOKUP(C718,STAMPANTI_DB!$A:$I,9,FALSE)),"")</f>
        <v/>
      </c>
    </row>
    <row r="719" spans="13:13" x14ac:dyDescent="0.2">
      <c r="M719" s="23" t="str">
        <f>IFERROR((E719*VLOOKUP(D719,FILAMENTI_DB!$A:$J,8,FALSE))+((VLOOKUP(C719,STAMPANTI_DB!$A:$C,3,FALSE)/1000)*F719*SETTINGS!$C$6)+(F719*VLOOKUP(C719,STAMPANTI_DB!$A:$I,9,FALSE)),"")</f>
        <v/>
      </c>
    </row>
    <row r="720" spans="13:13" x14ac:dyDescent="0.2">
      <c r="M720" s="23" t="str">
        <f>IFERROR((E720*VLOOKUP(D720,FILAMENTI_DB!$A:$J,8,FALSE))+((VLOOKUP(C720,STAMPANTI_DB!$A:$C,3,FALSE)/1000)*F720*SETTINGS!$C$6)+(F720*VLOOKUP(C720,STAMPANTI_DB!$A:$I,9,FALSE)),"")</f>
        <v/>
      </c>
    </row>
    <row r="721" spans="13:13" x14ac:dyDescent="0.2">
      <c r="M721" s="23" t="str">
        <f>IFERROR((E721*VLOOKUP(D721,FILAMENTI_DB!$A:$J,8,FALSE))+((VLOOKUP(C721,STAMPANTI_DB!$A:$C,3,FALSE)/1000)*F721*SETTINGS!$C$6)+(F721*VLOOKUP(C721,STAMPANTI_DB!$A:$I,9,FALSE)),"")</f>
        <v/>
      </c>
    </row>
    <row r="722" spans="13:13" x14ac:dyDescent="0.2">
      <c r="M722" s="23" t="str">
        <f>IFERROR((E722*VLOOKUP(D722,FILAMENTI_DB!$A:$J,8,FALSE))+((VLOOKUP(C722,STAMPANTI_DB!$A:$C,3,FALSE)/1000)*F722*SETTINGS!$C$6)+(F722*VLOOKUP(C722,STAMPANTI_DB!$A:$I,9,FALSE)),"")</f>
        <v/>
      </c>
    </row>
    <row r="723" spans="13:13" x14ac:dyDescent="0.2">
      <c r="M723" s="23" t="str">
        <f>IFERROR((E723*VLOOKUP(D723,FILAMENTI_DB!$A:$J,8,FALSE))+((VLOOKUP(C723,STAMPANTI_DB!$A:$C,3,FALSE)/1000)*F723*SETTINGS!$C$6)+(F723*VLOOKUP(C723,STAMPANTI_DB!$A:$I,9,FALSE)),"")</f>
        <v/>
      </c>
    </row>
    <row r="724" spans="13:13" x14ac:dyDescent="0.2">
      <c r="M724" s="23" t="str">
        <f>IFERROR((E724*VLOOKUP(D724,FILAMENTI_DB!$A:$J,8,FALSE))+((VLOOKUP(C724,STAMPANTI_DB!$A:$C,3,FALSE)/1000)*F724*SETTINGS!$C$6)+(F724*VLOOKUP(C724,STAMPANTI_DB!$A:$I,9,FALSE)),"")</f>
        <v/>
      </c>
    </row>
    <row r="725" spans="13:13" x14ac:dyDescent="0.2">
      <c r="M725" s="23" t="str">
        <f>IFERROR((E725*VLOOKUP(D725,FILAMENTI_DB!$A:$J,8,FALSE))+((VLOOKUP(C725,STAMPANTI_DB!$A:$C,3,FALSE)/1000)*F725*SETTINGS!$C$6)+(F725*VLOOKUP(C725,STAMPANTI_DB!$A:$I,9,FALSE)),"")</f>
        <v/>
      </c>
    </row>
    <row r="726" spans="13:13" x14ac:dyDescent="0.2">
      <c r="M726" s="23" t="str">
        <f>IFERROR((E726*VLOOKUP(D726,FILAMENTI_DB!$A:$J,8,FALSE))+((VLOOKUP(C726,STAMPANTI_DB!$A:$C,3,FALSE)/1000)*F726*SETTINGS!$C$6)+(F726*VLOOKUP(C726,STAMPANTI_DB!$A:$I,9,FALSE)),"")</f>
        <v/>
      </c>
    </row>
    <row r="727" spans="13:13" x14ac:dyDescent="0.2">
      <c r="M727" s="23" t="str">
        <f>IFERROR((E727*VLOOKUP(D727,FILAMENTI_DB!$A:$J,8,FALSE))+((VLOOKUP(C727,STAMPANTI_DB!$A:$C,3,FALSE)/1000)*F727*SETTINGS!$C$6)+(F727*VLOOKUP(C727,STAMPANTI_DB!$A:$I,9,FALSE)),"")</f>
        <v/>
      </c>
    </row>
    <row r="728" spans="13:13" x14ac:dyDescent="0.2">
      <c r="M728" s="23" t="str">
        <f>IFERROR((E728*VLOOKUP(D728,FILAMENTI_DB!$A:$J,8,FALSE))+((VLOOKUP(C728,STAMPANTI_DB!$A:$C,3,FALSE)/1000)*F728*SETTINGS!$C$6)+(F728*VLOOKUP(C728,STAMPANTI_DB!$A:$I,9,FALSE)),"")</f>
        <v/>
      </c>
    </row>
    <row r="729" spans="13:13" x14ac:dyDescent="0.2">
      <c r="M729" s="23" t="str">
        <f>IFERROR((E729*VLOOKUP(D729,FILAMENTI_DB!$A:$J,8,FALSE))+((VLOOKUP(C729,STAMPANTI_DB!$A:$C,3,FALSE)/1000)*F729*SETTINGS!$C$6)+(F729*VLOOKUP(C729,STAMPANTI_DB!$A:$I,9,FALSE)),"")</f>
        <v/>
      </c>
    </row>
    <row r="730" spans="13:13" x14ac:dyDescent="0.2">
      <c r="M730" s="23" t="str">
        <f>IFERROR((E730*VLOOKUP(D730,FILAMENTI_DB!$A:$J,8,FALSE))+((VLOOKUP(C730,STAMPANTI_DB!$A:$C,3,FALSE)/1000)*F730*SETTINGS!$C$6)+(F730*VLOOKUP(C730,STAMPANTI_DB!$A:$I,9,FALSE)),"")</f>
        <v/>
      </c>
    </row>
    <row r="731" spans="13:13" x14ac:dyDescent="0.2">
      <c r="M731" s="23" t="str">
        <f>IFERROR((E731*VLOOKUP(D731,FILAMENTI_DB!$A:$J,8,FALSE))+((VLOOKUP(C731,STAMPANTI_DB!$A:$C,3,FALSE)/1000)*F731*SETTINGS!$C$6)+(F731*VLOOKUP(C731,STAMPANTI_DB!$A:$I,9,FALSE)),"")</f>
        <v/>
      </c>
    </row>
    <row r="732" spans="13:13" x14ac:dyDescent="0.2">
      <c r="M732" s="23" t="str">
        <f>IFERROR((E732*VLOOKUP(D732,FILAMENTI_DB!$A:$J,8,FALSE))+((VLOOKUP(C732,STAMPANTI_DB!$A:$C,3,FALSE)/1000)*F732*SETTINGS!$C$6)+(F732*VLOOKUP(C732,STAMPANTI_DB!$A:$I,9,FALSE)),"")</f>
        <v/>
      </c>
    </row>
    <row r="733" spans="13:13" x14ac:dyDescent="0.2">
      <c r="M733" s="23" t="str">
        <f>IFERROR((E733*VLOOKUP(D733,FILAMENTI_DB!$A:$J,8,FALSE))+((VLOOKUP(C733,STAMPANTI_DB!$A:$C,3,FALSE)/1000)*F733*SETTINGS!$C$6)+(F733*VLOOKUP(C733,STAMPANTI_DB!$A:$I,9,FALSE)),"")</f>
        <v/>
      </c>
    </row>
    <row r="734" spans="13:13" x14ac:dyDescent="0.2">
      <c r="M734" s="23" t="str">
        <f>IFERROR((E734*VLOOKUP(D734,FILAMENTI_DB!$A:$J,8,FALSE))+((VLOOKUP(C734,STAMPANTI_DB!$A:$C,3,FALSE)/1000)*F734*SETTINGS!$C$6)+(F734*VLOOKUP(C734,STAMPANTI_DB!$A:$I,9,FALSE)),"")</f>
        <v/>
      </c>
    </row>
    <row r="735" spans="13:13" x14ac:dyDescent="0.2">
      <c r="M735" s="23" t="str">
        <f>IFERROR((E735*VLOOKUP(D735,FILAMENTI_DB!$A:$J,8,FALSE))+((VLOOKUP(C735,STAMPANTI_DB!$A:$C,3,FALSE)/1000)*F735*SETTINGS!$C$6)+(F735*VLOOKUP(C735,STAMPANTI_DB!$A:$I,9,FALSE)),"")</f>
        <v/>
      </c>
    </row>
    <row r="736" spans="13:13" x14ac:dyDescent="0.2">
      <c r="M736" s="23" t="str">
        <f>IFERROR((E736*VLOOKUP(D736,FILAMENTI_DB!$A:$J,8,FALSE))+((VLOOKUP(C736,STAMPANTI_DB!$A:$C,3,FALSE)/1000)*F736*SETTINGS!$C$6)+(F736*VLOOKUP(C736,STAMPANTI_DB!$A:$I,9,FALSE)),"")</f>
        <v/>
      </c>
    </row>
    <row r="737" spans="13:13" x14ac:dyDescent="0.2">
      <c r="M737" s="23" t="str">
        <f>IFERROR((E737*VLOOKUP(D737,FILAMENTI_DB!$A:$J,8,FALSE))+((VLOOKUP(C737,STAMPANTI_DB!$A:$C,3,FALSE)/1000)*F737*SETTINGS!$C$6)+(F737*VLOOKUP(C737,STAMPANTI_DB!$A:$I,9,FALSE)),"")</f>
        <v/>
      </c>
    </row>
    <row r="738" spans="13:13" x14ac:dyDescent="0.2">
      <c r="M738" s="23" t="str">
        <f>IFERROR((E738*VLOOKUP(D738,FILAMENTI_DB!$A:$J,8,FALSE))+((VLOOKUP(C738,STAMPANTI_DB!$A:$C,3,FALSE)/1000)*F738*SETTINGS!$C$6)+(F738*VLOOKUP(C738,STAMPANTI_DB!$A:$I,9,FALSE)),"")</f>
        <v/>
      </c>
    </row>
    <row r="739" spans="13:13" x14ac:dyDescent="0.2">
      <c r="M739" s="23" t="str">
        <f>IFERROR((E739*VLOOKUP(D739,FILAMENTI_DB!$A:$J,8,FALSE))+((VLOOKUP(C739,STAMPANTI_DB!$A:$C,3,FALSE)/1000)*F739*SETTINGS!$C$6)+(F739*VLOOKUP(C739,STAMPANTI_DB!$A:$I,9,FALSE)),"")</f>
        <v/>
      </c>
    </row>
    <row r="740" spans="13:13" x14ac:dyDescent="0.2">
      <c r="M740" s="23" t="str">
        <f>IFERROR((E740*VLOOKUP(D740,FILAMENTI_DB!$A:$J,8,FALSE))+((VLOOKUP(C740,STAMPANTI_DB!$A:$C,3,FALSE)/1000)*F740*SETTINGS!$C$6)+(F740*VLOOKUP(C740,STAMPANTI_DB!$A:$I,9,FALSE)),"")</f>
        <v/>
      </c>
    </row>
    <row r="741" spans="13:13" x14ac:dyDescent="0.2">
      <c r="M741" s="23" t="str">
        <f>IFERROR((E741*VLOOKUP(D741,FILAMENTI_DB!$A:$J,8,FALSE))+((VLOOKUP(C741,STAMPANTI_DB!$A:$C,3,FALSE)/1000)*F741*SETTINGS!$C$6)+(F741*VLOOKUP(C741,STAMPANTI_DB!$A:$I,9,FALSE)),"")</f>
        <v/>
      </c>
    </row>
    <row r="742" spans="13:13" x14ac:dyDescent="0.2">
      <c r="M742" s="23" t="str">
        <f>IFERROR((E742*VLOOKUP(D742,FILAMENTI_DB!$A:$J,8,FALSE))+((VLOOKUP(C742,STAMPANTI_DB!$A:$C,3,FALSE)/1000)*F742*SETTINGS!$C$6)+(F742*VLOOKUP(C742,STAMPANTI_DB!$A:$I,9,FALSE)),"")</f>
        <v/>
      </c>
    </row>
    <row r="743" spans="13:13" x14ac:dyDescent="0.2">
      <c r="M743" s="23" t="str">
        <f>IFERROR((E743*VLOOKUP(D743,FILAMENTI_DB!$A:$J,8,FALSE))+((VLOOKUP(C743,STAMPANTI_DB!$A:$C,3,FALSE)/1000)*F743*SETTINGS!$C$6)+(F743*VLOOKUP(C743,STAMPANTI_DB!$A:$I,9,FALSE)),"")</f>
        <v/>
      </c>
    </row>
    <row r="744" spans="13:13" x14ac:dyDescent="0.2">
      <c r="M744" s="23" t="str">
        <f>IFERROR((E744*VLOOKUP(D744,FILAMENTI_DB!$A:$J,8,FALSE))+((VLOOKUP(C744,STAMPANTI_DB!$A:$C,3,FALSE)/1000)*F744*SETTINGS!$C$6)+(F744*VLOOKUP(C744,STAMPANTI_DB!$A:$I,9,FALSE)),"")</f>
        <v/>
      </c>
    </row>
    <row r="745" spans="13:13" x14ac:dyDescent="0.2">
      <c r="M745" s="23" t="str">
        <f>IFERROR((E745*VLOOKUP(D745,FILAMENTI_DB!$A:$J,8,FALSE))+((VLOOKUP(C745,STAMPANTI_DB!$A:$C,3,FALSE)/1000)*F745*SETTINGS!$C$6)+(F745*VLOOKUP(C745,STAMPANTI_DB!$A:$I,9,FALSE)),"")</f>
        <v/>
      </c>
    </row>
    <row r="746" spans="13:13" x14ac:dyDescent="0.2">
      <c r="M746" s="23" t="str">
        <f>IFERROR((E746*VLOOKUP(D746,FILAMENTI_DB!$A:$J,8,FALSE))+((VLOOKUP(C746,STAMPANTI_DB!$A:$C,3,FALSE)/1000)*F746*SETTINGS!$C$6)+(F746*VLOOKUP(C746,STAMPANTI_DB!$A:$I,9,FALSE)),"")</f>
        <v/>
      </c>
    </row>
    <row r="747" spans="13:13" x14ac:dyDescent="0.2">
      <c r="M747" s="23" t="str">
        <f>IFERROR((E747*VLOOKUP(D747,FILAMENTI_DB!$A:$J,8,FALSE))+((VLOOKUP(C747,STAMPANTI_DB!$A:$C,3,FALSE)/1000)*F747*SETTINGS!$C$6)+(F747*VLOOKUP(C747,STAMPANTI_DB!$A:$I,9,FALSE)),"")</f>
        <v/>
      </c>
    </row>
    <row r="748" spans="13:13" x14ac:dyDescent="0.2">
      <c r="M748" s="23" t="str">
        <f>IFERROR((E748*VLOOKUP(D748,FILAMENTI_DB!$A:$J,8,FALSE))+((VLOOKUP(C748,STAMPANTI_DB!$A:$C,3,FALSE)/1000)*F748*SETTINGS!$C$6)+(F748*VLOOKUP(C748,STAMPANTI_DB!$A:$I,9,FALSE)),"")</f>
        <v/>
      </c>
    </row>
    <row r="749" spans="13:13" x14ac:dyDescent="0.2">
      <c r="M749" s="23" t="str">
        <f>IFERROR((E749*VLOOKUP(D749,FILAMENTI_DB!$A:$J,8,FALSE))+((VLOOKUP(C749,STAMPANTI_DB!$A:$C,3,FALSE)/1000)*F749*SETTINGS!$C$6)+(F749*VLOOKUP(C749,STAMPANTI_DB!$A:$I,9,FALSE)),"")</f>
        <v/>
      </c>
    </row>
    <row r="750" spans="13:13" x14ac:dyDescent="0.2">
      <c r="M750" s="23" t="str">
        <f>IFERROR((E750*VLOOKUP(D750,FILAMENTI_DB!$A:$J,8,FALSE))+((VLOOKUP(C750,STAMPANTI_DB!$A:$C,3,FALSE)/1000)*F750*SETTINGS!$C$6)+(F750*VLOOKUP(C750,STAMPANTI_DB!$A:$I,9,FALSE)),"")</f>
        <v/>
      </c>
    </row>
    <row r="751" spans="13:13" x14ac:dyDescent="0.2">
      <c r="M751" s="23" t="str">
        <f>IFERROR((E751*VLOOKUP(D751,FILAMENTI_DB!$A:$J,8,FALSE))+((VLOOKUP(C751,STAMPANTI_DB!$A:$C,3,FALSE)/1000)*F751*SETTINGS!$C$6)+(F751*VLOOKUP(C751,STAMPANTI_DB!$A:$I,9,FALSE)),"")</f>
        <v/>
      </c>
    </row>
    <row r="752" spans="13:13" x14ac:dyDescent="0.2">
      <c r="M752" s="23" t="str">
        <f>IFERROR((E752*VLOOKUP(D752,FILAMENTI_DB!$A:$J,8,FALSE))+((VLOOKUP(C752,STAMPANTI_DB!$A:$C,3,FALSE)/1000)*F752*SETTINGS!$C$6)+(F752*VLOOKUP(C752,STAMPANTI_DB!$A:$I,9,FALSE)),"")</f>
        <v/>
      </c>
    </row>
    <row r="753" spans="13:13" x14ac:dyDescent="0.2">
      <c r="M753" s="23" t="str">
        <f>IFERROR((E753*VLOOKUP(D753,FILAMENTI_DB!$A:$J,8,FALSE))+((VLOOKUP(C753,STAMPANTI_DB!$A:$C,3,FALSE)/1000)*F753*SETTINGS!$C$6)+(F753*VLOOKUP(C753,STAMPANTI_DB!$A:$I,9,FALSE)),"")</f>
        <v/>
      </c>
    </row>
    <row r="754" spans="13:13" x14ac:dyDescent="0.2">
      <c r="M754" s="23" t="str">
        <f>IFERROR((E754*VLOOKUP(D754,FILAMENTI_DB!$A:$J,8,FALSE))+((VLOOKUP(C754,STAMPANTI_DB!$A:$C,3,FALSE)/1000)*F754*SETTINGS!$C$6)+(F754*VLOOKUP(C754,STAMPANTI_DB!$A:$I,9,FALSE)),"")</f>
        <v/>
      </c>
    </row>
    <row r="755" spans="13:13" x14ac:dyDescent="0.2">
      <c r="M755" s="23" t="str">
        <f>IFERROR((E755*VLOOKUP(D755,FILAMENTI_DB!$A:$J,8,FALSE))+((VLOOKUP(C755,STAMPANTI_DB!$A:$C,3,FALSE)/1000)*F755*SETTINGS!$C$6)+(F755*VLOOKUP(C755,STAMPANTI_DB!$A:$I,9,FALSE)),"")</f>
        <v/>
      </c>
    </row>
    <row r="756" spans="13:13" x14ac:dyDescent="0.2">
      <c r="M756" s="23" t="str">
        <f>IFERROR((E756*VLOOKUP(D756,FILAMENTI_DB!$A:$J,8,FALSE))+((VLOOKUP(C756,STAMPANTI_DB!$A:$C,3,FALSE)/1000)*F756*SETTINGS!$C$6)+(F756*VLOOKUP(C756,STAMPANTI_DB!$A:$I,9,FALSE)),"")</f>
        <v/>
      </c>
    </row>
    <row r="757" spans="13:13" x14ac:dyDescent="0.2">
      <c r="M757" s="23" t="str">
        <f>IFERROR((E757*VLOOKUP(D757,FILAMENTI_DB!$A:$J,8,FALSE))+((VLOOKUP(C757,STAMPANTI_DB!$A:$C,3,FALSE)/1000)*F757*SETTINGS!$C$6)+(F757*VLOOKUP(C757,STAMPANTI_DB!$A:$I,9,FALSE)),"")</f>
        <v/>
      </c>
    </row>
    <row r="758" spans="13:13" x14ac:dyDescent="0.2">
      <c r="M758" s="23" t="str">
        <f>IFERROR((E758*VLOOKUP(D758,FILAMENTI_DB!$A:$J,8,FALSE))+((VLOOKUP(C758,STAMPANTI_DB!$A:$C,3,FALSE)/1000)*F758*SETTINGS!$C$6)+(F758*VLOOKUP(C758,STAMPANTI_DB!$A:$I,9,FALSE)),"")</f>
        <v/>
      </c>
    </row>
    <row r="759" spans="13:13" x14ac:dyDescent="0.2">
      <c r="M759" s="23" t="str">
        <f>IFERROR((E759*VLOOKUP(D759,FILAMENTI_DB!$A:$J,8,FALSE))+((VLOOKUP(C759,STAMPANTI_DB!$A:$C,3,FALSE)/1000)*F759*SETTINGS!$C$6)+(F759*VLOOKUP(C759,STAMPANTI_DB!$A:$I,9,FALSE)),"")</f>
        <v/>
      </c>
    </row>
    <row r="760" spans="13:13" x14ac:dyDescent="0.2">
      <c r="M760" s="23" t="str">
        <f>IFERROR((E760*VLOOKUP(D760,FILAMENTI_DB!$A:$J,8,FALSE))+((VLOOKUP(C760,STAMPANTI_DB!$A:$C,3,FALSE)/1000)*F760*SETTINGS!$C$6)+(F760*VLOOKUP(C760,STAMPANTI_DB!$A:$I,9,FALSE)),"")</f>
        <v/>
      </c>
    </row>
    <row r="761" spans="13:13" x14ac:dyDescent="0.2">
      <c r="M761" s="23" t="str">
        <f>IFERROR((E761*VLOOKUP(D761,FILAMENTI_DB!$A:$J,8,FALSE))+((VLOOKUP(C761,STAMPANTI_DB!$A:$C,3,FALSE)/1000)*F761*SETTINGS!$C$6)+(F761*VLOOKUP(C761,STAMPANTI_DB!$A:$I,9,FALSE)),"")</f>
        <v/>
      </c>
    </row>
    <row r="762" spans="13:13" x14ac:dyDescent="0.2">
      <c r="M762" s="23" t="str">
        <f>IFERROR((E762*VLOOKUP(D762,FILAMENTI_DB!$A:$J,8,FALSE))+((VLOOKUP(C762,STAMPANTI_DB!$A:$C,3,FALSE)/1000)*F762*SETTINGS!$C$6)+(F762*VLOOKUP(C762,STAMPANTI_DB!$A:$I,9,FALSE)),"")</f>
        <v/>
      </c>
    </row>
    <row r="763" spans="13:13" x14ac:dyDescent="0.2">
      <c r="M763" s="23" t="str">
        <f>IFERROR((E763*VLOOKUP(D763,FILAMENTI_DB!$A:$J,8,FALSE))+((VLOOKUP(C763,STAMPANTI_DB!$A:$C,3,FALSE)/1000)*F763*SETTINGS!$C$6)+(F763*VLOOKUP(C763,STAMPANTI_DB!$A:$I,9,FALSE)),"")</f>
        <v/>
      </c>
    </row>
    <row r="764" spans="13:13" x14ac:dyDescent="0.2">
      <c r="M764" s="23" t="str">
        <f>IFERROR((E764*VLOOKUP(D764,FILAMENTI_DB!$A:$J,8,FALSE))+((VLOOKUP(C764,STAMPANTI_DB!$A:$C,3,FALSE)/1000)*F764*SETTINGS!$C$6)+(F764*VLOOKUP(C764,STAMPANTI_DB!$A:$I,9,FALSE)),"")</f>
        <v/>
      </c>
    </row>
    <row r="765" spans="13:13" x14ac:dyDescent="0.2">
      <c r="M765" s="23" t="str">
        <f>IFERROR((E765*VLOOKUP(D765,FILAMENTI_DB!$A:$J,8,FALSE))+((VLOOKUP(C765,STAMPANTI_DB!$A:$C,3,FALSE)/1000)*F765*SETTINGS!$C$6)+(F765*VLOOKUP(C765,STAMPANTI_DB!$A:$I,9,FALSE)),"")</f>
        <v/>
      </c>
    </row>
    <row r="766" spans="13:13" x14ac:dyDescent="0.2">
      <c r="M766" s="23" t="str">
        <f>IFERROR((E766*VLOOKUP(D766,FILAMENTI_DB!$A:$J,8,FALSE))+((VLOOKUP(C766,STAMPANTI_DB!$A:$C,3,FALSE)/1000)*F766*SETTINGS!$C$6)+(F766*VLOOKUP(C766,STAMPANTI_DB!$A:$I,9,FALSE)),"")</f>
        <v/>
      </c>
    </row>
    <row r="767" spans="13:13" x14ac:dyDescent="0.2">
      <c r="M767" s="23" t="str">
        <f>IFERROR((E767*VLOOKUP(D767,FILAMENTI_DB!$A:$J,8,FALSE))+((VLOOKUP(C767,STAMPANTI_DB!$A:$C,3,FALSE)/1000)*F767*SETTINGS!$C$6)+(F767*VLOOKUP(C767,STAMPANTI_DB!$A:$I,9,FALSE)),"")</f>
        <v/>
      </c>
    </row>
    <row r="768" spans="13:13" x14ac:dyDescent="0.2">
      <c r="M768" s="23" t="str">
        <f>IFERROR((E768*VLOOKUP(D768,FILAMENTI_DB!$A:$J,8,FALSE))+((VLOOKUP(C768,STAMPANTI_DB!$A:$C,3,FALSE)/1000)*F768*SETTINGS!$C$6)+(F768*VLOOKUP(C768,STAMPANTI_DB!$A:$I,9,FALSE)),"")</f>
        <v/>
      </c>
    </row>
    <row r="769" spans="13:13" x14ac:dyDescent="0.2">
      <c r="M769" s="23" t="str">
        <f>IFERROR((E769*VLOOKUP(D769,FILAMENTI_DB!$A:$J,8,FALSE))+((VLOOKUP(C769,STAMPANTI_DB!$A:$C,3,FALSE)/1000)*F769*SETTINGS!$C$6)+(F769*VLOOKUP(C769,STAMPANTI_DB!$A:$I,9,FALSE)),"")</f>
        <v/>
      </c>
    </row>
    <row r="770" spans="13:13" x14ac:dyDescent="0.2">
      <c r="M770" s="23" t="str">
        <f>IFERROR((E770*VLOOKUP(D770,FILAMENTI_DB!$A:$J,8,FALSE))+((VLOOKUP(C770,STAMPANTI_DB!$A:$C,3,FALSE)/1000)*F770*SETTINGS!$C$6)+(F770*VLOOKUP(C770,STAMPANTI_DB!$A:$I,9,FALSE)),"")</f>
        <v/>
      </c>
    </row>
    <row r="771" spans="13:13" x14ac:dyDescent="0.2">
      <c r="M771" s="23" t="str">
        <f>IFERROR((E771*VLOOKUP(D771,FILAMENTI_DB!$A:$J,8,FALSE))+((VLOOKUP(C771,STAMPANTI_DB!$A:$C,3,FALSE)/1000)*F771*SETTINGS!$C$6)+(F771*VLOOKUP(C771,STAMPANTI_DB!$A:$I,9,FALSE)),"")</f>
        <v/>
      </c>
    </row>
    <row r="772" spans="13:13" x14ac:dyDescent="0.2">
      <c r="M772" s="23" t="str">
        <f>IFERROR((E772*VLOOKUP(D772,FILAMENTI_DB!$A:$J,8,FALSE))+((VLOOKUP(C772,STAMPANTI_DB!$A:$C,3,FALSE)/1000)*F772*SETTINGS!$C$6)+(F772*VLOOKUP(C772,STAMPANTI_DB!$A:$I,9,FALSE)),"")</f>
        <v/>
      </c>
    </row>
    <row r="773" spans="13:13" x14ac:dyDescent="0.2">
      <c r="M773" s="23" t="str">
        <f>IFERROR((E773*VLOOKUP(D773,FILAMENTI_DB!$A:$J,8,FALSE))+((VLOOKUP(C773,STAMPANTI_DB!$A:$C,3,FALSE)/1000)*F773*SETTINGS!$C$6)+(F773*VLOOKUP(C773,STAMPANTI_DB!$A:$I,9,FALSE)),"")</f>
        <v/>
      </c>
    </row>
    <row r="774" spans="13:13" x14ac:dyDescent="0.2">
      <c r="M774" s="23" t="str">
        <f>IFERROR((E774*VLOOKUP(D774,FILAMENTI_DB!$A:$J,8,FALSE))+((VLOOKUP(C774,STAMPANTI_DB!$A:$C,3,FALSE)/1000)*F774*SETTINGS!$C$6)+(F774*VLOOKUP(C774,STAMPANTI_DB!$A:$I,9,FALSE)),"")</f>
        <v/>
      </c>
    </row>
    <row r="775" spans="13:13" x14ac:dyDescent="0.2">
      <c r="M775" s="23" t="str">
        <f>IFERROR((E775*VLOOKUP(D775,FILAMENTI_DB!$A:$J,8,FALSE))+((VLOOKUP(C775,STAMPANTI_DB!$A:$C,3,FALSE)/1000)*F775*SETTINGS!$C$6)+(F775*VLOOKUP(C775,STAMPANTI_DB!$A:$I,9,FALSE)),"")</f>
        <v/>
      </c>
    </row>
    <row r="776" spans="13:13" x14ac:dyDescent="0.2">
      <c r="M776" s="23" t="str">
        <f>IFERROR((E776*VLOOKUP(D776,FILAMENTI_DB!$A:$J,8,FALSE))+((VLOOKUP(C776,STAMPANTI_DB!$A:$C,3,FALSE)/1000)*F776*SETTINGS!$C$6)+(F776*VLOOKUP(C776,STAMPANTI_DB!$A:$I,9,FALSE)),"")</f>
        <v/>
      </c>
    </row>
    <row r="777" spans="13:13" x14ac:dyDescent="0.2">
      <c r="M777" s="23" t="str">
        <f>IFERROR((E777*VLOOKUP(D777,FILAMENTI_DB!$A:$J,8,FALSE))+((VLOOKUP(C777,STAMPANTI_DB!$A:$C,3,FALSE)/1000)*F777*SETTINGS!$C$6)+(F777*VLOOKUP(C777,STAMPANTI_DB!$A:$I,9,FALSE)),"")</f>
        <v/>
      </c>
    </row>
    <row r="778" spans="13:13" x14ac:dyDescent="0.2">
      <c r="M778" s="23" t="str">
        <f>IFERROR((E778*VLOOKUP(D778,FILAMENTI_DB!$A:$J,8,FALSE))+((VLOOKUP(C778,STAMPANTI_DB!$A:$C,3,FALSE)/1000)*F778*SETTINGS!$C$6)+(F778*VLOOKUP(C778,STAMPANTI_DB!$A:$I,9,FALSE)),"")</f>
        <v/>
      </c>
    </row>
    <row r="779" spans="13:13" x14ac:dyDescent="0.2">
      <c r="M779" s="23" t="str">
        <f>IFERROR((E779*VLOOKUP(D779,FILAMENTI_DB!$A:$J,8,FALSE))+((VLOOKUP(C779,STAMPANTI_DB!$A:$C,3,FALSE)/1000)*F779*SETTINGS!$C$6)+(F779*VLOOKUP(C779,STAMPANTI_DB!$A:$I,9,FALSE)),"")</f>
        <v/>
      </c>
    </row>
    <row r="780" spans="13:13" x14ac:dyDescent="0.2">
      <c r="M780" s="23" t="str">
        <f>IFERROR((E780*VLOOKUP(D780,FILAMENTI_DB!$A:$J,8,FALSE))+((VLOOKUP(C780,STAMPANTI_DB!$A:$C,3,FALSE)/1000)*F780*SETTINGS!$C$6)+(F780*VLOOKUP(C780,STAMPANTI_DB!$A:$I,9,FALSE)),"")</f>
        <v/>
      </c>
    </row>
    <row r="781" spans="13:13" x14ac:dyDescent="0.2">
      <c r="M781" s="23" t="str">
        <f>IFERROR((E781*VLOOKUP(D781,FILAMENTI_DB!$A:$J,8,FALSE))+((VLOOKUP(C781,STAMPANTI_DB!$A:$C,3,FALSE)/1000)*F781*SETTINGS!$C$6)+(F781*VLOOKUP(C781,STAMPANTI_DB!$A:$I,9,FALSE)),"")</f>
        <v/>
      </c>
    </row>
    <row r="782" spans="13:13" x14ac:dyDescent="0.2">
      <c r="M782" s="23" t="str">
        <f>IFERROR((E782*VLOOKUP(D782,FILAMENTI_DB!$A:$J,8,FALSE))+((VLOOKUP(C782,STAMPANTI_DB!$A:$C,3,FALSE)/1000)*F782*SETTINGS!$C$6)+(F782*VLOOKUP(C782,STAMPANTI_DB!$A:$I,9,FALSE)),"")</f>
        <v/>
      </c>
    </row>
    <row r="783" spans="13:13" x14ac:dyDescent="0.2">
      <c r="M783" s="23" t="str">
        <f>IFERROR((E783*VLOOKUP(D783,FILAMENTI_DB!$A:$J,8,FALSE))+((VLOOKUP(C783,STAMPANTI_DB!$A:$C,3,FALSE)/1000)*F783*SETTINGS!$C$6)+(F783*VLOOKUP(C783,STAMPANTI_DB!$A:$I,9,FALSE)),"")</f>
        <v/>
      </c>
    </row>
    <row r="784" spans="13:13" x14ac:dyDescent="0.2">
      <c r="M784" s="23" t="str">
        <f>IFERROR((E784*VLOOKUP(D784,FILAMENTI_DB!$A:$J,8,FALSE))+((VLOOKUP(C784,STAMPANTI_DB!$A:$C,3,FALSE)/1000)*F784*SETTINGS!$C$6)+(F784*VLOOKUP(C784,STAMPANTI_DB!$A:$I,9,FALSE)),"")</f>
        <v/>
      </c>
    </row>
    <row r="785" spans="13:13" x14ac:dyDescent="0.2">
      <c r="M785" s="23" t="str">
        <f>IFERROR((E785*VLOOKUP(D785,FILAMENTI_DB!$A:$J,8,FALSE))+((VLOOKUP(C785,STAMPANTI_DB!$A:$C,3,FALSE)/1000)*F785*SETTINGS!$C$6)+(F785*VLOOKUP(C785,STAMPANTI_DB!$A:$I,9,FALSE)),"")</f>
        <v/>
      </c>
    </row>
    <row r="786" spans="13:13" x14ac:dyDescent="0.2">
      <c r="M786" s="23" t="str">
        <f>IFERROR((E786*VLOOKUP(D786,FILAMENTI_DB!$A:$J,8,FALSE))+((VLOOKUP(C786,STAMPANTI_DB!$A:$C,3,FALSE)/1000)*F786*SETTINGS!$C$6)+(F786*VLOOKUP(C786,STAMPANTI_DB!$A:$I,9,FALSE)),"")</f>
        <v/>
      </c>
    </row>
    <row r="787" spans="13:13" x14ac:dyDescent="0.2">
      <c r="M787" s="23" t="str">
        <f>IFERROR((E787*VLOOKUP(D787,FILAMENTI_DB!$A:$J,8,FALSE))+((VLOOKUP(C787,STAMPANTI_DB!$A:$C,3,FALSE)/1000)*F787*SETTINGS!$C$6)+(F787*VLOOKUP(C787,STAMPANTI_DB!$A:$I,9,FALSE)),"")</f>
        <v/>
      </c>
    </row>
    <row r="788" spans="13:13" x14ac:dyDescent="0.2">
      <c r="M788" s="23" t="str">
        <f>IFERROR((E788*VLOOKUP(D788,FILAMENTI_DB!$A:$J,8,FALSE))+((VLOOKUP(C788,STAMPANTI_DB!$A:$C,3,FALSE)/1000)*F788*SETTINGS!$C$6)+(F788*VLOOKUP(C788,STAMPANTI_DB!$A:$I,9,FALSE)),"")</f>
        <v/>
      </c>
    </row>
    <row r="789" spans="13:13" x14ac:dyDescent="0.2">
      <c r="M789" s="23" t="str">
        <f>IFERROR((E789*VLOOKUP(D789,FILAMENTI_DB!$A:$J,8,FALSE))+((VLOOKUP(C789,STAMPANTI_DB!$A:$C,3,FALSE)/1000)*F789*SETTINGS!$C$6)+(F789*VLOOKUP(C789,STAMPANTI_DB!$A:$I,9,FALSE)),"")</f>
        <v/>
      </c>
    </row>
    <row r="790" spans="13:13" x14ac:dyDescent="0.2">
      <c r="M790" s="23" t="str">
        <f>IFERROR((E790*VLOOKUP(D790,FILAMENTI_DB!$A:$J,8,FALSE))+((VLOOKUP(C790,STAMPANTI_DB!$A:$C,3,FALSE)/1000)*F790*SETTINGS!$C$6)+(F790*VLOOKUP(C790,STAMPANTI_DB!$A:$I,9,FALSE)),"")</f>
        <v/>
      </c>
    </row>
    <row r="791" spans="13:13" x14ac:dyDescent="0.2">
      <c r="M791" s="23" t="str">
        <f>IFERROR((E791*VLOOKUP(D791,FILAMENTI_DB!$A:$J,8,FALSE))+((VLOOKUP(C791,STAMPANTI_DB!$A:$C,3,FALSE)/1000)*F791*SETTINGS!$C$6)+(F791*VLOOKUP(C791,STAMPANTI_DB!$A:$I,9,FALSE)),"")</f>
        <v/>
      </c>
    </row>
    <row r="792" spans="13:13" x14ac:dyDescent="0.2">
      <c r="M792" s="23" t="str">
        <f>IFERROR((E792*VLOOKUP(D792,FILAMENTI_DB!$A:$J,8,FALSE))+((VLOOKUP(C792,STAMPANTI_DB!$A:$C,3,FALSE)/1000)*F792*SETTINGS!$C$6)+(F792*VLOOKUP(C792,STAMPANTI_DB!$A:$I,9,FALSE)),"")</f>
        <v/>
      </c>
    </row>
    <row r="793" spans="13:13" x14ac:dyDescent="0.2">
      <c r="M793" s="23" t="str">
        <f>IFERROR((E793*VLOOKUP(D793,FILAMENTI_DB!$A:$J,8,FALSE))+((VLOOKUP(C793,STAMPANTI_DB!$A:$C,3,FALSE)/1000)*F793*SETTINGS!$C$6)+(F793*VLOOKUP(C793,STAMPANTI_DB!$A:$I,9,FALSE)),"")</f>
        <v/>
      </c>
    </row>
    <row r="794" spans="13:13" x14ac:dyDescent="0.2">
      <c r="M794" s="23" t="str">
        <f>IFERROR((E794*VLOOKUP(D794,FILAMENTI_DB!$A:$J,8,FALSE))+((VLOOKUP(C794,STAMPANTI_DB!$A:$C,3,FALSE)/1000)*F794*SETTINGS!$C$6)+(F794*VLOOKUP(C794,STAMPANTI_DB!$A:$I,9,FALSE)),"")</f>
        <v/>
      </c>
    </row>
    <row r="795" spans="13:13" x14ac:dyDescent="0.2">
      <c r="M795" s="23" t="str">
        <f>IFERROR((E795*VLOOKUP(D795,FILAMENTI_DB!$A:$J,8,FALSE))+((VLOOKUP(C795,STAMPANTI_DB!$A:$C,3,FALSE)/1000)*F795*SETTINGS!$C$6)+(F795*VLOOKUP(C795,STAMPANTI_DB!$A:$I,9,FALSE)),"")</f>
        <v/>
      </c>
    </row>
    <row r="796" spans="13:13" x14ac:dyDescent="0.2">
      <c r="M796" s="23" t="str">
        <f>IFERROR((E796*VLOOKUP(D796,FILAMENTI_DB!$A:$J,8,FALSE))+((VLOOKUP(C796,STAMPANTI_DB!$A:$C,3,FALSE)/1000)*F796*SETTINGS!$C$6)+(F796*VLOOKUP(C796,STAMPANTI_DB!$A:$I,9,FALSE)),"")</f>
        <v/>
      </c>
    </row>
    <row r="797" spans="13:13" x14ac:dyDescent="0.2">
      <c r="M797" s="23" t="str">
        <f>IFERROR((E797*VLOOKUP(D797,FILAMENTI_DB!$A:$J,8,FALSE))+((VLOOKUP(C797,STAMPANTI_DB!$A:$C,3,FALSE)/1000)*F797*SETTINGS!$C$6)+(F797*VLOOKUP(C797,STAMPANTI_DB!$A:$I,9,FALSE)),"")</f>
        <v/>
      </c>
    </row>
    <row r="798" spans="13:13" x14ac:dyDescent="0.2">
      <c r="M798" s="23" t="str">
        <f>IFERROR((E798*VLOOKUP(D798,FILAMENTI_DB!$A:$J,8,FALSE))+((VLOOKUP(C798,STAMPANTI_DB!$A:$C,3,FALSE)/1000)*F798*SETTINGS!$C$6)+(F798*VLOOKUP(C798,STAMPANTI_DB!$A:$I,9,FALSE)),"")</f>
        <v/>
      </c>
    </row>
    <row r="799" spans="13:13" x14ac:dyDescent="0.2">
      <c r="M799" s="23" t="str">
        <f>IFERROR((E799*VLOOKUP(D799,FILAMENTI_DB!$A:$J,8,FALSE))+((VLOOKUP(C799,STAMPANTI_DB!$A:$C,3,FALSE)/1000)*F799*SETTINGS!$C$6)+(F799*VLOOKUP(C799,STAMPANTI_DB!$A:$I,9,FALSE)),"")</f>
        <v/>
      </c>
    </row>
    <row r="800" spans="13:13" x14ac:dyDescent="0.2">
      <c r="M800" s="23" t="str">
        <f>IFERROR((E800*VLOOKUP(D800,FILAMENTI_DB!$A:$J,8,FALSE))+((VLOOKUP(C800,STAMPANTI_DB!$A:$C,3,FALSE)/1000)*F800*SETTINGS!$C$6)+(F800*VLOOKUP(C800,STAMPANTI_DB!$A:$I,9,FALSE)),"")</f>
        <v/>
      </c>
    </row>
    <row r="801" spans="13:13" x14ac:dyDescent="0.2">
      <c r="M801" s="23" t="str">
        <f>IFERROR((E801*VLOOKUP(D801,FILAMENTI_DB!$A:$J,8,FALSE))+((VLOOKUP(C801,STAMPANTI_DB!$A:$C,3,FALSE)/1000)*F801*SETTINGS!$C$6)+(F801*VLOOKUP(C801,STAMPANTI_DB!$A:$I,9,FALSE)),"")</f>
        <v/>
      </c>
    </row>
    <row r="802" spans="13:13" x14ac:dyDescent="0.2">
      <c r="M802" s="23" t="str">
        <f>IFERROR((E802*VLOOKUP(D802,FILAMENTI_DB!$A:$J,8,FALSE))+((VLOOKUP(C802,STAMPANTI_DB!$A:$C,3,FALSE)/1000)*F802*SETTINGS!$C$6)+(F802*VLOOKUP(C802,STAMPANTI_DB!$A:$I,9,FALSE)),"")</f>
        <v/>
      </c>
    </row>
    <row r="803" spans="13:13" x14ac:dyDescent="0.2">
      <c r="M803" s="23" t="str">
        <f>IFERROR((E803*VLOOKUP(D803,FILAMENTI_DB!$A:$J,8,FALSE))+((VLOOKUP(C803,STAMPANTI_DB!$A:$C,3,FALSE)/1000)*F803*SETTINGS!$C$6)+(F803*VLOOKUP(C803,STAMPANTI_DB!$A:$I,9,FALSE)),"")</f>
        <v/>
      </c>
    </row>
    <row r="804" spans="13:13" x14ac:dyDescent="0.2">
      <c r="M804" s="23" t="str">
        <f>IFERROR((E804*VLOOKUP(D804,FILAMENTI_DB!$A:$J,8,FALSE))+((VLOOKUP(C804,STAMPANTI_DB!$A:$C,3,FALSE)/1000)*F804*SETTINGS!$C$6)+(F804*VLOOKUP(C804,STAMPANTI_DB!$A:$I,9,FALSE)),"")</f>
        <v/>
      </c>
    </row>
    <row r="805" spans="13:13" x14ac:dyDescent="0.2">
      <c r="M805" s="23" t="str">
        <f>IFERROR((E805*VLOOKUP(D805,FILAMENTI_DB!$A:$J,8,FALSE))+((VLOOKUP(C805,STAMPANTI_DB!$A:$C,3,FALSE)/1000)*F805*SETTINGS!$C$6)+(F805*VLOOKUP(C805,STAMPANTI_DB!$A:$I,9,FALSE)),"")</f>
        <v/>
      </c>
    </row>
    <row r="806" spans="13:13" x14ac:dyDescent="0.2">
      <c r="M806" s="23" t="str">
        <f>IFERROR((E806*VLOOKUP(D806,FILAMENTI_DB!$A:$J,8,FALSE))+((VLOOKUP(C806,STAMPANTI_DB!$A:$C,3,FALSE)/1000)*F806*SETTINGS!$C$6)+(F806*VLOOKUP(C806,STAMPANTI_DB!$A:$I,9,FALSE)),"")</f>
        <v/>
      </c>
    </row>
    <row r="807" spans="13:13" x14ac:dyDescent="0.2">
      <c r="M807" s="23" t="str">
        <f>IFERROR((E807*VLOOKUP(D807,FILAMENTI_DB!$A:$J,8,FALSE))+((VLOOKUP(C807,STAMPANTI_DB!$A:$C,3,FALSE)/1000)*F807*SETTINGS!$C$6)+(F807*VLOOKUP(C807,STAMPANTI_DB!$A:$I,9,FALSE)),"")</f>
        <v/>
      </c>
    </row>
    <row r="808" spans="13:13" x14ac:dyDescent="0.2">
      <c r="M808" s="23" t="str">
        <f>IFERROR((E808*VLOOKUP(D808,FILAMENTI_DB!$A:$J,8,FALSE))+((VLOOKUP(C808,STAMPANTI_DB!$A:$C,3,FALSE)/1000)*F808*SETTINGS!$C$6)+(F808*VLOOKUP(C808,STAMPANTI_DB!$A:$I,9,FALSE)),"")</f>
        <v/>
      </c>
    </row>
    <row r="809" spans="13:13" x14ac:dyDescent="0.2">
      <c r="M809" s="23" t="str">
        <f>IFERROR((E809*VLOOKUP(D809,FILAMENTI_DB!$A:$J,8,FALSE))+((VLOOKUP(C809,STAMPANTI_DB!$A:$C,3,FALSE)/1000)*F809*SETTINGS!$C$6)+(F809*VLOOKUP(C809,STAMPANTI_DB!$A:$I,9,FALSE)),"")</f>
        <v/>
      </c>
    </row>
    <row r="810" spans="13:13" x14ac:dyDescent="0.2">
      <c r="M810" s="23" t="str">
        <f>IFERROR((E810*VLOOKUP(D810,FILAMENTI_DB!$A:$J,8,FALSE))+((VLOOKUP(C810,STAMPANTI_DB!$A:$C,3,FALSE)/1000)*F810*SETTINGS!$C$6)+(F810*VLOOKUP(C810,STAMPANTI_DB!$A:$I,9,FALSE)),"")</f>
        <v/>
      </c>
    </row>
    <row r="811" spans="13:13" x14ac:dyDescent="0.2">
      <c r="M811" s="23" t="str">
        <f>IFERROR((E811*VLOOKUP(D811,FILAMENTI_DB!$A:$J,8,FALSE))+((VLOOKUP(C811,STAMPANTI_DB!$A:$C,3,FALSE)/1000)*F811*SETTINGS!$C$6)+(F811*VLOOKUP(C811,STAMPANTI_DB!$A:$I,9,FALSE)),"")</f>
        <v/>
      </c>
    </row>
    <row r="812" spans="13:13" x14ac:dyDescent="0.2">
      <c r="M812" s="23" t="str">
        <f>IFERROR((E812*VLOOKUP(D812,FILAMENTI_DB!$A:$J,8,FALSE))+((VLOOKUP(C812,STAMPANTI_DB!$A:$C,3,FALSE)/1000)*F812*SETTINGS!$C$6)+(F812*VLOOKUP(C812,STAMPANTI_DB!$A:$I,9,FALSE)),"")</f>
        <v/>
      </c>
    </row>
    <row r="813" spans="13:13" x14ac:dyDescent="0.2">
      <c r="M813" s="23" t="str">
        <f>IFERROR((E813*VLOOKUP(D813,FILAMENTI_DB!$A:$J,8,FALSE))+((VLOOKUP(C813,STAMPANTI_DB!$A:$C,3,FALSE)/1000)*F813*SETTINGS!$C$6)+(F813*VLOOKUP(C813,STAMPANTI_DB!$A:$I,9,FALSE)),"")</f>
        <v/>
      </c>
    </row>
    <row r="814" spans="13:13" x14ac:dyDescent="0.2">
      <c r="M814" s="23" t="str">
        <f>IFERROR((E814*VLOOKUP(D814,FILAMENTI_DB!$A:$J,8,FALSE))+((VLOOKUP(C814,STAMPANTI_DB!$A:$C,3,FALSE)/1000)*F814*SETTINGS!$C$6)+(F814*VLOOKUP(C814,STAMPANTI_DB!$A:$I,9,FALSE)),"")</f>
        <v/>
      </c>
    </row>
    <row r="815" spans="13:13" x14ac:dyDescent="0.2">
      <c r="M815" s="23" t="str">
        <f>IFERROR((E815*VLOOKUP(D815,FILAMENTI_DB!$A:$J,8,FALSE))+((VLOOKUP(C815,STAMPANTI_DB!$A:$C,3,FALSE)/1000)*F815*SETTINGS!$C$6)+(F815*VLOOKUP(C815,STAMPANTI_DB!$A:$I,9,FALSE)),"")</f>
        <v/>
      </c>
    </row>
    <row r="816" spans="13:13" x14ac:dyDescent="0.2">
      <c r="M816" s="23" t="str">
        <f>IFERROR((E816*VLOOKUP(D816,FILAMENTI_DB!$A:$J,8,FALSE))+((VLOOKUP(C816,STAMPANTI_DB!$A:$C,3,FALSE)/1000)*F816*SETTINGS!$C$6)+(F816*VLOOKUP(C816,STAMPANTI_DB!$A:$I,9,FALSE)),"")</f>
        <v/>
      </c>
    </row>
    <row r="817" spans="13:13" x14ac:dyDescent="0.2">
      <c r="M817" s="23" t="str">
        <f>IFERROR((E817*VLOOKUP(D817,FILAMENTI_DB!$A:$J,8,FALSE))+((VLOOKUP(C817,STAMPANTI_DB!$A:$C,3,FALSE)/1000)*F817*SETTINGS!$C$6)+(F817*VLOOKUP(C817,STAMPANTI_DB!$A:$I,9,FALSE)),"")</f>
        <v/>
      </c>
    </row>
    <row r="818" spans="13:13" x14ac:dyDescent="0.2">
      <c r="M818" s="23" t="str">
        <f>IFERROR((E818*VLOOKUP(D818,FILAMENTI_DB!$A:$J,8,FALSE))+((VLOOKUP(C818,STAMPANTI_DB!$A:$C,3,FALSE)/1000)*F818*SETTINGS!$C$6)+(F818*VLOOKUP(C818,STAMPANTI_DB!$A:$I,9,FALSE)),"")</f>
        <v/>
      </c>
    </row>
    <row r="819" spans="13:13" x14ac:dyDescent="0.2">
      <c r="M819" s="23" t="str">
        <f>IFERROR((E819*VLOOKUP(D819,FILAMENTI_DB!$A:$J,8,FALSE))+((VLOOKUP(C819,STAMPANTI_DB!$A:$C,3,FALSE)/1000)*F819*SETTINGS!$C$6)+(F819*VLOOKUP(C819,STAMPANTI_DB!$A:$I,9,FALSE)),"")</f>
        <v/>
      </c>
    </row>
    <row r="820" spans="13:13" x14ac:dyDescent="0.2">
      <c r="M820" s="23" t="str">
        <f>IFERROR((E820*VLOOKUP(D820,FILAMENTI_DB!$A:$J,8,FALSE))+((VLOOKUP(C820,STAMPANTI_DB!$A:$C,3,FALSE)/1000)*F820*SETTINGS!$C$6)+(F820*VLOOKUP(C820,STAMPANTI_DB!$A:$I,9,FALSE)),"")</f>
        <v/>
      </c>
    </row>
    <row r="821" spans="13:13" x14ac:dyDescent="0.2">
      <c r="M821" s="23" t="str">
        <f>IFERROR((E821*VLOOKUP(D821,FILAMENTI_DB!$A:$J,8,FALSE))+((VLOOKUP(C821,STAMPANTI_DB!$A:$C,3,FALSE)/1000)*F821*SETTINGS!$C$6)+(F821*VLOOKUP(C821,STAMPANTI_DB!$A:$I,9,FALSE)),"")</f>
        <v/>
      </c>
    </row>
    <row r="822" spans="13:13" x14ac:dyDescent="0.2">
      <c r="M822" s="23" t="str">
        <f>IFERROR((E822*VLOOKUP(D822,FILAMENTI_DB!$A:$J,8,FALSE))+((VLOOKUP(C822,STAMPANTI_DB!$A:$C,3,FALSE)/1000)*F822*SETTINGS!$C$6)+(F822*VLOOKUP(C822,STAMPANTI_DB!$A:$I,9,FALSE)),"")</f>
        <v/>
      </c>
    </row>
    <row r="823" spans="13:13" x14ac:dyDescent="0.2">
      <c r="M823" s="23" t="str">
        <f>IFERROR((E823*VLOOKUP(D823,FILAMENTI_DB!$A:$J,8,FALSE))+((VLOOKUP(C823,STAMPANTI_DB!$A:$C,3,FALSE)/1000)*F823*SETTINGS!$C$6)+(F823*VLOOKUP(C823,STAMPANTI_DB!$A:$I,9,FALSE)),"")</f>
        <v/>
      </c>
    </row>
    <row r="824" spans="13:13" x14ac:dyDescent="0.2">
      <c r="M824" s="23" t="str">
        <f>IFERROR((E824*VLOOKUP(D824,FILAMENTI_DB!$A:$J,8,FALSE))+((VLOOKUP(C824,STAMPANTI_DB!$A:$C,3,FALSE)/1000)*F824*SETTINGS!$C$6)+(F824*VLOOKUP(C824,STAMPANTI_DB!$A:$I,9,FALSE)),"")</f>
        <v/>
      </c>
    </row>
    <row r="825" spans="13:13" x14ac:dyDescent="0.2">
      <c r="M825" s="23" t="str">
        <f>IFERROR((E825*VLOOKUP(D825,FILAMENTI_DB!$A:$J,8,FALSE))+((VLOOKUP(C825,STAMPANTI_DB!$A:$C,3,FALSE)/1000)*F825*SETTINGS!$C$6)+(F825*VLOOKUP(C825,STAMPANTI_DB!$A:$I,9,FALSE)),"")</f>
        <v/>
      </c>
    </row>
    <row r="826" spans="13:13" x14ac:dyDescent="0.2">
      <c r="M826" s="23" t="str">
        <f>IFERROR((E826*VLOOKUP(D826,FILAMENTI_DB!$A:$J,8,FALSE))+((VLOOKUP(C826,STAMPANTI_DB!$A:$C,3,FALSE)/1000)*F826*SETTINGS!$C$6)+(F826*VLOOKUP(C826,STAMPANTI_DB!$A:$I,9,FALSE)),"")</f>
        <v/>
      </c>
    </row>
    <row r="827" spans="13:13" x14ac:dyDescent="0.2">
      <c r="M827" s="23" t="str">
        <f>IFERROR((E827*VLOOKUP(D827,FILAMENTI_DB!$A:$J,8,FALSE))+((VLOOKUP(C827,STAMPANTI_DB!$A:$C,3,FALSE)/1000)*F827*SETTINGS!$C$6)+(F827*VLOOKUP(C827,STAMPANTI_DB!$A:$I,9,FALSE)),"")</f>
        <v/>
      </c>
    </row>
    <row r="828" spans="13:13" x14ac:dyDescent="0.2">
      <c r="M828" s="23" t="str">
        <f>IFERROR((E828*VLOOKUP(D828,FILAMENTI_DB!$A:$J,8,FALSE))+((VLOOKUP(C828,STAMPANTI_DB!$A:$C,3,FALSE)/1000)*F828*SETTINGS!$C$6)+(F828*VLOOKUP(C828,STAMPANTI_DB!$A:$I,9,FALSE)),"")</f>
        <v/>
      </c>
    </row>
    <row r="829" spans="13:13" x14ac:dyDescent="0.2">
      <c r="M829" s="23" t="str">
        <f>IFERROR((E829*VLOOKUP(D829,FILAMENTI_DB!$A:$J,8,FALSE))+((VLOOKUP(C829,STAMPANTI_DB!$A:$C,3,FALSE)/1000)*F829*SETTINGS!$C$6)+(F829*VLOOKUP(C829,STAMPANTI_DB!$A:$I,9,FALSE)),"")</f>
        <v/>
      </c>
    </row>
    <row r="830" spans="13:13" x14ac:dyDescent="0.2">
      <c r="M830" s="23" t="str">
        <f>IFERROR((E830*VLOOKUP(D830,FILAMENTI_DB!$A:$J,8,FALSE))+((VLOOKUP(C830,STAMPANTI_DB!$A:$C,3,FALSE)/1000)*F830*SETTINGS!$C$6)+(F830*VLOOKUP(C830,STAMPANTI_DB!$A:$I,9,FALSE)),"")</f>
        <v/>
      </c>
    </row>
    <row r="831" spans="13:13" x14ac:dyDescent="0.2">
      <c r="M831" s="23" t="str">
        <f>IFERROR((E831*VLOOKUP(D831,FILAMENTI_DB!$A:$J,8,FALSE))+((VLOOKUP(C831,STAMPANTI_DB!$A:$C,3,FALSE)/1000)*F831*SETTINGS!$C$6)+(F831*VLOOKUP(C831,STAMPANTI_DB!$A:$I,9,FALSE)),"")</f>
        <v/>
      </c>
    </row>
    <row r="832" spans="13:13" x14ac:dyDescent="0.2">
      <c r="M832" s="23" t="str">
        <f>IFERROR((E832*VLOOKUP(D832,FILAMENTI_DB!$A:$J,8,FALSE))+((VLOOKUP(C832,STAMPANTI_DB!$A:$C,3,FALSE)/1000)*F832*SETTINGS!$C$6)+(F832*VLOOKUP(C832,STAMPANTI_DB!$A:$I,9,FALSE)),"")</f>
        <v/>
      </c>
    </row>
    <row r="833" spans="13:13" x14ac:dyDescent="0.2">
      <c r="M833" s="23" t="str">
        <f>IFERROR((E833*VLOOKUP(D833,FILAMENTI_DB!$A:$J,8,FALSE))+((VLOOKUP(C833,STAMPANTI_DB!$A:$C,3,FALSE)/1000)*F833*SETTINGS!$C$6)+(F833*VLOOKUP(C833,STAMPANTI_DB!$A:$I,9,FALSE)),"")</f>
        <v/>
      </c>
    </row>
    <row r="834" spans="13:13" x14ac:dyDescent="0.2">
      <c r="M834" s="23" t="str">
        <f>IFERROR((E834*VLOOKUP(D834,FILAMENTI_DB!$A:$J,8,FALSE))+((VLOOKUP(C834,STAMPANTI_DB!$A:$C,3,FALSE)/1000)*F834*SETTINGS!$C$6)+(F834*VLOOKUP(C834,STAMPANTI_DB!$A:$I,9,FALSE)),"")</f>
        <v/>
      </c>
    </row>
    <row r="835" spans="13:13" x14ac:dyDescent="0.2">
      <c r="M835" s="23" t="str">
        <f>IFERROR((E835*VLOOKUP(D835,FILAMENTI_DB!$A:$J,8,FALSE))+((VLOOKUP(C835,STAMPANTI_DB!$A:$C,3,FALSE)/1000)*F835*SETTINGS!$C$6)+(F835*VLOOKUP(C835,STAMPANTI_DB!$A:$I,9,FALSE)),"")</f>
        <v/>
      </c>
    </row>
    <row r="836" spans="13:13" x14ac:dyDescent="0.2">
      <c r="M836" s="23" t="str">
        <f>IFERROR((E836*VLOOKUP(D836,FILAMENTI_DB!$A:$J,8,FALSE))+((VLOOKUP(C836,STAMPANTI_DB!$A:$C,3,FALSE)/1000)*F836*SETTINGS!$C$6)+(F836*VLOOKUP(C836,STAMPANTI_DB!$A:$I,9,FALSE)),"")</f>
        <v/>
      </c>
    </row>
    <row r="837" spans="13:13" x14ac:dyDescent="0.2">
      <c r="M837" s="23" t="str">
        <f>IFERROR((E837*VLOOKUP(D837,FILAMENTI_DB!$A:$J,8,FALSE))+((VLOOKUP(C837,STAMPANTI_DB!$A:$C,3,FALSE)/1000)*F837*SETTINGS!$C$6)+(F837*VLOOKUP(C837,STAMPANTI_DB!$A:$I,9,FALSE)),"")</f>
        <v/>
      </c>
    </row>
    <row r="838" spans="13:13" x14ac:dyDescent="0.2">
      <c r="M838" s="23" t="str">
        <f>IFERROR((E838*VLOOKUP(D838,FILAMENTI_DB!$A:$J,8,FALSE))+((VLOOKUP(C838,STAMPANTI_DB!$A:$C,3,FALSE)/1000)*F838*SETTINGS!$C$6)+(F838*VLOOKUP(C838,STAMPANTI_DB!$A:$I,9,FALSE)),"")</f>
        <v/>
      </c>
    </row>
    <row r="839" spans="13:13" x14ac:dyDescent="0.2">
      <c r="M839" s="23" t="str">
        <f>IFERROR((E839*VLOOKUP(D839,FILAMENTI_DB!$A:$J,8,FALSE))+((VLOOKUP(C839,STAMPANTI_DB!$A:$C,3,FALSE)/1000)*F839*SETTINGS!$C$6)+(F839*VLOOKUP(C839,STAMPANTI_DB!$A:$I,9,FALSE)),"")</f>
        <v/>
      </c>
    </row>
    <row r="840" spans="13:13" x14ac:dyDescent="0.2">
      <c r="M840" s="23" t="str">
        <f>IFERROR((E840*VLOOKUP(D840,FILAMENTI_DB!$A:$J,8,FALSE))+((VLOOKUP(C840,STAMPANTI_DB!$A:$C,3,FALSE)/1000)*F840*SETTINGS!$C$6)+(F840*VLOOKUP(C840,STAMPANTI_DB!$A:$I,9,FALSE)),"")</f>
        <v/>
      </c>
    </row>
    <row r="841" spans="13:13" x14ac:dyDescent="0.2">
      <c r="M841" s="23" t="str">
        <f>IFERROR((E841*VLOOKUP(D841,FILAMENTI_DB!$A:$J,8,FALSE))+((VLOOKUP(C841,STAMPANTI_DB!$A:$C,3,FALSE)/1000)*F841*SETTINGS!$C$6)+(F841*VLOOKUP(C841,STAMPANTI_DB!$A:$I,9,FALSE)),"")</f>
        <v/>
      </c>
    </row>
    <row r="842" spans="13:13" x14ac:dyDescent="0.2">
      <c r="M842" s="23" t="str">
        <f>IFERROR((E842*VLOOKUP(D842,FILAMENTI_DB!$A:$J,8,FALSE))+((VLOOKUP(C842,STAMPANTI_DB!$A:$C,3,FALSE)/1000)*F842*SETTINGS!$C$6)+(F842*VLOOKUP(C842,STAMPANTI_DB!$A:$I,9,FALSE)),"")</f>
        <v/>
      </c>
    </row>
    <row r="843" spans="13:13" x14ac:dyDescent="0.2">
      <c r="M843" s="23" t="str">
        <f>IFERROR((E843*VLOOKUP(D843,FILAMENTI_DB!$A:$J,8,FALSE))+((VLOOKUP(C843,STAMPANTI_DB!$A:$C,3,FALSE)/1000)*F843*SETTINGS!$C$6)+(F843*VLOOKUP(C843,STAMPANTI_DB!$A:$I,9,FALSE)),"")</f>
        <v/>
      </c>
    </row>
    <row r="844" spans="13:13" x14ac:dyDescent="0.2">
      <c r="M844" s="23" t="str">
        <f>IFERROR((E844*VLOOKUP(D844,FILAMENTI_DB!$A:$J,8,FALSE))+((VLOOKUP(C844,STAMPANTI_DB!$A:$C,3,FALSE)/1000)*F844*SETTINGS!$C$6)+(F844*VLOOKUP(C844,STAMPANTI_DB!$A:$I,9,FALSE)),"")</f>
        <v/>
      </c>
    </row>
    <row r="845" spans="13:13" x14ac:dyDescent="0.2">
      <c r="M845" s="23" t="str">
        <f>IFERROR((E845*VLOOKUP(D845,FILAMENTI_DB!$A:$J,8,FALSE))+((VLOOKUP(C845,STAMPANTI_DB!$A:$C,3,FALSE)/1000)*F845*SETTINGS!$C$6)+(F845*VLOOKUP(C845,STAMPANTI_DB!$A:$I,9,FALSE)),"")</f>
        <v/>
      </c>
    </row>
    <row r="846" spans="13:13" x14ac:dyDescent="0.2">
      <c r="M846" s="23" t="str">
        <f>IFERROR((E846*VLOOKUP(D846,FILAMENTI_DB!$A:$J,8,FALSE))+((VLOOKUP(C846,STAMPANTI_DB!$A:$C,3,FALSE)/1000)*F846*SETTINGS!$C$6)+(F846*VLOOKUP(C846,STAMPANTI_DB!$A:$I,9,FALSE)),"")</f>
        <v/>
      </c>
    </row>
    <row r="847" spans="13:13" x14ac:dyDescent="0.2">
      <c r="M847" s="23" t="str">
        <f>IFERROR((E847*VLOOKUP(D847,FILAMENTI_DB!$A:$J,8,FALSE))+((VLOOKUP(C847,STAMPANTI_DB!$A:$C,3,FALSE)/1000)*F847*SETTINGS!$C$6)+(F847*VLOOKUP(C847,STAMPANTI_DB!$A:$I,9,FALSE)),"")</f>
        <v/>
      </c>
    </row>
    <row r="848" spans="13:13" x14ac:dyDescent="0.2">
      <c r="M848" s="23" t="str">
        <f>IFERROR((E848*VLOOKUP(D848,FILAMENTI_DB!$A:$J,8,FALSE))+((VLOOKUP(C848,STAMPANTI_DB!$A:$C,3,FALSE)/1000)*F848*SETTINGS!$C$6)+(F848*VLOOKUP(C848,STAMPANTI_DB!$A:$I,9,FALSE)),"")</f>
        <v/>
      </c>
    </row>
    <row r="849" spans="13:13" x14ac:dyDescent="0.2">
      <c r="M849" s="23" t="str">
        <f>IFERROR((E849*VLOOKUP(D849,FILAMENTI_DB!$A:$J,8,FALSE))+((VLOOKUP(C849,STAMPANTI_DB!$A:$C,3,FALSE)/1000)*F849*SETTINGS!$C$6)+(F849*VLOOKUP(C849,STAMPANTI_DB!$A:$I,9,FALSE)),"")</f>
        <v/>
      </c>
    </row>
    <row r="850" spans="13:13" x14ac:dyDescent="0.2">
      <c r="M850" s="23" t="str">
        <f>IFERROR((E850*VLOOKUP(D850,FILAMENTI_DB!$A:$J,8,FALSE))+((VLOOKUP(C850,STAMPANTI_DB!$A:$C,3,FALSE)/1000)*F850*SETTINGS!$C$6)+(F850*VLOOKUP(C850,STAMPANTI_DB!$A:$I,9,FALSE)),"")</f>
        <v/>
      </c>
    </row>
    <row r="851" spans="13:13" x14ac:dyDescent="0.2">
      <c r="M851" s="23" t="str">
        <f>IFERROR((E851*VLOOKUP(D851,FILAMENTI_DB!$A:$J,8,FALSE))+((VLOOKUP(C851,STAMPANTI_DB!$A:$C,3,FALSE)/1000)*F851*SETTINGS!$C$6)+(F851*VLOOKUP(C851,STAMPANTI_DB!$A:$I,9,FALSE)),"")</f>
        <v/>
      </c>
    </row>
    <row r="852" spans="13:13" x14ac:dyDescent="0.2">
      <c r="M852" s="23" t="str">
        <f>IFERROR((E852*VLOOKUP(D852,FILAMENTI_DB!$A:$J,8,FALSE))+((VLOOKUP(C852,STAMPANTI_DB!$A:$C,3,FALSE)/1000)*F852*SETTINGS!$C$6)+(F852*VLOOKUP(C852,STAMPANTI_DB!$A:$I,9,FALSE)),"")</f>
        <v/>
      </c>
    </row>
    <row r="853" spans="13:13" x14ac:dyDescent="0.2">
      <c r="M853" s="23" t="str">
        <f>IFERROR((E853*VLOOKUP(D853,FILAMENTI_DB!$A:$J,8,FALSE))+((VLOOKUP(C853,STAMPANTI_DB!$A:$C,3,FALSE)/1000)*F853*SETTINGS!$C$6)+(F853*VLOOKUP(C853,STAMPANTI_DB!$A:$I,9,FALSE)),"")</f>
        <v/>
      </c>
    </row>
    <row r="854" spans="13:13" x14ac:dyDescent="0.2">
      <c r="M854" s="23" t="str">
        <f>IFERROR((E854*VLOOKUP(D854,FILAMENTI_DB!$A:$J,8,FALSE))+((VLOOKUP(C854,STAMPANTI_DB!$A:$C,3,FALSE)/1000)*F854*SETTINGS!$C$6)+(F854*VLOOKUP(C854,STAMPANTI_DB!$A:$I,9,FALSE)),"")</f>
        <v/>
      </c>
    </row>
    <row r="855" spans="13:13" x14ac:dyDescent="0.2">
      <c r="M855" s="23" t="str">
        <f>IFERROR((E855*VLOOKUP(D855,FILAMENTI_DB!$A:$J,8,FALSE))+((VLOOKUP(C855,STAMPANTI_DB!$A:$C,3,FALSE)/1000)*F855*SETTINGS!$C$6)+(F855*VLOOKUP(C855,STAMPANTI_DB!$A:$I,9,FALSE)),"")</f>
        <v/>
      </c>
    </row>
    <row r="856" spans="13:13" x14ac:dyDescent="0.2">
      <c r="M856" s="23" t="str">
        <f>IFERROR((E856*VLOOKUP(D856,FILAMENTI_DB!$A:$J,8,FALSE))+((VLOOKUP(C856,STAMPANTI_DB!$A:$C,3,FALSE)/1000)*F856*SETTINGS!$C$6)+(F856*VLOOKUP(C856,STAMPANTI_DB!$A:$I,9,FALSE)),"")</f>
        <v/>
      </c>
    </row>
    <row r="857" spans="13:13" x14ac:dyDescent="0.2">
      <c r="M857" s="23" t="str">
        <f>IFERROR((E857*VLOOKUP(D857,FILAMENTI_DB!$A:$J,8,FALSE))+((VLOOKUP(C857,STAMPANTI_DB!$A:$C,3,FALSE)/1000)*F857*SETTINGS!$C$6)+(F857*VLOOKUP(C857,STAMPANTI_DB!$A:$I,9,FALSE)),"")</f>
        <v/>
      </c>
    </row>
    <row r="858" spans="13:13" x14ac:dyDescent="0.2">
      <c r="M858" s="23" t="str">
        <f>IFERROR((E858*VLOOKUP(D858,FILAMENTI_DB!$A:$J,8,FALSE))+((VLOOKUP(C858,STAMPANTI_DB!$A:$C,3,FALSE)/1000)*F858*SETTINGS!$C$6)+(F858*VLOOKUP(C858,STAMPANTI_DB!$A:$I,9,FALSE)),"")</f>
        <v/>
      </c>
    </row>
    <row r="859" spans="13:13" x14ac:dyDescent="0.2">
      <c r="M859" s="23" t="str">
        <f>IFERROR((E859*VLOOKUP(D859,FILAMENTI_DB!$A:$J,8,FALSE))+((VLOOKUP(C859,STAMPANTI_DB!$A:$C,3,FALSE)/1000)*F859*SETTINGS!$C$6)+(F859*VLOOKUP(C859,STAMPANTI_DB!$A:$I,9,FALSE)),"")</f>
        <v/>
      </c>
    </row>
    <row r="860" spans="13:13" x14ac:dyDescent="0.2">
      <c r="M860" s="23" t="str">
        <f>IFERROR((E860*VLOOKUP(D860,FILAMENTI_DB!$A:$J,8,FALSE))+((VLOOKUP(C860,STAMPANTI_DB!$A:$C,3,FALSE)/1000)*F860*SETTINGS!$C$6)+(F860*VLOOKUP(C860,STAMPANTI_DB!$A:$I,9,FALSE)),"")</f>
        <v/>
      </c>
    </row>
    <row r="861" spans="13:13" x14ac:dyDescent="0.2">
      <c r="M861" s="23" t="str">
        <f>IFERROR((E861*VLOOKUP(D861,FILAMENTI_DB!$A:$J,8,FALSE))+((VLOOKUP(C861,STAMPANTI_DB!$A:$C,3,FALSE)/1000)*F861*SETTINGS!$C$6)+(F861*VLOOKUP(C861,STAMPANTI_DB!$A:$I,9,FALSE)),"")</f>
        <v/>
      </c>
    </row>
    <row r="862" spans="13:13" x14ac:dyDescent="0.2">
      <c r="M862" s="23" t="str">
        <f>IFERROR((E862*VLOOKUP(D862,FILAMENTI_DB!$A:$J,8,FALSE))+((VLOOKUP(C862,STAMPANTI_DB!$A:$C,3,FALSE)/1000)*F862*SETTINGS!$C$6)+(F862*VLOOKUP(C862,STAMPANTI_DB!$A:$I,9,FALSE)),"")</f>
        <v/>
      </c>
    </row>
    <row r="863" spans="13:13" x14ac:dyDescent="0.2">
      <c r="M863" s="23" t="str">
        <f>IFERROR((E863*VLOOKUP(D863,FILAMENTI_DB!$A:$J,8,FALSE))+((VLOOKUP(C863,STAMPANTI_DB!$A:$C,3,FALSE)/1000)*F863*SETTINGS!$C$6)+(F863*VLOOKUP(C863,STAMPANTI_DB!$A:$I,9,FALSE)),"")</f>
        <v/>
      </c>
    </row>
    <row r="864" spans="13:13" x14ac:dyDescent="0.2">
      <c r="M864" s="23" t="str">
        <f>IFERROR((E864*VLOOKUP(D864,FILAMENTI_DB!$A:$J,8,FALSE))+((VLOOKUP(C864,STAMPANTI_DB!$A:$C,3,FALSE)/1000)*F864*SETTINGS!$C$6)+(F864*VLOOKUP(C864,STAMPANTI_DB!$A:$I,9,FALSE)),"")</f>
        <v/>
      </c>
    </row>
    <row r="865" spans="13:13" x14ac:dyDescent="0.2">
      <c r="M865" s="23" t="str">
        <f>IFERROR((E865*VLOOKUP(D865,FILAMENTI_DB!$A:$J,8,FALSE))+((VLOOKUP(C865,STAMPANTI_DB!$A:$C,3,FALSE)/1000)*F865*SETTINGS!$C$6)+(F865*VLOOKUP(C865,STAMPANTI_DB!$A:$I,9,FALSE)),"")</f>
        <v/>
      </c>
    </row>
    <row r="866" spans="13:13" x14ac:dyDescent="0.2">
      <c r="M866" s="23" t="str">
        <f>IFERROR((E866*VLOOKUP(D866,FILAMENTI_DB!$A:$J,8,FALSE))+((VLOOKUP(C866,STAMPANTI_DB!$A:$C,3,FALSE)/1000)*F866*SETTINGS!$C$6)+(F866*VLOOKUP(C866,STAMPANTI_DB!$A:$I,9,FALSE)),"")</f>
        <v/>
      </c>
    </row>
    <row r="867" spans="13:13" x14ac:dyDescent="0.2">
      <c r="M867" s="23" t="str">
        <f>IFERROR((E867*VLOOKUP(D867,FILAMENTI_DB!$A:$J,8,FALSE))+((VLOOKUP(C867,STAMPANTI_DB!$A:$C,3,FALSE)/1000)*F867*SETTINGS!$C$6)+(F867*VLOOKUP(C867,STAMPANTI_DB!$A:$I,9,FALSE)),"")</f>
        <v/>
      </c>
    </row>
    <row r="868" spans="13:13" x14ac:dyDescent="0.2">
      <c r="M868" s="23" t="str">
        <f>IFERROR((E868*VLOOKUP(D868,FILAMENTI_DB!$A:$J,8,FALSE))+((VLOOKUP(C868,STAMPANTI_DB!$A:$C,3,FALSE)/1000)*F868*SETTINGS!$C$6)+(F868*VLOOKUP(C868,STAMPANTI_DB!$A:$I,9,FALSE)),"")</f>
        <v/>
      </c>
    </row>
    <row r="869" spans="13:13" x14ac:dyDescent="0.2">
      <c r="M869" s="23" t="str">
        <f>IFERROR((E869*VLOOKUP(D869,FILAMENTI_DB!$A:$J,8,FALSE))+((VLOOKUP(C869,STAMPANTI_DB!$A:$C,3,FALSE)/1000)*F869*SETTINGS!$C$6)+(F869*VLOOKUP(C869,STAMPANTI_DB!$A:$I,9,FALSE)),"")</f>
        <v/>
      </c>
    </row>
    <row r="870" spans="13:13" x14ac:dyDescent="0.2">
      <c r="M870" s="23" t="str">
        <f>IFERROR((E870*VLOOKUP(D870,FILAMENTI_DB!$A:$J,8,FALSE))+((VLOOKUP(C870,STAMPANTI_DB!$A:$C,3,FALSE)/1000)*F870*SETTINGS!$C$6)+(F870*VLOOKUP(C870,STAMPANTI_DB!$A:$I,9,FALSE)),"")</f>
        <v/>
      </c>
    </row>
    <row r="871" spans="13:13" x14ac:dyDescent="0.2">
      <c r="M871" s="23" t="str">
        <f>IFERROR((E871*VLOOKUP(D871,FILAMENTI_DB!$A:$J,8,FALSE))+((VLOOKUP(C871,STAMPANTI_DB!$A:$C,3,FALSE)/1000)*F871*SETTINGS!$C$6)+(F871*VLOOKUP(C871,STAMPANTI_DB!$A:$I,9,FALSE)),"")</f>
        <v/>
      </c>
    </row>
    <row r="872" spans="13:13" x14ac:dyDescent="0.2">
      <c r="M872" s="23" t="str">
        <f>IFERROR((E872*VLOOKUP(D872,FILAMENTI_DB!$A:$J,8,FALSE))+((VLOOKUP(C872,STAMPANTI_DB!$A:$C,3,FALSE)/1000)*F872*SETTINGS!$C$6)+(F872*VLOOKUP(C872,STAMPANTI_DB!$A:$I,9,FALSE)),"")</f>
        <v/>
      </c>
    </row>
    <row r="873" spans="13:13" x14ac:dyDescent="0.2">
      <c r="M873" s="23" t="str">
        <f>IFERROR((E873*VLOOKUP(D873,FILAMENTI_DB!$A:$J,8,FALSE))+((VLOOKUP(C873,STAMPANTI_DB!$A:$C,3,FALSE)/1000)*F873*SETTINGS!$C$6)+(F873*VLOOKUP(C873,STAMPANTI_DB!$A:$I,9,FALSE)),"")</f>
        <v/>
      </c>
    </row>
    <row r="874" spans="13:13" x14ac:dyDescent="0.2">
      <c r="M874" s="23" t="str">
        <f>IFERROR((E874*VLOOKUP(D874,FILAMENTI_DB!$A:$J,8,FALSE))+((VLOOKUP(C874,STAMPANTI_DB!$A:$C,3,FALSE)/1000)*F874*SETTINGS!$C$6)+(F874*VLOOKUP(C874,STAMPANTI_DB!$A:$I,9,FALSE)),"")</f>
        <v/>
      </c>
    </row>
    <row r="875" spans="13:13" x14ac:dyDescent="0.2">
      <c r="M875" s="23" t="str">
        <f>IFERROR((E875*VLOOKUP(D875,FILAMENTI_DB!$A:$J,8,FALSE))+((VLOOKUP(C875,STAMPANTI_DB!$A:$C,3,FALSE)/1000)*F875*SETTINGS!$C$6)+(F875*VLOOKUP(C875,STAMPANTI_DB!$A:$I,9,FALSE)),"")</f>
        <v/>
      </c>
    </row>
    <row r="876" spans="13:13" x14ac:dyDescent="0.2">
      <c r="M876" s="23" t="str">
        <f>IFERROR((E876*VLOOKUP(D876,FILAMENTI_DB!$A:$J,8,FALSE))+((VLOOKUP(C876,STAMPANTI_DB!$A:$C,3,FALSE)/1000)*F876*SETTINGS!$C$6)+(F876*VLOOKUP(C876,STAMPANTI_DB!$A:$I,9,FALSE)),"")</f>
        <v/>
      </c>
    </row>
    <row r="877" spans="13:13" x14ac:dyDescent="0.2">
      <c r="M877" s="23" t="str">
        <f>IFERROR((E877*VLOOKUP(D877,FILAMENTI_DB!$A:$J,8,FALSE))+((VLOOKUP(C877,STAMPANTI_DB!$A:$C,3,FALSE)/1000)*F877*SETTINGS!$C$6)+(F877*VLOOKUP(C877,STAMPANTI_DB!$A:$I,9,FALSE)),"")</f>
        <v/>
      </c>
    </row>
    <row r="878" spans="13:13" x14ac:dyDescent="0.2">
      <c r="M878" s="23" t="str">
        <f>IFERROR((E878*VLOOKUP(D878,FILAMENTI_DB!$A:$J,8,FALSE))+((VLOOKUP(C878,STAMPANTI_DB!$A:$C,3,FALSE)/1000)*F878*SETTINGS!$C$6)+(F878*VLOOKUP(C878,STAMPANTI_DB!$A:$I,9,FALSE)),"")</f>
        <v/>
      </c>
    </row>
    <row r="879" spans="13:13" x14ac:dyDescent="0.2">
      <c r="M879" s="23" t="str">
        <f>IFERROR((E879*VLOOKUP(D879,FILAMENTI_DB!$A:$J,8,FALSE))+((VLOOKUP(C879,STAMPANTI_DB!$A:$C,3,FALSE)/1000)*F879*SETTINGS!$C$6)+(F879*VLOOKUP(C879,STAMPANTI_DB!$A:$I,9,FALSE)),"")</f>
        <v/>
      </c>
    </row>
    <row r="880" spans="13:13" x14ac:dyDescent="0.2">
      <c r="M880" s="23" t="str">
        <f>IFERROR((E880*VLOOKUP(D880,FILAMENTI_DB!$A:$J,8,FALSE))+((VLOOKUP(C880,STAMPANTI_DB!$A:$C,3,FALSE)/1000)*F880*SETTINGS!$C$6)+(F880*VLOOKUP(C880,STAMPANTI_DB!$A:$I,9,FALSE)),"")</f>
        <v/>
      </c>
    </row>
    <row r="881" spans="13:13" x14ac:dyDescent="0.2">
      <c r="M881" s="23" t="str">
        <f>IFERROR((E881*VLOOKUP(D881,FILAMENTI_DB!$A:$J,8,FALSE))+((VLOOKUP(C881,STAMPANTI_DB!$A:$C,3,FALSE)/1000)*F881*SETTINGS!$C$6)+(F881*VLOOKUP(C881,STAMPANTI_DB!$A:$I,9,FALSE)),"")</f>
        <v/>
      </c>
    </row>
    <row r="882" spans="13:13" x14ac:dyDescent="0.2">
      <c r="M882" s="23" t="str">
        <f>IFERROR((E882*VLOOKUP(D882,FILAMENTI_DB!$A:$J,8,FALSE))+((VLOOKUP(C882,STAMPANTI_DB!$A:$C,3,FALSE)/1000)*F882*SETTINGS!$C$6)+(F882*VLOOKUP(C882,STAMPANTI_DB!$A:$I,9,FALSE)),"")</f>
        <v/>
      </c>
    </row>
    <row r="883" spans="13:13" x14ac:dyDescent="0.2">
      <c r="M883" s="23" t="str">
        <f>IFERROR((E883*VLOOKUP(D883,FILAMENTI_DB!$A:$J,8,FALSE))+((VLOOKUP(C883,STAMPANTI_DB!$A:$C,3,FALSE)/1000)*F883*SETTINGS!$C$6)+(F883*VLOOKUP(C883,STAMPANTI_DB!$A:$I,9,FALSE)),"")</f>
        <v/>
      </c>
    </row>
    <row r="884" spans="13:13" x14ac:dyDescent="0.2">
      <c r="M884" s="23" t="str">
        <f>IFERROR((E884*VLOOKUP(D884,FILAMENTI_DB!$A:$J,8,FALSE))+((VLOOKUP(C884,STAMPANTI_DB!$A:$C,3,FALSE)/1000)*F884*SETTINGS!$C$6)+(F884*VLOOKUP(C884,STAMPANTI_DB!$A:$I,9,FALSE)),"")</f>
        <v/>
      </c>
    </row>
    <row r="885" spans="13:13" x14ac:dyDescent="0.2">
      <c r="M885" s="23" t="str">
        <f>IFERROR((E885*VLOOKUP(D885,FILAMENTI_DB!$A:$J,8,FALSE))+((VLOOKUP(C885,STAMPANTI_DB!$A:$C,3,FALSE)/1000)*F885*SETTINGS!$C$6)+(F885*VLOOKUP(C885,STAMPANTI_DB!$A:$I,9,FALSE)),"")</f>
        <v/>
      </c>
    </row>
    <row r="886" spans="13:13" x14ac:dyDescent="0.2">
      <c r="M886" s="23" t="str">
        <f>IFERROR((E886*VLOOKUP(D886,FILAMENTI_DB!$A:$J,8,FALSE))+((VLOOKUP(C886,STAMPANTI_DB!$A:$C,3,FALSE)/1000)*F886*SETTINGS!$C$6)+(F886*VLOOKUP(C886,STAMPANTI_DB!$A:$I,9,FALSE)),"")</f>
        <v/>
      </c>
    </row>
    <row r="887" spans="13:13" x14ac:dyDescent="0.2">
      <c r="M887" s="23" t="str">
        <f>IFERROR((E887*VLOOKUP(D887,FILAMENTI_DB!$A:$J,8,FALSE))+((VLOOKUP(C887,STAMPANTI_DB!$A:$C,3,FALSE)/1000)*F887*SETTINGS!$C$6)+(F887*VLOOKUP(C887,STAMPANTI_DB!$A:$I,9,FALSE)),"")</f>
        <v/>
      </c>
    </row>
    <row r="888" spans="13:13" x14ac:dyDescent="0.2">
      <c r="M888" s="23" t="str">
        <f>IFERROR((E888*VLOOKUP(D888,FILAMENTI_DB!$A:$J,8,FALSE))+((VLOOKUP(C888,STAMPANTI_DB!$A:$C,3,FALSE)/1000)*F888*SETTINGS!$C$6)+(F888*VLOOKUP(C888,STAMPANTI_DB!$A:$I,9,FALSE)),"")</f>
        <v/>
      </c>
    </row>
    <row r="889" spans="13:13" x14ac:dyDescent="0.2">
      <c r="M889" s="23" t="str">
        <f>IFERROR((E889*VLOOKUP(D889,FILAMENTI_DB!$A:$J,8,FALSE))+((VLOOKUP(C889,STAMPANTI_DB!$A:$C,3,FALSE)/1000)*F889*SETTINGS!$C$6)+(F889*VLOOKUP(C889,STAMPANTI_DB!$A:$I,9,FALSE)),"")</f>
        <v/>
      </c>
    </row>
    <row r="890" spans="13:13" x14ac:dyDescent="0.2">
      <c r="M890" s="23" t="str">
        <f>IFERROR((E890*VLOOKUP(D890,FILAMENTI_DB!$A:$J,8,FALSE))+((VLOOKUP(C890,STAMPANTI_DB!$A:$C,3,FALSE)/1000)*F890*SETTINGS!$C$6)+(F890*VLOOKUP(C890,STAMPANTI_DB!$A:$I,9,FALSE)),"")</f>
        <v/>
      </c>
    </row>
    <row r="891" spans="13:13" x14ac:dyDescent="0.2">
      <c r="M891" s="23" t="str">
        <f>IFERROR((E891*VLOOKUP(D891,FILAMENTI_DB!$A:$J,8,FALSE))+((VLOOKUP(C891,STAMPANTI_DB!$A:$C,3,FALSE)/1000)*F891*SETTINGS!$C$6)+(F891*VLOOKUP(C891,STAMPANTI_DB!$A:$I,9,FALSE)),"")</f>
        <v/>
      </c>
    </row>
    <row r="892" spans="13:13" x14ac:dyDescent="0.2">
      <c r="M892" s="23" t="str">
        <f>IFERROR((E892*VLOOKUP(D892,FILAMENTI_DB!$A:$J,8,FALSE))+((VLOOKUP(C892,STAMPANTI_DB!$A:$C,3,FALSE)/1000)*F892*SETTINGS!$C$6)+(F892*VLOOKUP(C892,STAMPANTI_DB!$A:$I,9,FALSE)),"")</f>
        <v/>
      </c>
    </row>
    <row r="893" spans="13:13" x14ac:dyDescent="0.2">
      <c r="M893" s="23" t="str">
        <f>IFERROR((E893*VLOOKUP(D893,FILAMENTI_DB!$A:$J,8,FALSE))+((VLOOKUP(C893,STAMPANTI_DB!$A:$C,3,FALSE)/1000)*F893*SETTINGS!$C$6)+(F893*VLOOKUP(C893,STAMPANTI_DB!$A:$I,9,FALSE)),"")</f>
        <v/>
      </c>
    </row>
    <row r="894" spans="13:13" x14ac:dyDescent="0.2">
      <c r="M894" s="23" t="str">
        <f>IFERROR((E894*VLOOKUP(D894,FILAMENTI_DB!$A:$J,8,FALSE))+((VLOOKUP(C894,STAMPANTI_DB!$A:$C,3,FALSE)/1000)*F894*SETTINGS!$C$6)+(F894*VLOOKUP(C894,STAMPANTI_DB!$A:$I,9,FALSE)),"")</f>
        <v/>
      </c>
    </row>
    <row r="895" spans="13:13" x14ac:dyDescent="0.2">
      <c r="M895" s="23" t="str">
        <f>IFERROR((E895*VLOOKUP(D895,FILAMENTI_DB!$A:$J,8,FALSE))+((VLOOKUP(C895,STAMPANTI_DB!$A:$C,3,FALSE)/1000)*F895*SETTINGS!$C$6)+(F895*VLOOKUP(C895,STAMPANTI_DB!$A:$I,9,FALSE)),"")</f>
        <v/>
      </c>
    </row>
    <row r="896" spans="13:13" x14ac:dyDescent="0.2">
      <c r="M896" s="23" t="str">
        <f>IFERROR((E896*VLOOKUP(D896,FILAMENTI_DB!$A:$J,8,FALSE))+((VLOOKUP(C896,STAMPANTI_DB!$A:$C,3,FALSE)/1000)*F896*SETTINGS!$C$6)+(F896*VLOOKUP(C896,STAMPANTI_DB!$A:$I,9,FALSE)),"")</f>
        <v/>
      </c>
    </row>
    <row r="897" spans="13:13" x14ac:dyDescent="0.2">
      <c r="M897" s="23" t="str">
        <f>IFERROR((E897*VLOOKUP(D897,FILAMENTI_DB!$A:$J,8,FALSE))+((VLOOKUP(C897,STAMPANTI_DB!$A:$C,3,FALSE)/1000)*F897*SETTINGS!$C$6)+(F897*VLOOKUP(C897,STAMPANTI_DB!$A:$I,9,FALSE)),"")</f>
        <v/>
      </c>
    </row>
    <row r="898" spans="13:13" x14ac:dyDescent="0.2">
      <c r="M898" s="23" t="str">
        <f>IFERROR((E898*VLOOKUP(D898,FILAMENTI_DB!$A:$J,8,FALSE))+((VLOOKUP(C898,STAMPANTI_DB!$A:$C,3,FALSE)/1000)*F898*SETTINGS!$C$6)+(F898*VLOOKUP(C898,STAMPANTI_DB!$A:$I,9,FALSE)),"")</f>
        <v/>
      </c>
    </row>
    <row r="899" spans="13:13" x14ac:dyDescent="0.2">
      <c r="M899" s="23" t="str">
        <f>IFERROR((E899*VLOOKUP(D899,FILAMENTI_DB!$A:$J,8,FALSE))+((VLOOKUP(C899,STAMPANTI_DB!$A:$C,3,FALSE)/1000)*F899*SETTINGS!$C$6)+(F899*VLOOKUP(C899,STAMPANTI_DB!$A:$I,9,FALSE)),"")</f>
        <v/>
      </c>
    </row>
    <row r="900" spans="13:13" x14ac:dyDescent="0.2">
      <c r="M900" s="23" t="str">
        <f>IFERROR((E900*VLOOKUP(D900,FILAMENTI_DB!$A:$J,8,FALSE))+((VLOOKUP(C900,STAMPANTI_DB!$A:$C,3,FALSE)/1000)*F900*SETTINGS!$C$6)+(F900*VLOOKUP(C900,STAMPANTI_DB!$A:$I,9,FALSE)),"")</f>
        <v/>
      </c>
    </row>
    <row r="901" spans="13:13" x14ac:dyDescent="0.2">
      <c r="M901" s="23" t="str">
        <f>IFERROR((E901*VLOOKUP(D901,FILAMENTI_DB!$A:$J,8,FALSE))+((VLOOKUP(C901,STAMPANTI_DB!$A:$C,3,FALSE)/1000)*F901*SETTINGS!$C$6)+(F901*VLOOKUP(C901,STAMPANTI_DB!$A:$I,9,FALSE)),"")</f>
        <v/>
      </c>
    </row>
    <row r="902" spans="13:13" x14ac:dyDescent="0.2">
      <c r="M902" s="23" t="str">
        <f>IFERROR((E902*VLOOKUP(D902,FILAMENTI_DB!$A:$J,8,FALSE))+((VLOOKUP(C902,STAMPANTI_DB!$A:$C,3,FALSE)/1000)*F902*SETTINGS!$C$6)+(F902*VLOOKUP(C902,STAMPANTI_DB!$A:$I,9,FALSE)),"")</f>
        <v/>
      </c>
    </row>
    <row r="903" spans="13:13" x14ac:dyDescent="0.2">
      <c r="M903" s="23" t="str">
        <f>IFERROR((E903*VLOOKUP(D903,FILAMENTI_DB!$A:$J,8,FALSE))+((VLOOKUP(C903,STAMPANTI_DB!$A:$C,3,FALSE)/1000)*F903*SETTINGS!$C$6)+(F903*VLOOKUP(C903,STAMPANTI_DB!$A:$I,9,FALSE)),"")</f>
        <v/>
      </c>
    </row>
    <row r="904" spans="13:13" x14ac:dyDescent="0.2">
      <c r="M904" s="23" t="str">
        <f>IFERROR((E904*VLOOKUP(D904,FILAMENTI_DB!$A:$J,8,FALSE))+((VLOOKUP(C904,STAMPANTI_DB!$A:$C,3,FALSE)/1000)*F904*SETTINGS!$C$6)+(F904*VLOOKUP(C904,STAMPANTI_DB!$A:$I,9,FALSE)),"")</f>
        <v/>
      </c>
    </row>
    <row r="905" spans="13:13" x14ac:dyDescent="0.2">
      <c r="M905" s="23" t="str">
        <f>IFERROR((E905*VLOOKUP(D905,FILAMENTI_DB!$A:$J,8,FALSE))+((VLOOKUP(C905,STAMPANTI_DB!$A:$C,3,FALSE)/1000)*F905*SETTINGS!$C$6)+(F905*VLOOKUP(C905,STAMPANTI_DB!$A:$I,9,FALSE)),"")</f>
        <v/>
      </c>
    </row>
    <row r="906" spans="13:13" x14ac:dyDescent="0.2">
      <c r="M906" s="23" t="str">
        <f>IFERROR((E906*VLOOKUP(D906,FILAMENTI_DB!$A:$J,8,FALSE))+((VLOOKUP(C906,STAMPANTI_DB!$A:$C,3,FALSE)/1000)*F906*SETTINGS!$C$6)+(F906*VLOOKUP(C906,STAMPANTI_DB!$A:$I,9,FALSE)),"")</f>
        <v/>
      </c>
    </row>
    <row r="907" spans="13:13" x14ac:dyDescent="0.2">
      <c r="M907" s="23" t="str">
        <f>IFERROR((E907*VLOOKUP(D907,FILAMENTI_DB!$A:$J,8,FALSE))+((VLOOKUP(C907,STAMPANTI_DB!$A:$C,3,FALSE)/1000)*F907*SETTINGS!$C$6)+(F907*VLOOKUP(C907,STAMPANTI_DB!$A:$I,9,FALSE)),"")</f>
        <v/>
      </c>
    </row>
    <row r="908" spans="13:13" x14ac:dyDescent="0.2">
      <c r="M908" s="23" t="str">
        <f>IFERROR((E908*VLOOKUP(D908,FILAMENTI_DB!$A:$J,8,FALSE))+((VLOOKUP(C908,STAMPANTI_DB!$A:$C,3,FALSE)/1000)*F908*SETTINGS!$C$6)+(F908*VLOOKUP(C908,STAMPANTI_DB!$A:$I,9,FALSE)),"")</f>
        <v/>
      </c>
    </row>
    <row r="909" spans="13:13" x14ac:dyDescent="0.2">
      <c r="M909" s="23" t="str">
        <f>IFERROR((E909*VLOOKUP(D909,FILAMENTI_DB!$A:$J,8,FALSE))+((VLOOKUP(C909,STAMPANTI_DB!$A:$C,3,FALSE)/1000)*F909*SETTINGS!$C$6)+(F909*VLOOKUP(C909,STAMPANTI_DB!$A:$I,9,FALSE)),"")</f>
        <v/>
      </c>
    </row>
    <row r="910" spans="13:13" x14ac:dyDescent="0.2">
      <c r="M910" s="23" t="str">
        <f>IFERROR((E910*VLOOKUP(D910,FILAMENTI_DB!$A:$J,8,FALSE))+((VLOOKUP(C910,STAMPANTI_DB!$A:$C,3,FALSE)/1000)*F910*SETTINGS!$C$6)+(F910*VLOOKUP(C910,STAMPANTI_DB!$A:$I,9,FALSE)),"")</f>
        <v/>
      </c>
    </row>
    <row r="911" spans="13:13" x14ac:dyDescent="0.2">
      <c r="M911" s="23" t="str">
        <f>IFERROR((E911*VLOOKUP(D911,FILAMENTI_DB!$A:$J,8,FALSE))+((VLOOKUP(C911,STAMPANTI_DB!$A:$C,3,FALSE)/1000)*F911*SETTINGS!$C$6)+(F911*VLOOKUP(C911,STAMPANTI_DB!$A:$I,9,FALSE)),"")</f>
        <v/>
      </c>
    </row>
    <row r="912" spans="13:13" x14ac:dyDescent="0.2">
      <c r="M912" s="23" t="str">
        <f>IFERROR((E912*VLOOKUP(D912,FILAMENTI_DB!$A:$J,8,FALSE))+((VLOOKUP(C912,STAMPANTI_DB!$A:$C,3,FALSE)/1000)*F912*SETTINGS!$C$6)+(F912*VLOOKUP(C912,STAMPANTI_DB!$A:$I,9,FALSE)),"")</f>
        <v/>
      </c>
    </row>
    <row r="913" spans="13:13" x14ac:dyDescent="0.2">
      <c r="M913" s="23" t="str">
        <f>IFERROR((E913*VLOOKUP(D913,FILAMENTI_DB!$A:$J,8,FALSE))+((VLOOKUP(C913,STAMPANTI_DB!$A:$C,3,FALSE)/1000)*F913*SETTINGS!$C$6)+(F913*VLOOKUP(C913,STAMPANTI_DB!$A:$I,9,FALSE)),"")</f>
        <v/>
      </c>
    </row>
    <row r="914" spans="13:13" x14ac:dyDescent="0.2">
      <c r="M914" s="23" t="str">
        <f>IFERROR((E914*VLOOKUP(D914,FILAMENTI_DB!$A:$J,8,FALSE))+((VLOOKUP(C914,STAMPANTI_DB!$A:$C,3,FALSE)/1000)*F914*SETTINGS!$C$6)+(F914*VLOOKUP(C914,STAMPANTI_DB!$A:$I,9,FALSE)),"")</f>
        <v/>
      </c>
    </row>
    <row r="915" spans="13:13" x14ac:dyDescent="0.2">
      <c r="M915" s="23" t="str">
        <f>IFERROR((E915*VLOOKUP(D915,FILAMENTI_DB!$A:$J,8,FALSE))+((VLOOKUP(C915,STAMPANTI_DB!$A:$C,3,FALSE)/1000)*F915*SETTINGS!$C$6)+(F915*VLOOKUP(C915,STAMPANTI_DB!$A:$I,9,FALSE)),"")</f>
        <v/>
      </c>
    </row>
    <row r="916" spans="13:13" x14ac:dyDescent="0.2">
      <c r="M916" s="23" t="str">
        <f>IFERROR((E916*VLOOKUP(D916,FILAMENTI_DB!$A:$J,8,FALSE))+((VLOOKUP(C916,STAMPANTI_DB!$A:$C,3,FALSE)/1000)*F916*SETTINGS!$C$6)+(F916*VLOOKUP(C916,STAMPANTI_DB!$A:$I,9,FALSE)),"")</f>
        <v/>
      </c>
    </row>
    <row r="917" spans="13:13" x14ac:dyDescent="0.2">
      <c r="M917" s="23" t="str">
        <f>IFERROR((E917*VLOOKUP(D917,FILAMENTI_DB!$A:$J,8,FALSE))+((VLOOKUP(C917,STAMPANTI_DB!$A:$C,3,FALSE)/1000)*F917*SETTINGS!$C$6)+(F917*VLOOKUP(C917,STAMPANTI_DB!$A:$I,9,FALSE)),"")</f>
        <v/>
      </c>
    </row>
    <row r="918" spans="13:13" x14ac:dyDescent="0.2">
      <c r="M918" s="23" t="str">
        <f>IFERROR((E918*VLOOKUP(D918,FILAMENTI_DB!$A:$J,8,FALSE))+((VLOOKUP(C918,STAMPANTI_DB!$A:$C,3,FALSE)/1000)*F918*SETTINGS!$C$6)+(F918*VLOOKUP(C918,STAMPANTI_DB!$A:$I,9,FALSE)),"")</f>
        <v/>
      </c>
    </row>
    <row r="919" spans="13:13" x14ac:dyDescent="0.2">
      <c r="M919" s="23" t="str">
        <f>IFERROR((E919*VLOOKUP(D919,FILAMENTI_DB!$A:$J,8,FALSE))+((VLOOKUP(C919,STAMPANTI_DB!$A:$C,3,FALSE)/1000)*F919*SETTINGS!$C$6)+(F919*VLOOKUP(C919,STAMPANTI_DB!$A:$I,9,FALSE)),"")</f>
        <v/>
      </c>
    </row>
    <row r="920" spans="13:13" x14ac:dyDescent="0.2">
      <c r="M920" s="23" t="str">
        <f>IFERROR((E920*VLOOKUP(D920,FILAMENTI_DB!$A:$J,8,FALSE))+((VLOOKUP(C920,STAMPANTI_DB!$A:$C,3,FALSE)/1000)*F920*SETTINGS!$C$6)+(F920*VLOOKUP(C920,STAMPANTI_DB!$A:$I,9,FALSE)),"")</f>
        <v/>
      </c>
    </row>
    <row r="921" spans="13:13" x14ac:dyDescent="0.2">
      <c r="M921" s="23" t="str">
        <f>IFERROR((E921*VLOOKUP(D921,FILAMENTI_DB!$A:$J,8,FALSE))+((VLOOKUP(C921,STAMPANTI_DB!$A:$C,3,FALSE)/1000)*F921*SETTINGS!$C$6)+(F921*VLOOKUP(C921,STAMPANTI_DB!$A:$I,9,FALSE)),"")</f>
        <v/>
      </c>
    </row>
    <row r="922" spans="13:13" x14ac:dyDescent="0.2">
      <c r="M922" s="23" t="str">
        <f>IFERROR((E922*VLOOKUP(D922,FILAMENTI_DB!$A:$J,8,FALSE))+((VLOOKUP(C922,STAMPANTI_DB!$A:$C,3,FALSE)/1000)*F922*SETTINGS!$C$6)+(F922*VLOOKUP(C922,STAMPANTI_DB!$A:$I,9,FALSE)),"")</f>
        <v/>
      </c>
    </row>
    <row r="923" spans="13:13" x14ac:dyDescent="0.2">
      <c r="M923" s="23" t="str">
        <f>IFERROR((E923*VLOOKUP(D923,FILAMENTI_DB!$A:$J,8,FALSE))+((VLOOKUP(C923,STAMPANTI_DB!$A:$C,3,FALSE)/1000)*F923*SETTINGS!$C$6)+(F923*VLOOKUP(C923,STAMPANTI_DB!$A:$I,9,FALSE)),"")</f>
        <v/>
      </c>
    </row>
    <row r="924" spans="13:13" x14ac:dyDescent="0.2">
      <c r="M924" s="23" t="str">
        <f>IFERROR((E924*VLOOKUP(D924,FILAMENTI_DB!$A:$J,8,FALSE))+((VLOOKUP(C924,STAMPANTI_DB!$A:$C,3,FALSE)/1000)*F924*SETTINGS!$C$6)+(F924*VLOOKUP(C924,STAMPANTI_DB!$A:$I,9,FALSE)),"")</f>
        <v/>
      </c>
    </row>
    <row r="925" spans="13:13" x14ac:dyDescent="0.2">
      <c r="M925" s="23" t="str">
        <f>IFERROR((E925*VLOOKUP(D925,FILAMENTI_DB!$A:$J,8,FALSE))+((VLOOKUP(C925,STAMPANTI_DB!$A:$C,3,FALSE)/1000)*F925*SETTINGS!$C$6)+(F925*VLOOKUP(C925,STAMPANTI_DB!$A:$I,9,FALSE)),"")</f>
        <v/>
      </c>
    </row>
    <row r="926" spans="13:13" x14ac:dyDescent="0.2">
      <c r="M926" s="23" t="str">
        <f>IFERROR((E926*VLOOKUP(D926,FILAMENTI_DB!$A:$J,8,FALSE))+((VLOOKUP(C926,STAMPANTI_DB!$A:$C,3,FALSE)/1000)*F926*SETTINGS!$C$6)+(F926*VLOOKUP(C926,STAMPANTI_DB!$A:$I,9,FALSE)),"")</f>
        <v/>
      </c>
    </row>
    <row r="927" spans="13:13" x14ac:dyDescent="0.2">
      <c r="M927" s="23" t="str">
        <f>IFERROR((E927*VLOOKUP(D927,FILAMENTI_DB!$A:$J,8,FALSE))+((VLOOKUP(C927,STAMPANTI_DB!$A:$C,3,FALSE)/1000)*F927*SETTINGS!$C$6)+(F927*VLOOKUP(C927,STAMPANTI_DB!$A:$I,9,FALSE)),"")</f>
        <v/>
      </c>
    </row>
    <row r="928" spans="13:13" x14ac:dyDescent="0.2">
      <c r="M928" s="23" t="str">
        <f>IFERROR((E928*VLOOKUP(D928,FILAMENTI_DB!$A:$J,8,FALSE))+((VLOOKUP(C928,STAMPANTI_DB!$A:$C,3,FALSE)/1000)*F928*SETTINGS!$C$6)+(F928*VLOOKUP(C928,STAMPANTI_DB!$A:$I,9,FALSE)),"")</f>
        <v/>
      </c>
    </row>
    <row r="929" spans="13:13" x14ac:dyDescent="0.2">
      <c r="M929" s="23" t="str">
        <f>IFERROR((E929*VLOOKUP(D929,FILAMENTI_DB!$A:$J,8,FALSE))+((VLOOKUP(C929,STAMPANTI_DB!$A:$C,3,FALSE)/1000)*F929*SETTINGS!$C$6)+(F929*VLOOKUP(C929,STAMPANTI_DB!$A:$I,9,FALSE)),"")</f>
        <v/>
      </c>
    </row>
    <row r="930" spans="13:13" x14ac:dyDescent="0.2">
      <c r="M930" s="23" t="str">
        <f>IFERROR((E930*VLOOKUP(D930,FILAMENTI_DB!$A:$J,8,FALSE))+((VLOOKUP(C930,STAMPANTI_DB!$A:$C,3,FALSE)/1000)*F930*SETTINGS!$C$6)+(F930*VLOOKUP(C930,STAMPANTI_DB!$A:$I,9,FALSE)),"")</f>
        <v/>
      </c>
    </row>
    <row r="931" spans="13:13" x14ac:dyDescent="0.2">
      <c r="M931" s="23" t="str">
        <f>IFERROR((E931*VLOOKUP(D931,FILAMENTI_DB!$A:$J,8,FALSE))+((VLOOKUP(C931,STAMPANTI_DB!$A:$C,3,FALSE)/1000)*F931*SETTINGS!$C$6)+(F931*VLOOKUP(C931,STAMPANTI_DB!$A:$I,9,FALSE)),"")</f>
        <v/>
      </c>
    </row>
    <row r="932" spans="13:13" x14ac:dyDescent="0.2">
      <c r="M932" s="23" t="str">
        <f>IFERROR((E932*VLOOKUP(D932,FILAMENTI_DB!$A:$J,8,FALSE))+((VLOOKUP(C932,STAMPANTI_DB!$A:$C,3,FALSE)/1000)*F932*SETTINGS!$C$6)+(F932*VLOOKUP(C932,STAMPANTI_DB!$A:$I,9,FALSE)),"")</f>
        <v/>
      </c>
    </row>
    <row r="933" spans="13:13" x14ac:dyDescent="0.2">
      <c r="M933" s="23" t="str">
        <f>IFERROR((E933*VLOOKUP(D933,FILAMENTI_DB!$A:$J,8,FALSE))+((VLOOKUP(C933,STAMPANTI_DB!$A:$C,3,FALSE)/1000)*F933*SETTINGS!$C$6)+(F933*VLOOKUP(C933,STAMPANTI_DB!$A:$I,9,FALSE)),"")</f>
        <v/>
      </c>
    </row>
    <row r="934" spans="13:13" x14ac:dyDescent="0.2">
      <c r="M934" s="23" t="str">
        <f>IFERROR((E934*VLOOKUP(D934,FILAMENTI_DB!$A:$J,8,FALSE))+((VLOOKUP(C934,STAMPANTI_DB!$A:$C,3,FALSE)/1000)*F934*SETTINGS!$C$6)+(F934*VLOOKUP(C934,STAMPANTI_DB!$A:$I,9,FALSE)),"")</f>
        <v/>
      </c>
    </row>
    <row r="935" spans="13:13" x14ac:dyDescent="0.2">
      <c r="M935" s="23" t="str">
        <f>IFERROR((E935*VLOOKUP(D935,FILAMENTI_DB!$A:$J,8,FALSE))+((VLOOKUP(C935,STAMPANTI_DB!$A:$C,3,FALSE)/1000)*F935*SETTINGS!$C$6)+(F935*VLOOKUP(C935,STAMPANTI_DB!$A:$I,9,FALSE)),"")</f>
        <v/>
      </c>
    </row>
    <row r="936" spans="13:13" x14ac:dyDescent="0.2">
      <c r="M936" s="23" t="str">
        <f>IFERROR((E936*VLOOKUP(D936,FILAMENTI_DB!$A:$J,8,FALSE))+((VLOOKUP(C936,STAMPANTI_DB!$A:$C,3,FALSE)/1000)*F936*SETTINGS!$C$6)+(F936*VLOOKUP(C936,STAMPANTI_DB!$A:$I,9,FALSE)),"")</f>
        <v/>
      </c>
    </row>
    <row r="937" spans="13:13" x14ac:dyDescent="0.2">
      <c r="M937" s="23" t="str">
        <f>IFERROR((E937*VLOOKUP(D937,FILAMENTI_DB!$A:$J,8,FALSE))+((VLOOKUP(C937,STAMPANTI_DB!$A:$C,3,FALSE)/1000)*F937*SETTINGS!$C$6)+(F937*VLOOKUP(C937,STAMPANTI_DB!$A:$I,9,FALSE)),"")</f>
        <v/>
      </c>
    </row>
    <row r="938" spans="13:13" x14ac:dyDescent="0.2">
      <c r="M938" s="23" t="str">
        <f>IFERROR((E938*VLOOKUP(D938,FILAMENTI_DB!$A:$J,8,FALSE))+((VLOOKUP(C938,STAMPANTI_DB!$A:$C,3,FALSE)/1000)*F938*SETTINGS!$C$6)+(F938*VLOOKUP(C938,STAMPANTI_DB!$A:$I,9,FALSE)),"")</f>
        <v/>
      </c>
    </row>
    <row r="939" spans="13:13" x14ac:dyDescent="0.2">
      <c r="M939" s="23" t="str">
        <f>IFERROR((E939*VLOOKUP(D939,FILAMENTI_DB!$A:$J,8,FALSE))+((VLOOKUP(C939,STAMPANTI_DB!$A:$C,3,FALSE)/1000)*F939*SETTINGS!$C$6)+(F939*VLOOKUP(C939,STAMPANTI_DB!$A:$I,9,FALSE)),"")</f>
        <v/>
      </c>
    </row>
    <row r="940" spans="13:13" x14ac:dyDescent="0.2">
      <c r="M940" s="23" t="str">
        <f>IFERROR((E940*VLOOKUP(D940,FILAMENTI_DB!$A:$J,8,FALSE))+((VLOOKUP(C940,STAMPANTI_DB!$A:$C,3,FALSE)/1000)*F940*SETTINGS!$C$6)+(F940*VLOOKUP(C940,STAMPANTI_DB!$A:$I,9,FALSE)),"")</f>
        <v/>
      </c>
    </row>
    <row r="941" spans="13:13" x14ac:dyDescent="0.2">
      <c r="M941" s="23" t="str">
        <f>IFERROR((E941*VLOOKUP(D941,FILAMENTI_DB!$A:$J,8,FALSE))+((VLOOKUP(C941,STAMPANTI_DB!$A:$C,3,FALSE)/1000)*F941*SETTINGS!$C$6)+(F941*VLOOKUP(C941,STAMPANTI_DB!$A:$I,9,FALSE)),"")</f>
        <v/>
      </c>
    </row>
    <row r="942" spans="13:13" x14ac:dyDescent="0.2">
      <c r="M942" s="23" t="str">
        <f>IFERROR((E942*VLOOKUP(D942,FILAMENTI_DB!$A:$J,8,FALSE))+((VLOOKUP(C942,STAMPANTI_DB!$A:$C,3,FALSE)/1000)*F942*SETTINGS!$C$6)+(F942*VLOOKUP(C942,STAMPANTI_DB!$A:$I,9,FALSE)),"")</f>
        <v/>
      </c>
    </row>
    <row r="943" spans="13:13" x14ac:dyDescent="0.2">
      <c r="M943" s="23" t="str">
        <f>IFERROR((E943*VLOOKUP(D943,FILAMENTI_DB!$A:$J,8,FALSE))+((VLOOKUP(C943,STAMPANTI_DB!$A:$C,3,FALSE)/1000)*F943*SETTINGS!$C$6)+(F943*VLOOKUP(C943,STAMPANTI_DB!$A:$I,9,FALSE)),"")</f>
        <v/>
      </c>
    </row>
    <row r="944" spans="13:13" x14ac:dyDescent="0.2">
      <c r="M944" s="23" t="str">
        <f>IFERROR((E944*VLOOKUP(D944,FILAMENTI_DB!$A:$J,8,FALSE))+((VLOOKUP(C944,STAMPANTI_DB!$A:$C,3,FALSE)/1000)*F944*SETTINGS!$C$6)+(F944*VLOOKUP(C944,STAMPANTI_DB!$A:$I,9,FALSE)),"")</f>
        <v/>
      </c>
    </row>
    <row r="945" spans="13:13" x14ac:dyDescent="0.2">
      <c r="M945" s="23" t="str">
        <f>IFERROR((E945*VLOOKUP(D945,FILAMENTI_DB!$A:$J,8,FALSE))+((VLOOKUP(C945,STAMPANTI_DB!$A:$C,3,FALSE)/1000)*F945*SETTINGS!$C$6)+(F945*VLOOKUP(C945,STAMPANTI_DB!$A:$I,9,FALSE)),"")</f>
        <v/>
      </c>
    </row>
    <row r="946" spans="13:13" x14ac:dyDescent="0.2">
      <c r="M946" s="23" t="str">
        <f>IFERROR((E946*VLOOKUP(D946,FILAMENTI_DB!$A:$J,8,FALSE))+((VLOOKUP(C946,STAMPANTI_DB!$A:$C,3,FALSE)/1000)*F946*SETTINGS!$C$6)+(F946*VLOOKUP(C946,STAMPANTI_DB!$A:$I,9,FALSE)),"")</f>
        <v/>
      </c>
    </row>
    <row r="947" spans="13:13" x14ac:dyDescent="0.2">
      <c r="M947" s="23" t="str">
        <f>IFERROR((E947*VLOOKUP(D947,FILAMENTI_DB!$A:$J,8,FALSE))+((VLOOKUP(C947,STAMPANTI_DB!$A:$C,3,FALSE)/1000)*F947*SETTINGS!$C$6)+(F947*VLOOKUP(C947,STAMPANTI_DB!$A:$I,9,FALSE)),"")</f>
        <v/>
      </c>
    </row>
    <row r="948" spans="13:13" x14ac:dyDescent="0.2">
      <c r="M948" s="23" t="str">
        <f>IFERROR((E948*VLOOKUP(D948,FILAMENTI_DB!$A:$J,8,FALSE))+((VLOOKUP(C948,STAMPANTI_DB!$A:$C,3,FALSE)/1000)*F948*SETTINGS!$C$6)+(F948*VLOOKUP(C948,STAMPANTI_DB!$A:$I,9,FALSE)),"")</f>
        <v/>
      </c>
    </row>
    <row r="949" spans="13:13" x14ac:dyDescent="0.2">
      <c r="M949" s="23" t="str">
        <f>IFERROR((E949*VLOOKUP(D949,FILAMENTI_DB!$A:$J,8,FALSE))+((VLOOKUP(C949,STAMPANTI_DB!$A:$C,3,FALSE)/1000)*F949*SETTINGS!$C$6)+(F949*VLOOKUP(C949,STAMPANTI_DB!$A:$I,9,FALSE)),"")</f>
        <v/>
      </c>
    </row>
    <row r="950" spans="13:13" x14ac:dyDescent="0.2">
      <c r="M950" s="23" t="str">
        <f>IFERROR((E950*VLOOKUP(D950,FILAMENTI_DB!$A:$J,8,FALSE))+((VLOOKUP(C950,STAMPANTI_DB!$A:$C,3,FALSE)/1000)*F950*SETTINGS!$C$6)+(F950*VLOOKUP(C950,STAMPANTI_DB!$A:$I,9,FALSE)),"")</f>
        <v/>
      </c>
    </row>
    <row r="951" spans="13:13" x14ac:dyDescent="0.2">
      <c r="M951" s="23" t="str">
        <f>IFERROR((E951*VLOOKUP(D951,FILAMENTI_DB!$A:$J,8,FALSE))+((VLOOKUP(C951,STAMPANTI_DB!$A:$C,3,FALSE)/1000)*F951*SETTINGS!$C$6)+(F951*VLOOKUP(C951,STAMPANTI_DB!$A:$I,9,FALSE)),"")</f>
        <v/>
      </c>
    </row>
    <row r="952" spans="13:13" x14ac:dyDescent="0.2">
      <c r="M952" s="23" t="str">
        <f>IFERROR((E952*VLOOKUP(D952,FILAMENTI_DB!$A:$J,8,FALSE))+((VLOOKUP(C952,STAMPANTI_DB!$A:$C,3,FALSE)/1000)*F952*SETTINGS!$C$6)+(F952*VLOOKUP(C952,STAMPANTI_DB!$A:$I,9,FALSE)),"")</f>
        <v/>
      </c>
    </row>
    <row r="953" spans="13:13" x14ac:dyDescent="0.2">
      <c r="M953" s="23" t="str">
        <f>IFERROR((E953*VLOOKUP(D953,FILAMENTI_DB!$A:$J,8,FALSE))+((VLOOKUP(C953,STAMPANTI_DB!$A:$C,3,FALSE)/1000)*F953*SETTINGS!$C$6)+(F953*VLOOKUP(C953,STAMPANTI_DB!$A:$I,9,FALSE)),"")</f>
        <v/>
      </c>
    </row>
    <row r="954" spans="13:13" x14ac:dyDescent="0.2">
      <c r="M954" s="23" t="str">
        <f>IFERROR((E954*VLOOKUP(D954,FILAMENTI_DB!$A:$J,8,FALSE))+((VLOOKUP(C954,STAMPANTI_DB!$A:$C,3,FALSE)/1000)*F954*SETTINGS!$C$6)+(F954*VLOOKUP(C954,STAMPANTI_DB!$A:$I,9,FALSE)),"")</f>
        <v/>
      </c>
    </row>
    <row r="955" spans="13:13" x14ac:dyDescent="0.2">
      <c r="M955" s="23" t="str">
        <f>IFERROR((E955*VLOOKUP(D955,FILAMENTI_DB!$A:$J,8,FALSE))+((VLOOKUP(C955,STAMPANTI_DB!$A:$C,3,FALSE)/1000)*F955*SETTINGS!$C$6)+(F955*VLOOKUP(C955,STAMPANTI_DB!$A:$I,9,FALSE)),"")</f>
        <v/>
      </c>
    </row>
    <row r="956" spans="13:13" x14ac:dyDescent="0.2">
      <c r="M956" s="23" t="str">
        <f>IFERROR((E956*VLOOKUP(D956,FILAMENTI_DB!$A:$J,8,FALSE))+((VLOOKUP(C956,STAMPANTI_DB!$A:$C,3,FALSE)/1000)*F956*SETTINGS!$C$6)+(F956*VLOOKUP(C956,STAMPANTI_DB!$A:$I,9,FALSE)),"")</f>
        <v/>
      </c>
    </row>
    <row r="957" spans="13:13" x14ac:dyDescent="0.2">
      <c r="M957" s="23" t="str">
        <f>IFERROR((E957*VLOOKUP(D957,FILAMENTI_DB!$A:$J,8,FALSE))+((VLOOKUP(C957,STAMPANTI_DB!$A:$C,3,FALSE)/1000)*F957*SETTINGS!$C$6)+(F957*VLOOKUP(C957,STAMPANTI_DB!$A:$I,9,FALSE)),"")</f>
        <v/>
      </c>
    </row>
    <row r="958" spans="13:13" x14ac:dyDescent="0.2">
      <c r="M958" s="23" t="str">
        <f>IFERROR((E958*VLOOKUP(D958,FILAMENTI_DB!$A:$J,8,FALSE))+((VLOOKUP(C958,STAMPANTI_DB!$A:$C,3,FALSE)/1000)*F958*SETTINGS!$C$6)+(F958*VLOOKUP(C958,STAMPANTI_DB!$A:$I,9,FALSE)),"")</f>
        <v/>
      </c>
    </row>
    <row r="959" spans="13:13" x14ac:dyDescent="0.2">
      <c r="M959" s="23" t="str">
        <f>IFERROR((E959*VLOOKUP(D959,FILAMENTI_DB!$A:$J,8,FALSE))+((VLOOKUP(C959,STAMPANTI_DB!$A:$C,3,FALSE)/1000)*F959*SETTINGS!$C$6)+(F959*VLOOKUP(C959,STAMPANTI_DB!$A:$I,9,FALSE)),"")</f>
        <v/>
      </c>
    </row>
    <row r="960" spans="13:13" x14ac:dyDescent="0.2">
      <c r="M960" s="23" t="str">
        <f>IFERROR((E960*VLOOKUP(D960,FILAMENTI_DB!$A:$J,8,FALSE))+((VLOOKUP(C960,STAMPANTI_DB!$A:$C,3,FALSE)/1000)*F960*SETTINGS!$C$6)+(F960*VLOOKUP(C960,STAMPANTI_DB!$A:$I,9,FALSE)),"")</f>
        <v/>
      </c>
    </row>
    <row r="961" spans="13:13" x14ac:dyDescent="0.2">
      <c r="M961" s="23" t="str">
        <f>IFERROR((E961*VLOOKUP(D961,FILAMENTI_DB!$A:$J,8,FALSE))+((VLOOKUP(C961,STAMPANTI_DB!$A:$C,3,FALSE)/1000)*F961*SETTINGS!$C$6)+(F961*VLOOKUP(C961,STAMPANTI_DB!$A:$I,9,FALSE)),"")</f>
        <v/>
      </c>
    </row>
    <row r="962" spans="13:13" x14ac:dyDescent="0.2">
      <c r="M962" s="23" t="str">
        <f>IFERROR((E962*VLOOKUP(D962,FILAMENTI_DB!$A:$J,8,FALSE))+((VLOOKUP(C962,STAMPANTI_DB!$A:$C,3,FALSE)/1000)*F962*SETTINGS!$C$6)+(F962*VLOOKUP(C962,STAMPANTI_DB!$A:$I,9,FALSE)),"")</f>
        <v/>
      </c>
    </row>
    <row r="963" spans="13:13" x14ac:dyDescent="0.2">
      <c r="M963" s="23" t="str">
        <f>IFERROR((E963*VLOOKUP(D963,FILAMENTI_DB!$A:$J,8,FALSE))+((VLOOKUP(C963,STAMPANTI_DB!$A:$C,3,FALSE)/1000)*F963*SETTINGS!$C$6)+(F963*VLOOKUP(C963,STAMPANTI_DB!$A:$I,9,FALSE)),"")</f>
        <v/>
      </c>
    </row>
    <row r="964" spans="13:13" x14ac:dyDescent="0.2">
      <c r="M964" s="23" t="str">
        <f>IFERROR((E964*VLOOKUP(D964,FILAMENTI_DB!$A:$J,8,FALSE))+((VLOOKUP(C964,STAMPANTI_DB!$A:$C,3,FALSE)/1000)*F964*SETTINGS!$C$6)+(F964*VLOOKUP(C964,STAMPANTI_DB!$A:$I,9,FALSE)),"")</f>
        <v/>
      </c>
    </row>
    <row r="965" spans="13:13" x14ac:dyDescent="0.2">
      <c r="M965" s="23" t="str">
        <f>IFERROR((E965*VLOOKUP(D965,FILAMENTI_DB!$A:$J,8,FALSE))+((VLOOKUP(C965,STAMPANTI_DB!$A:$C,3,FALSE)/1000)*F965*SETTINGS!$C$6)+(F965*VLOOKUP(C965,STAMPANTI_DB!$A:$I,9,FALSE)),"")</f>
        <v/>
      </c>
    </row>
    <row r="966" spans="13:13" x14ac:dyDescent="0.2">
      <c r="M966" s="23" t="str">
        <f>IFERROR((E966*VLOOKUP(D966,FILAMENTI_DB!$A:$J,8,FALSE))+((VLOOKUP(C966,STAMPANTI_DB!$A:$C,3,FALSE)/1000)*F966*SETTINGS!$C$6)+(F966*VLOOKUP(C966,STAMPANTI_DB!$A:$I,9,FALSE)),"")</f>
        <v/>
      </c>
    </row>
    <row r="967" spans="13:13" x14ac:dyDescent="0.2">
      <c r="M967" s="23" t="str">
        <f>IFERROR((E967*VLOOKUP(D967,FILAMENTI_DB!$A:$J,8,FALSE))+((VLOOKUP(C967,STAMPANTI_DB!$A:$C,3,FALSE)/1000)*F967*SETTINGS!$C$6)+(F967*VLOOKUP(C967,STAMPANTI_DB!$A:$I,9,FALSE)),"")</f>
        <v/>
      </c>
    </row>
    <row r="968" spans="13:13" x14ac:dyDescent="0.2">
      <c r="M968" s="23" t="str">
        <f>IFERROR((E968*VLOOKUP(D968,FILAMENTI_DB!$A:$J,8,FALSE))+((VLOOKUP(C968,STAMPANTI_DB!$A:$C,3,FALSE)/1000)*F968*SETTINGS!$C$6)+(F968*VLOOKUP(C968,STAMPANTI_DB!$A:$I,9,FALSE)),"")</f>
        <v/>
      </c>
    </row>
    <row r="969" spans="13:13" x14ac:dyDescent="0.2">
      <c r="M969" s="23" t="str">
        <f>IFERROR((E969*VLOOKUP(D969,FILAMENTI_DB!$A:$J,8,FALSE))+((VLOOKUP(C969,STAMPANTI_DB!$A:$C,3,FALSE)/1000)*F969*SETTINGS!$C$6)+(F969*VLOOKUP(C969,STAMPANTI_DB!$A:$I,9,FALSE)),"")</f>
        <v/>
      </c>
    </row>
    <row r="970" spans="13:13" x14ac:dyDescent="0.2">
      <c r="M970" s="23" t="str">
        <f>IFERROR((E970*VLOOKUP(D970,FILAMENTI_DB!$A:$J,8,FALSE))+((VLOOKUP(C970,STAMPANTI_DB!$A:$C,3,FALSE)/1000)*F970*SETTINGS!$C$6)+(F970*VLOOKUP(C970,STAMPANTI_DB!$A:$I,9,FALSE)),"")</f>
        <v/>
      </c>
    </row>
    <row r="971" spans="13:13" x14ac:dyDescent="0.2">
      <c r="M971" s="23" t="str">
        <f>IFERROR((E971*VLOOKUP(D971,FILAMENTI_DB!$A:$J,8,FALSE))+((VLOOKUP(C971,STAMPANTI_DB!$A:$C,3,FALSE)/1000)*F971*SETTINGS!$C$6)+(F971*VLOOKUP(C971,STAMPANTI_DB!$A:$I,9,FALSE)),"")</f>
        <v/>
      </c>
    </row>
    <row r="972" spans="13:13" x14ac:dyDescent="0.2">
      <c r="M972" s="23" t="str">
        <f>IFERROR((E972*VLOOKUP(D972,FILAMENTI_DB!$A:$J,8,FALSE))+((VLOOKUP(C972,STAMPANTI_DB!$A:$C,3,FALSE)/1000)*F972*SETTINGS!$C$6)+(F972*VLOOKUP(C972,STAMPANTI_DB!$A:$I,9,FALSE)),"")</f>
        <v/>
      </c>
    </row>
    <row r="973" spans="13:13" x14ac:dyDescent="0.2">
      <c r="M973" s="23" t="str">
        <f>IFERROR((E973*VLOOKUP(D973,FILAMENTI_DB!$A:$J,8,FALSE))+((VLOOKUP(C973,STAMPANTI_DB!$A:$C,3,FALSE)/1000)*F973*SETTINGS!$C$6)+(F973*VLOOKUP(C973,STAMPANTI_DB!$A:$I,9,FALSE)),"")</f>
        <v/>
      </c>
    </row>
    <row r="974" spans="13:13" x14ac:dyDescent="0.2">
      <c r="M974" s="23" t="str">
        <f>IFERROR((E974*VLOOKUP(D974,FILAMENTI_DB!$A:$J,8,FALSE))+((VLOOKUP(C974,STAMPANTI_DB!$A:$C,3,FALSE)/1000)*F974*SETTINGS!$C$6)+(F974*VLOOKUP(C974,STAMPANTI_DB!$A:$I,9,FALSE)),"")</f>
        <v/>
      </c>
    </row>
    <row r="975" spans="13:13" x14ac:dyDescent="0.2">
      <c r="M975" s="23" t="str">
        <f>IFERROR((E975*VLOOKUP(D975,FILAMENTI_DB!$A:$J,8,FALSE))+((VLOOKUP(C975,STAMPANTI_DB!$A:$C,3,FALSE)/1000)*F975*SETTINGS!$C$6)+(F975*VLOOKUP(C975,STAMPANTI_DB!$A:$I,9,FALSE)),"")</f>
        <v/>
      </c>
    </row>
    <row r="976" spans="13:13" x14ac:dyDescent="0.2">
      <c r="M976" s="23" t="str">
        <f>IFERROR((E976*VLOOKUP(D976,FILAMENTI_DB!$A:$J,8,FALSE))+((VLOOKUP(C976,STAMPANTI_DB!$A:$C,3,FALSE)/1000)*F976*SETTINGS!$C$6)+(F976*VLOOKUP(C976,STAMPANTI_DB!$A:$I,9,FALSE)),"")</f>
        <v/>
      </c>
    </row>
    <row r="977" spans="13:13" x14ac:dyDescent="0.2">
      <c r="M977" s="23" t="str">
        <f>IFERROR((E977*VLOOKUP(D977,FILAMENTI_DB!$A:$J,8,FALSE))+((VLOOKUP(C977,STAMPANTI_DB!$A:$C,3,FALSE)/1000)*F977*SETTINGS!$C$6)+(F977*VLOOKUP(C977,STAMPANTI_DB!$A:$I,9,FALSE)),"")</f>
        <v/>
      </c>
    </row>
    <row r="978" spans="13:13" x14ac:dyDescent="0.2">
      <c r="M978" s="23" t="str">
        <f>IFERROR((E978*VLOOKUP(D978,FILAMENTI_DB!$A:$J,8,FALSE))+((VLOOKUP(C978,STAMPANTI_DB!$A:$C,3,FALSE)/1000)*F978*SETTINGS!$C$6)+(F978*VLOOKUP(C978,STAMPANTI_DB!$A:$I,9,FALSE)),"")</f>
        <v/>
      </c>
    </row>
    <row r="979" spans="13:13" x14ac:dyDescent="0.2">
      <c r="M979" s="23" t="str">
        <f>IFERROR((E979*VLOOKUP(D979,FILAMENTI_DB!$A:$J,8,FALSE))+((VLOOKUP(C979,STAMPANTI_DB!$A:$C,3,FALSE)/1000)*F979*SETTINGS!$C$6)+(F979*VLOOKUP(C979,STAMPANTI_DB!$A:$I,9,FALSE)),"")</f>
        <v/>
      </c>
    </row>
    <row r="980" spans="13:13" x14ac:dyDescent="0.2">
      <c r="M980" s="23" t="str">
        <f>IFERROR((E980*VLOOKUP(D980,FILAMENTI_DB!$A:$J,8,FALSE))+((VLOOKUP(C980,STAMPANTI_DB!$A:$C,3,FALSE)/1000)*F980*SETTINGS!$C$6)+(F980*VLOOKUP(C980,STAMPANTI_DB!$A:$I,9,FALSE)),"")</f>
        <v/>
      </c>
    </row>
    <row r="981" spans="13:13" x14ac:dyDescent="0.2">
      <c r="M981" s="23" t="str">
        <f>IFERROR((E981*VLOOKUP(D981,FILAMENTI_DB!$A:$J,8,FALSE))+((VLOOKUP(C981,STAMPANTI_DB!$A:$C,3,FALSE)/1000)*F981*SETTINGS!$C$6)+(F981*VLOOKUP(C981,STAMPANTI_DB!$A:$I,9,FALSE)),"")</f>
        <v/>
      </c>
    </row>
    <row r="982" spans="13:13" x14ac:dyDescent="0.2">
      <c r="M982" s="23" t="str">
        <f>IFERROR((E982*VLOOKUP(D982,FILAMENTI_DB!$A:$J,8,FALSE))+((VLOOKUP(C982,STAMPANTI_DB!$A:$C,3,FALSE)/1000)*F982*SETTINGS!$C$6)+(F982*VLOOKUP(C982,STAMPANTI_DB!$A:$I,9,FALSE)),"")</f>
        <v/>
      </c>
    </row>
    <row r="983" spans="13:13" x14ac:dyDescent="0.2">
      <c r="M983" s="23" t="str">
        <f>IFERROR((E983*VLOOKUP(D983,FILAMENTI_DB!$A:$J,8,FALSE))+((VLOOKUP(C983,STAMPANTI_DB!$A:$C,3,FALSE)/1000)*F983*SETTINGS!$C$6)+(F983*VLOOKUP(C983,STAMPANTI_DB!$A:$I,9,FALSE)),"")</f>
        <v/>
      </c>
    </row>
    <row r="984" spans="13:13" x14ac:dyDescent="0.2">
      <c r="M984" s="23" t="str">
        <f>IFERROR((E984*VLOOKUP(D984,FILAMENTI_DB!$A:$J,8,FALSE))+((VLOOKUP(C984,STAMPANTI_DB!$A:$C,3,FALSE)/1000)*F984*SETTINGS!$C$6)+(F984*VLOOKUP(C984,STAMPANTI_DB!$A:$I,9,FALSE)),"")</f>
        <v/>
      </c>
    </row>
    <row r="985" spans="13:13" x14ac:dyDescent="0.2">
      <c r="M985" s="23" t="str">
        <f>IFERROR((E985*VLOOKUP(D985,FILAMENTI_DB!$A:$J,8,FALSE))+((VLOOKUP(C985,STAMPANTI_DB!$A:$C,3,FALSE)/1000)*F985*SETTINGS!$C$6)+(F985*VLOOKUP(C985,STAMPANTI_DB!$A:$I,9,FALSE)),"")</f>
        <v/>
      </c>
    </row>
    <row r="986" spans="13:13" x14ac:dyDescent="0.2">
      <c r="M986" s="23" t="str">
        <f>IFERROR((E986*VLOOKUP(D986,FILAMENTI_DB!$A:$J,8,FALSE))+((VLOOKUP(C986,STAMPANTI_DB!$A:$C,3,FALSE)/1000)*F986*SETTINGS!$C$6)+(F986*VLOOKUP(C986,STAMPANTI_DB!$A:$I,9,FALSE)),"")</f>
        <v/>
      </c>
    </row>
    <row r="987" spans="13:13" x14ac:dyDescent="0.2">
      <c r="M987" s="23" t="str">
        <f>IFERROR((E987*VLOOKUP(D987,FILAMENTI_DB!$A:$J,8,FALSE))+((VLOOKUP(C987,STAMPANTI_DB!$A:$C,3,FALSE)/1000)*F987*SETTINGS!$C$6)+(F987*VLOOKUP(C987,STAMPANTI_DB!$A:$I,9,FALSE)),"")</f>
        <v/>
      </c>
    </row>
    <row r="988" spans="13:13" x14ac:dyDescent="0.2">
      <c r="M988" s="23" t="str">
        <f>IFERROR((E988*VLOOKUP(D988,FILAMENTI_DB!$A:$J,8,FALSE))+((VLOOKUP(C988,STAMPANTI_DB!$A:$C,3,FALSE)/1000)*F988*SETTINGS!$C$6)+(F988*VLOOKUP(C988,STAMPANTI_DB!$A:$I,9,FALSE)),"")</f>
        <v/>
      </c>
    </row>
    <row r="989" spans="13:13" x14ac:dyDescent="0.2">
      <c r="M989" s="23" t="str">
        <f>IFERROR((E989*VLOOKUP(D989,FILAMENTI_DB!$A:$J,8,FALSE))+((VLOOKUP(C989,STAMPANTI_DB!$A:$C,3,FALSE)/1000)*F989*SETTINGS!$C$6)+(F989*VLOOKUP(C989,STAMPANTI_DB!$A:$I,9,FALSE)),"")</f>
        <v/>
      </c>
    </row>
    <row r="990" spans="13:13" x14ac:dyDescent="0.2">
      <c r="M990" s="23" t="str">
        <f>IFERROR((E990*VLOOKUP(D990,FILAMENTI_DB!$A:$J,8,FALSE))+((VLOOKUP(C990,STAMPANTI_DB!$A:$C,3,FALSE)/1000)*F990*SETTINGS!$C$6)+(F990*VLOOKUP(C990,STAMPANTI_DB!$A:$I,9,FALSE)),"")</f>
        <v/>
      </c>
    </row>
    <row r="991" spans="13:13" x14ac:dyDescent="0.2">
      <c r="M991" s="23" t="str">
        <f>IFERROR((E991*VLOOKUP(D991,FILAMENTI_DB!$A:$J,8,FALSE))+((VLOOKUP(C991,STAMPANTI_DB!$A:$C,3,FALSE)/1000)*F991*SETTINGS!$C$6)+(F991*VLOOKUP(C991,STAMPANTI_DB!$A:$I,9,FALSE)),"")</f>
        <v/>
      </c>
    </row>
    <row r="992" spans="13:13" x14ac:dyDescent="0.2">
      <c r="M992" s="23" t="str">
        <f>IFERROR((E992*VLOOKUP(D992,FILAMENTI_DB!$A:$J,8,FALSE))+((VLOOKUP(C992,STAMPANTI_DB!$A:$C,3,FALSE)/1000)*F992*SETTINGS!$C$6)+(F992*VLOOKUP(C992,STAMPANTI_DB!$A:$I,9,FALSE)),"")</f>
        <v/>
      </c>
    </row>
    <row r="993" spans="13:13" x14ac:dyDescent="0.2">
      <c r="M993" s="23" t="str">
        <f>IFERROR((E993*VLOOKUP(D993,FILAMENTI_DB!$A:$J,8,FALSE))+((VLOOKUP(C993,STAMPANTI_DB!$A:$C,3,FALSE)/1000)*F993*SETTINGS!$C$6)+(F993*VLOOKUP(C993,STAMPANTI_DB!$A:$I,9,FALSE)),"")</f>
        <v/>
      </c>
    </row>
    <row r="994" spans="13:13" x14ac:dyDescent="0.2">
      <c r="M994" s="23" t="str">
        <f>IFERROR((E994*VLOOKUP(D994,FILAMENTI_DB!$A:$J,8,FALSE))+((VLOOKUP(C994,STAMPANTI_DB!$A:$C,3,FALSE)/1000)*F994*SETTINGS!$C$6)+(F994*VLOOKUP(C994,STAMPANTI_DB!$A:$I,9,FALSE)),"")</f>
        <v/>
      </c>
    </row>
    <row r="995" spans="13:13" x14ac:dyDescent="0.2">
      <c r="M995" s="23" t="str">
        <f>IFERROR((E995*VLOOKUP(D995,FILAMENTI_DB!$A:$J,8,FALSE))+((VLOOKUP(C995,STAMPANTI_DB!$A:$C,3,FALSE)/1000)*F995*SETTINGS!$C$6)+(F995*VLOOKUP(C995,STAMPANTI_DB!$A:$I,9,FALSE)),"")</f>
        <v/>
      </c>
    </row>
    <row r="996" spans="13:13" x14ac:dyDescent="0.2">
      <c r="M996" s="23" t="str">
        <f>IFERROR((E996*VLOOKUP(D996,FILAMENTI_DB!$A:$J,8,FALSE))+((VLOOKUP(C996,STAMPANTI_DB!$A:$C,3,FALSE)/1000)*F996*SETTINGS!$C$6)+(F996*VLOOKUP(C996,STAMPANTI_DB!$A:$I,9,FALSE)),"")</f>
        <v/>
      </c>
    </row>
    <row r="997" spans="13:13" x14ac:dyDescent="0.2">
      <c r="M997" s="23" t="str">
        <f>IFERROR((E997*VLOOKUP(D997,FILAMENTI_DB!$A:$J,8,FALSE))+((VLOOKUP(C997,STAMPANTI_DB!$A:$C,3,FALSE)/1000)*F997*SETTINGS!$C$6)+(F997*VLOOKUP(C997,STAMPANTI_DB!$A:$I,9,FALSE)),"")</f>
        <v/>
      </c>
    </row>
    <row r="998" spans="13:13" x14ac:dyDescent="0.2">
      <c r="M998" s="23" t="str">
        <f>IFERROR((E998*VLOOKUP(D998,FILAMENTI_DB!$A:$J,8,FALSE))+((VLOOKUP(C998,STAMPANTI_DB!$A:$C,3,FALSE)/1000)*F998*SETTINGS!$C$6)+(F998*VLOOKUP(C998,STAMPANTI_DB!$A:$I,9,FALSE)),"")</f>
        <v/>
      </c>
    </row>
    <row r="999" spans="13:13" x14ac:dyDescent="0.2">
      <c r="M999" s="23" t="str">
        <f>IFERROR((E999*VLOOKUP(D999,FILAMENTI_DB!$A:$J,8,FALSE))+((VLOOKUP(C999,STAMPANTI_DB!$A:$C,3,FALSE)/1000)*F999*SETTINGS!$C$6)+(F999*VLOOKUP(C999,STAMPANTI_DB!$A:$I,9,FALSE)),"")</f>
        <v/>
      </c>
    </row>
    <row r="1000" spans="13:13" x14ac:dyDescent="0.2">
      <c r="M1000" s="23" t="str">
        <f>IFERROR((E1000*VLOOKUP(D1000,FILAMENTI_DB!$A:$J,8,FALSE))+((VLOOKUP(C1000,STAMPANTI_DB!$A:$C,3,FALSE)/1000)*F1000*SETTINGS!$C$6)+(F1000*VLOOKUP(C1000,STAMPANTI_DB!$A:$I,9,FALSE)),"")</f>
        <v/>
      </c>
    </row>
  </sheetData>
  <mergeCells count="3">
    <mergeCell ref="A1:I1"/>
    <mergeCell ref="A3:M3"/>
    <mergeCell ref="A2:I2"/>
  </mergeCells>
  <conditionalFormatting sqref="A5:H1000">
    <cfRule type="expression" dxfId="1" priority="2">
      <formula>$B5="Fallita"</formula>
    </cfRule>
  </conditionalFormatting>
  <conditionalFormatting sqref="N5">
    <cfRule type="expression" dxfId="0" priority="1">
      <formula>$E5="Fallita"</formula>
    </cfRule>
  </conditionalFormatting>
  <dataValidations count="1">
    <dataValidation type="list" allowBlank="1" sqref="B5:B1000" xr:uid="{00000000-0002-0000-0600-000000000000}">
      <formula1>$J$5:$J$7</formula1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xr:uid="{00000000-0002-0000-0600-000001000000}">
          <x14:formula1>
            <xm:f>SETTINGS!$I$22:$I$27</xm:f>
          </x14:formula1>
          <xm:sqref>K5:K1000</xm:sqref>
        </x14:dataValidation>
        <x14:dataValidation type="list" allowBlank="1" xr:uid="{00000000-0002-0000-0600-000002000000}">
          <x14:formula1>
            <xm:f>SETTINGS!$F$29:$F$33</xm:f>
          </x14:formula1>
          <xm:sqref>L5:L1000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7</vt:i4>
      </vt:variant>
    </vt:vector>
  </HeadingPairs>
  <TitlesOfParts>
    <vt:vector size="7" baseType="lpstr">
      <vt:lpstr>DASHBOARD</vt:lpstr>
      <vt:lpstr>SETTINGS</vt:lpstr>
      <vt:lpstr>FILAMENTI_DB</vt:lpstr>
      <vt:lpstr>STAMPANTI_DB</vt:lpstr>
      <vt:lpstr>PREVENTIVO</vt:lpstr>
      <vt:lpstr>STORICO_STAMPE</vt:lpstr>
      <vt:lpstr>SCARTI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Emanuele Chiummo</cp:lastModifiedBy>
  <dcterms:created xsi:type="dcterms:W3CDTF">2026-02-09T08:20:12Z</dcterms:created>
  <dcterms:modified xsi:type="dcterms:W3CDTF">2026-02-12T12:40:11Z</dcterms:modified>
</cp:coreProperties>
</file>